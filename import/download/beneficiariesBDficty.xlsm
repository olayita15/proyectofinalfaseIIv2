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drawings/drawing1.xml" ContentType="application/vnd.openxmlformats-officedocument.drawing+xml"/>
  <Override PartName="/xl/tables/table90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slicers/slicer3.xml" ContentType="application/vnd.ms-excel.slicer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4.xml" ContentType="application/vnd.openxmlformats-officedocument.drawing+xml"/>
  <Override PartName="/xl/slicers/slicer4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EQUIPO01\Documents\Chris\proyectos\ProyectoFinalBackendFaseII\import\download\"/>
    </mc:Choice>
  </mc:AlternateContent>
  <xr:revisionPtr revIDLastSave="0" documentId="13_ncr:1_{088E29AD-0831-4EB8-85FE-65B78631C783}" xr6:coauthVersionLast="47" xr6:coauthVersionMax="47" xr10:uidLastSave="{00000000-0000-0000-0000-000000000000}"/>
  <bookViews>
    <workbookView xWindow="-108" yWindow="-108" windowWidth="19416" windowHeight="10416" firstSheet="2" activeTab="2" xr2:uid="{00000000-000D-0000-FFFF-FFFF00000000}"/>
  </bookViews>
  <sheets>
    <sheet name="LISTAS DESPLEGABLES" sheetId="3" state="hidden" r:id="rId1"/>
    <sheet name="Ajuste Duplas" sheetId="10" state="hidden" r:id="rId2"/>
    <sheet name="MATRIZ PRINCIPAL" sheetId="4" r:id="rId3"/>
    <sheet name="PEDIDO UNIDAD" sheetId="5" r:id="rId4"/>
    <sheet name="PEDIDO GENERAL" sheetId="9" r:id="rId5"/>
    <sheet name="ANALISIS" sheetId="6" r:id="rId6"/>
    <sheet name="Hoja1" sheetId="11" r:id="rId7"/>
    <sheet name="Hoja2" sheetId="12" r:id="rId8"/>
  </sheets>
  <externalReferences>
    <externalReference r:id="rId9"/>
  </externalReferences>
  <definedNames>
    <definedName name="_xlnm._FilterDatabase" localSheetId="6" hidden="1">Hoja1!$A$2:$G$347</definedName>
    <definedName name="_xlnm._FilterDatabase" localSheetId="7" hidden="1">Hoja2!$F$1:$J$351</definedName>
    <definedName name="_xlnm.Print_Area" localSheetId="4">'PEDIDO GENERAL'!$B$4:$E$31</definedName>
    <definedName name="SegmentaciónDeDatos_¿ACTIVO_O_INACTIVO?">#N/A</definedName>
    <definedName name="SegmentaciónDeDatos_¿ACTIVO_O_INACTIVO?1">#N/A</definedName>
    <definedName name="SegmentaciónDeDatos_¿ACTIVO_O_INACTIVO?2">#N/A</definedName>
    <definedName name="SegmentaciónDeDatos_AÑOS">#N/A</definedName>
    <definedName name="SegmentaciónDeDatos_AÑOS1">#N/A</definedName>
    <definedName name="SegmentaciónDeDatos_DIAS">#N/A</definedName>
    <definedName name="SegmentaciónDeDatos_DOCENTE">#N/A</definedName>
    <definedName name="SegmentaciónDeDatos_DOCENTE1">#N/A</definedName>
    <definedName name="SegmentaciónDeDatos_DUPLA">#N/A</definedName>
    <definedName name="SegmentaciónDeDatos_DUPLA1">#N/A</definedName>
    <definedName name="SegmentaciónDeDatos_MESES">#N/A</definedName>
    <definedName name="SegmentaciónDeDatos_UNIDAD">#N/A</definedName>
    <definedName name="SegmentaciónDeDatos_UNIDAD1">#N/A</definedName>
    <definedName name="TIPO">[1]DATOS!$A$2:$A$4</definedName>
  </definedNames>
  <calcPr calcId="181029"/>
  <pivotCaches>
    <pivotCache cacheId="0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  <x14:slicerCache r:id="rId19"/>
        <x14:slicerCache r:id="rId2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1"/>
        <x14:slicerCache r:id="rId22"/>
        <x14:slicerCache r:id="rId23"/>
      </x15:slicerCaches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W8" i="4" l="1"/>
  <c r="BW10" i="4"/>
  <c r="BW12" i="4"/>
  <c r="CH8" i="4"/>
  <c r="L244" i="11" l="1"/>
  <c r="M244" i="11"/>
  <c r="L245" i="11"/>
  <c r="M245" i="11"/>
  <c r="L246" i="11"/>
  <c r="M246" i="11"/>
  <c r="L247" i="11"/>
  <c r="M247" i="11"/>
  <c r="L248" i="11"/>
  <c r="M248" i="11"/>
  <c r="L249" i="11"/>
  <c r="M249" i="11"/>
  <c r="L250" i="11"/>
  <c r="M250" i="11"/>
  <c r="L251" i="11"/>
  <c r="M251" i="11"/>
  <c r="L252" i="11"/>
  <c r="M252" i="11"/>
  <c r="L253" i="11"/>
  <c r="M253" i="11"/>
  <c r="L254" i="11"/>
  <c r="M254" i="11"/>
  <c r="M243" i="11"/>
  <c r="L243" i="11"/>
  <c r="B1" i="4"/>
  <c r="I351" i="12"/>
  <c r="J351" i="12" s="1"/>
  <c r="I350" i="12"/>
  <c r="J350" i="12" s="1"/>
  <c r="I349" i="12"/>
  <c r="J349" i="12" s="1"/>
  <c r="I348" i="12"/>
  <c r="J348" i="12" s="1"/>
  <c r="I347" i="12"/>
  <c r="J347" i="12" s="1"/>
  <c r="I346" i="12"/>
  <c r="J346" i="12" s="1"/>
  <c r="I345" i="12"/>
  <c r="J345" i="12" s="1"/>
  <c r="I344" i="12"/>
  <c r="J344" i="12" s="1"/>
  <c r="I343" i="12"/>
  <c r="J343" i="12" s="1"/>
  <c r="I342" i="12"/>
  <c r="J342" i="12" s="1"/>
  <c r="I341" i="12"/>
  <c r="J341" i="12" s="1"/>
  <c r="I340" i="12"/>
  <c r="J340" i="12" s="1"/>
  <c r="I339" i="12"/>
  <c r="J339" i="12" s="1"/>
  <c r="I338" i="12"/>
  <c r="J338" i="12" s="1"/>
  <c r="I337" i="12"/>
  <c r="J337" i="12" s="1"/>
  <c r="I336" i="12"/>
  <c r="J336" i="12" s="1"/>
  <c r="I335" i="12"/>
  <c r="J335" i="12" s="1"/>
  <c r="I334" i="12"/>
  <c r="J334" i="12" s="1"/>
  <c r="I333" i="12"/>
  <c r="J333" i="12" s="1"/>
  <c r="I332" i="12"/>
  <c r="J332" i="12" s="1"/>
  <c r="I331" i="12"/>
  <c r="J331" i="12" s="1"/>
  <c r="I330" i="12"/>
  <c r="J330" i="12" s="1"/>
  <c r="I329" i="12"/>
  <c r="J329" i="12" s="1"/>
  <c r="I328" i="12"/>
  <c r="J328" i="12" s="1"/>
  <c r="I327" i="12"/>
  <c r="J327" i="12" s="1"/>
  <c r="I326" i="12"/>
  <c r="J326" i="12" s="1"/>
  <c r="I325" i="12"/>
  <c r="J325" i="12" s="1"/>
  <c r="I324" i="12"/>
  <c r="J324" i="12" s="1"/>
  <c r="I323" i="12"/>
  <c r="J323" i="12" s="1"/>
  <c r="I322" i="12"/>
  <c r="J322" i="12" s="1"/>
  <c r="I321" i="12"/>
  <c r="J321" i="12" s="1"/>
  <c r="I320" i="12"/>
  <c r="J320" i="12" s="1"/>
  <c r="I319" i="12"/>
  <c r="J319" i="12" s="1"/>
  <c r="I318" i="12"/>
  <c r="J318" i="12" s="1"/>
  <c r="I317" i="12"/>
  <c r="J317" i="12" s="1"/>
  <c r="I316" i="12"/>
  <c r="J316" i="12" s="1"/>
  <c r="I315" i="12"/>
  <c r="J315" i="12" s="1"/>
  <c r="I314" i="12"/>
  <c r="J314" i="12" s="1"/>
  <c r="I313" i="12"/>
  <c r="J313" i="12" s="1"/>
  <c r="I312" i="12"/>
  <c r="J312" i="12" s="1"/>
  <c r="I311" i="12"/>
  <c r="J311" i="12" s="1"/>
  <c r="I310" i="12"/>
  <c r="J310" i="12" s="1"/>
  <c r="I309" i="12"/>
  <c r="J309" i="12" s="1"/>
  <c r="I308" i="12"/>
  <c r="J308" i="12" s="1"/>
  <c r="I307" i="12"/>
  <c r="J307" i="12" s="1"/>
  <c r="I306" i="12"/>
  <c r="J306" i="12" s="1"/>
  <c r="I305" i="12"/>
  <c r="J305" i="12" s="1"/>
  <c r="I304" i="12"/>
  <c r="J304" i="12" s="1"/>
  <c r="I303" i="12"/>
  <c r="J303" i="12" s="1"/>
  <c r="I302" i="12"/>
  <c r="J302" i="12" s="1"/>
  <c r="I301" i="12"/>
  <c r="J301" i="12" s="1"/>
  <c r="I300" i="12"/>
  <c r="J300" i="12" s="1"/>
  <c r="I299" i="12"/>
  <c r="J299" i="12" s="1"/>
  <c r="I298" i="12"/>
  <c r="J298" i="12" s="1"/>
  <c r="I297" i="12"/>
  <c r="J297" i="12" s="1"/>
  <c r="I296" i="12"/>
  <c r="J296" i="12" s="1"/>
  <c r="I295" i="12"/>
  <c r="J295" i="12" s="1"/>
  <c r="I294" i="12"/>
  <c r="J294" i="12" s="1"/>
  <c r="I293" i="12"/>
  <c r="J293" i="12" s="1"/>
  <c r="I292" i="12"/>
  <c r="J292" i="12" s="1"/>
  <c r="I291" i="12"/>
  <c r="J291" i="12" s="1"/>
  <c r="I290" i="12"/>
  <c r="J290" i="12" s="1"/>
  <c r="I289" i="12"/>
  <c r="J289" i="12" s="1"/>
  <c r="I288" i="12"/>
  <c r="J288" i="12" s="1"/>
  <c r="I287" i="12"/>
  <c r="J287" i="12" s="1"/>
  <c r="I286" i="12"/>
  <c r="J286" i="12" s="1"/>
  <c r="I285" i="12"/>
  <c r="J285" i="12" s="1"/>
  <c r="I284" i="12"/>
  <c r="J284" i="12" s="1"/>
  <c r="I283" i="12"/>
  <c r="J283" i="12" s="1"/>
  <c r="I282" i="12"/>
  <c r="J282" i="12" s="1"/>
  <c r="I281" i="12"/>
  <c r="J281" i="12" s="1"/>
  <c r="I280" i="12"/>
  <c r="J280" i="12" s="1"/>
  <c r="I279" i="12"/>
  <c r="J279" i="12" s="1"/>
  <c r="I278" i="12"/>
  <c r="J278" i="12" s="1"/>
  <c r="I277" i="12"/>
  <c r="J277" i="12" s="1"/>
  <c r="I276" i="12"/>
  <c r="J276" i="12" s="1"/>
  <c r="I275" i="12"/>
  <c r="J275" i="12" s="1"/>
  <c r="I274" i="12"/>
  <c r="J274" i="12" s="1"/>
  <c r="I273" i="12"/>
  <c r="J273" i="12" s="1"/>
  <c r="I272" i="12"/>
  <c r="J272" i="12" s="1"/>
  <c r="I271" i="12"/>
  <c r="J271" i="12" s="1"/>
  <c r="I270" i="12"/>
  <c r="J270" i="12" s="1"/>
  <c r="I269" i="12"/>
  <c r="J269" i="12" s="1"/>
  <c r="I268" i="12"/>
  <c r="J268" i="12" s="1"/>
  <c r="I267" i="12"/>
  <c r="J267" i="12" s="1"/>
  <c r="I266" i="12"/>
  <c r="J266" i="12" s="1"/>
  <c r="I265" i="12"/>
  <c r="J265" i="12" s="1"/>
  <c r="I264" i="12"/>
  <c r="J264" i="12" s="1"/>
  <c r="I263" i="12"/>
  <c r="J263" i="12" s="1"/>
  <c r="I262" i="12"/>
  <c r="J262" i="12" s="1"/>
  <c r="I261" i="12"/>
  <c r="J261" i="12" s="1"/>
  <c r="I260" i="12"/>
  <c r="J260" i="12" s="1"/>
  <c r="I259" i="12"/>
  <c r="J259" i="12" s="1"/>
  <c r="I258" i="12"/>
  <c r="J258" i="12" s="1"/>
  <c r="I257" i="12"/>
  <c r="J257" i="12" s="1"/>
  <c r="I256" i="12"/>
  <c r="J256" i="12" s="1"/>
  <c r="I255" i="12"/>
  <c r="J255" i="12" s="1"/>
  <c r="I254" i="12"/>
  <c r="J254" i="12" s="1"/>
  <c r="I253" i="12"/>
  <c r="J253" i="12" s="1"/>
  <c r="I252" i="12"/>
  <c r="J252" i="12" s="1"/>
  <c r="I251" i="12"/>
  <c r="J251" i="12" s="1"/>
  <c r="I250" i="12"/>
  <c r="J250" i="12" s="1"/>
  <c r="I249" i="12"/>
  <c r="J249" i="12" s="1"/>
  <c r="I248" i="12"/>
  <c r="J248" i="12" s="1"/>
  <c r="I247" i="12"/>
  <c r="J247" i="12" s="1"/>
  <c r="I246" i="12"/>
  <c r="J246" i="12" s="1"/>
  <c r="I245" i="12"/>
  <c r="J245" i="12" s="1"/>
  <c r="I244" i="12"/>
  <c r="J244" i="12" s="1"/>
  <c r="I243" i="12"/>
  <c r="J243" i="12" s="1"/>
  <c r="I242" i="12"/>
  <c r="J242" i="12" s="1"/>
  <c r="I241" i="12"/>
  <c r="J241" i="12" s="1"/>
  <c r="I240" i="12"/>
  <c r="J240" i="12" s="1"/>
  <c r="I239" i="12"/>
  <c r="J239" i="12" s="1"/>
  <c r="I238" i="12"/>
  <c r="J238" i="12" s="1"/>
  <c r="I237" i="12"/>
  <c r="J237" i="12" s="1"/>
  <c r="I236" i="12"/>
  <c r="J236" i="12" s="1"/>
  <c r="I235" i="12"/>
  <c r="J235" i="12" s="1"/>
  <c r="I234" i="12"/>
  <c r="J234" i="12" s="1"/>
  <c r="I233" i="12"/>
  <c r="J233" i="12" s="1"/>
  <c r="I232" i="12"/>
  <c r="J232" i="12" s="1"/>
  <c r="I231" i="12"/>
  <c r="J231" i="12" s="1"/>
  <c r="I230" i="12"/>
  <c r="J230" i="12" s="1"/>
  <c r="I229" i="12"/>
  <c r="J229" i="12" s="1"/>
  <c r="I228" i="12"/>
  <c r="J228" i="12" s="1"/>
  <c r="I227" i="12"/>
  <c r="J227" i="12" s="1"/>
  <c r="I226" i="12"/>
  <c r="J226" i="12" s="1"/>
  <c r="I225" i="12"/>
  <c r="J225" i="12" s="1"/>
  <c r="I224" i="12"/>
  <c r="J224" i="12" s="1"/>
  <c r="I223" i="12"/>
  <c r="J223" i="12" s="1"/>
  <c r="I222" i="12"/>
  <c r="J222" i="12" s="1"/>
  <c r="I221" i="12"/>
  <c r="J221" i="12" s="1"/>
  <c r="I220" i="12"/>
  <c r="J220" i="12" s="1"/>
  <c r="I219" i="12"/>
  <c r="J219" i="12" s="1"/>
  <c r="I218" i="12"/>
  <c r="J218" i="12" s="1"/>
  <c r="I217" i="12"/>
  <c r="J217" i="12" s="1"/>
  <c r="I216" i="12"/>
  <c r="J216" i="12" s="1"/>
  <c r="I215" i="12"/>
  <c r="J215" i="12" s="1"/>
  <c r="I214" i="12"/>
  <c r="J214" i="12" s="1"/>
  <c r="I213" i="12"/>
  <c r="J213" i="12" s="1"/>
  <c r="I212" i="12"/>
  <c r="J212" i="12" s="1"/>
  <c r="I211" i="12"/>
  <c r="J211" i="12" s="1"/>
  <c r="I210" i="12"/>
  <c r="J210" i="12" s="1"/>
  <c r="I209" i="12"/>
  <c r="J209" i="12" s="1"/>
  <c r="I208" i="12"/>
  <c r="J208" i="12" s="1"/>
  <c r="I207" i="12"/>
  <c r="J207" i="12" s="1"/>
  <c r="I206" i="12"/>
  <c r="J206" i="12" s="1"/>
  <c r="I205" i="12"/>
  <c r="J205" i="12" s="1"/>
  <c r="I204" i="12"/>
  <c r="J204" i="12" s="1"/>
  <c r="I203" i="12"/>
  <c r="J203" i="12" s="1"/>
  <c r="I202" i="12"/>
  <c r="J202" i="12" s="1"/>
  <c r="I201" i="12"/>
  <c r="J201" i="12" s="1"/>
  <c r="I200" i="12"/>
  <c r="J200" i="12" s="1"/>
  <c r="I199" i="12"/>
  <c r="J199" i="12" s="1"/>
  <c r="I198" i="12"/>
  <c r="J198" i="12" s="1"/>
  <c r="I197" i="12"/>
  <c r="J197" i="12" s="1"/>
  <c r="I196" i="12"/>
  <c r="J196" i="12" s="1"/>
  <c r="I195" i="12"/>
  <c r="J195" i="12" s="1"/>
  <c r="I194" i="12"/>
  <c r="J194" i="12" s="1"/>
  <c r="I193" i="12"/>
  <c r="J193" i="12" s="1"/>
  <c r="I192" i="12"/>
  <c r="J192" i="12" s="1"/>
  <c r="I191" i="12"/>
  <c r="J191" i="12" s="1"/>
  <c r="I190" i="12"/>
  <c r="J190" i="12" s="1"/>
  <c r="I189" i="12"/>
  <c r="J189" i="12" s="1"/>
  <c r="I188" i="12"/>
  <c r="J188" i="12" s="1"/>
  <c r="I187" i="12"/>
  <c r="J187" i="12" s="1"/>
  <c r="I186" i="12"/>
  <c r="J186" i="12" s="1"/>
  <c r="I185" i="12"/>
  <c r="J185" i="12" s="1"/>
  <c r="I184" i="12"/>
  <c r="J184" i="12" s="1"/>
  <c r="I183" i="12"/>
  <c r="J183" i="12" s="1"/>
  <c r="I182" i="12"/>
  <c r="J182" i="12" s="1"/>
  <c r="I181" i="12"/>
  <c r="J181" i="12" s="1"/>
  <c r="I180" i="12"/>
  <c r="J180" i="12" s="1"/>
  <c r="I179" i="12"/>
  <c r="J179" i="12" s="1"/>
  <c r="I178" i="12"/>
  <c r="J178" i="12" s="1"/>
  <c r="I177" i="12"/>
  <c r="J177" i="12" s="1"/>
  <c r="I176" i="12"/>
  <c r="J176" i="12" s="1"/>
  <c r="I175" i="12"/>
  <c r="J175" i="12" s="1"/>
  <c r="I174" i="12"/>
  <c r="J174" i="12" s="1"/>
  <c r="I173" i="12"/>
  <c r="J173" i="12" s="1"/>
  <c r="I172" i="12"/>
  <c r="J172" i="12" s="1"/>
  <c r="I171" i="12"/>
  <c r="J171" i="12" s="1"/>
  <c r="I170" i="12"/>
  <c r="J170" i="12" s="1"/>
  <c r="I169" i="12"/>
  <c r="J169" i="12" s="1"/>
  <c r="I168" i="12"/>
  <c r="J168" i="12" s="1"/>
  <c r="I167" i="12"/>
  <c r="J167" i="12" s="1"/>
  <c r="I166" i="12"/>
  <c r="J166" i="12" s="1"/>
  <c r="I165" i="12"/>
  <c r="J165" i="12" s="1"/>
  <c r="I164" i="12"/>
  <c r="J164" i="12" s="1"/>
  <c r="I163" i="12"/>
  <c r="J163" i="12" s="1"/>
  <c r="I162" i="12"/>
  <c r="J162" i="12" s="1"/>
  <c r="I161" i="12"/>
  <c r="J161" i="12" s="1"/>
  <c r="I160" i="12"/>
  <c r="J160" i="12" s="1"/>
  <c r="I159" i="12"/>
  <c r="J159" i="12" s="1"/>
  <c r="I158" i="12"/>
  <c r="J158" i="12" s="1"/>
  <c r="I157" i="12"/>
  <c r="J157" i="12" s="1"/>
  <c r="I156" i="12"/>
  <c r="J156" i="12" s="1"/>
  <c r="I155" i="12"/>
  <c r="J155" i="12" s="1"/>
  <c r="I154" i="12"/>
  <c r="J154" i="12" s="1"/>
  <c r="I153" i="12"/>
  <c r="J153" i="12" s="1"/>
  <c r="I152" i="12"/>
  <c r="J152" i="12" s="1"/>
  <c r="I151" i="12"/>
  <c r="J151" i="12" s="1"/>
  <c r="I150" i="12"/>
  <c r="J150" i="12" s="1"/>
  <c r="I149" i="12"/>
  <c r="J149" i="12" s="1"/>
  <c r="I148" i="12"/>
  <c r="J148" i="12" s="1"/>
  <c r="I147" i="12"/>
  <c r="J147" i="12" s="1"/>
  <c r="I146" i="12"/>
  <c r="J146" i="12" s="1"/>
  <c r="I145" i="12"/>
  <c r="J145" i="12" s="1"/>
  <c r="I144" i="12"/>
  <c r="J144" i="12" s="1"/>
  <c r="I143" i="12"/>
  <c r="J143" i="12" s="1"/>
  <c r="I142" i="12"/>
  <c r="J142" i="12" s="1"/>
  <c r="I141" i="12"/>
  <c r="J141" i="12" s="1"/>
  <c r="I140" i="12"/>
  <c r="J140" i="12" s="1"/>
  <c r="I139" i="12"/>
  <c r="J139" i="12" s="1"/>
  <c r="I138" i="12"/>
  <c r="J138" i="12" s="1"/>
  <c r="I137" i="12"/>
  <c r="J137" i="12" s="1"/>
  <c r="I136" i="12"/>
  <c r="J136" i="12" s="1"/>
  <c r="I135" i="12"/>
  <c r="J135" i="12" s="1"/>
  <c r="I134" i="12"/>
  <c r="J134" i="12" s="1"/>
  <c r="I133" i="12"/>
  <c r="J133" i="12" s="1"/>
  <c r="I132" i="12"/>
  <c r="J132" i="12" s="1"/>
  <c r="I131" i="12"/>
  <c r="J131" i="12" s="1"/>
  <c r="I130" i="12"/>
  <c r="J130" i="12" s="1"/>
  <c r="I129" i="12"/>
  <c r="J129" i="12" s="1"/>
  <c r="I128" i="12"/>
  <c r="J128" i="12" s="1"/>
  <c r="I127" i="12"/>
  <c r="J127" i="12" s="1"/>
  <c r="I126" i="12"/>
  <c r="J126" i="12" s="1"/>
  <c r="I125" i="12"/>
  <c r="J125" i="12" s="1"/>
  <c r="I124" i="12"/>
  <c r="J124" i="12" s="1"/>
  <c r="I123" i="12"/>
  <c r="J123" i="12" s="1"/>
  <c r="I122" i="12"/>
  <c r="J122" i="12" s="1"/>
  <c r="I121" i="12"/>
  <c r="J121" i="12" s="1"/>
  <c r="I120" i="12"/>
  <c r="J120" i="12" s="1"/>
  <c r="I119" i="12"/>
  <c r="J119" i="12" s="1"/>
  <c r="I118" i="12"/>
  <c r="J118" i="12" s="1"/>
  <c r="I117" i="12"/>
  <c r="J117" i="12" s="1"/>
  <c r="I116" i="12"/>
  <c r="J116" i="12" s="1"/>
  <c r="I115" i="12"/>
  <c r="J115" i="12" s="1"/>
  <c r="I114" i="12"/>
  <c r="J114" i="12" s="1"/>
  <c r="I113" i="12"/>
  <c r="J113" i="12" s="1"/>
  <c r="I112" i="12"/>
  <c r="J112" i="12" s="1"/>
  <c r="I111" i="12"/>
  <c r="J111" i="12" s="1"/>
  <c r="I110" i="12"/>
  <c r="J110" i="12" s="1"/>
  <c r="I109" i="12"/>
  <c r="J109" i="12" s="1"/>
  <c r="I108" i="12"/>
  <c r="J108" i="12" s="1"/>
  <c r="I107" i="12"/>
  <c r="J107" i="12" s="1"/>
  <c r="I106" i="12"/>
  <c r="J106" i="12" s="1"/>
  <c r="I105" i="12"/>
  <c r="J105" i="12" s="1"/>
  <c r="I104" i="12"/>
  <c r="J104" i="12" s="1"/>
  <c r="I103" i="12"/>
  <c r="J103" i="12" s="1"/>
  <c r="I102" i="12"/>
  <c r="J102" i="12" s="1"/>
  <c r="I101" i="12"/>
  <c r="J101" i="12" s="1"/>
  <c r="I100" i="12"/>
  <c r="J100" i="12" s="1"/>
  <c r="I99" i="12"/>
  <c r="J99" i="12" s="1"/>
  <c r="I98" i="12"/>
  <c r="J98" i="12" s="1"/>
  <c r="I97" i="12"/>
  <c r="J97" i="12" s="1"/>
  <c r="I96" i="12"/>
  <c r="J96" i="12" s="1"/>
  <c r="I95" i="12"/>
  <c r="J95" i="12" s="1"/>
  <c r="I94" i="12"/>
  <c r="J94" i="12" s="1"/>
  <c r="I93" i="12"/>
  <c r="J93" i="12" s="1"/>
  <c r="I92" i="12"/>
  <c r="J92" i="12" s="1"/>
  <c r="I91" i="12"/>
  <c r="J91" i="12" s="1"/>
  <c r="I90" i="12"/>
  <c r="J90" i="12" s="1"/>
  <c r="I89" i="12"/>
  <c r="J89" i="12" s="1"/>
  <c r="I88" i="12"/>
  <c r="J88" i="12" s="1"/>
  <c r="I87" i="12"/>
  <c r="J87" i="12" s="1"/>
  <c r="I86" i="12"/>
  <c r="J86" i="12" s="1"/>
  <c r="I85" i="12"/>
  <c r="J85" i="12" s="1"/>
  <c r="I84" i="12"/>
  <c r="J84" i="12" s="1"/>
  <c r="I83" i="12"/>
  <c r="J83" i="12" s="1"/>
  <c r="I82" i="12"/>
  <c r="J82" i="12" s="1"/>
  <c r="I81" i="12"/>
  <c r="J81" i="12" s="1"/>
  <c r="I80" i="12"/>
  <c r="J80" i="12" s="1"/>
  <c r="I79" i="12"/>
  <c r="J79" i="12" s="1"/>
  <c r="I78" i="12"/>
  <c r="J78" i="12" s="1"/>
  <c r="I77" i="12"/>
  <c r="J77" i="12" s="1"/>
  <c r="I76" i="12"/>
  <c r="J76" i="12" s="1"/>
  <c r="I75" i="12"/>
  <c r="J75" i="12" s="1"/>
  <c r="I74" i="12"/>
  <c r="J74" i="12" s="1"/>
  <c r="I73" i="12"/>
  <c r="J73" i="12" s="1"/>
  <c r="I72" i="12"/>
  <c r="J72" i="12" s="1"/>
  <c r="I71" i="12"/>
  <c r="J71" i="12" s="1"/>
  <c r="I70" i="12"/>
  <c r="J70" i="12" s="1"/>
  <c r="I69" i="12"/>
  <c r="J69" i="12" s="1"/>
  <c r="I68" i="12"/>
  <c r="J68" i="12" s="1"/>
  <c r="I67" i="12"/>
  <c r="J67" i="12" s="1"/>
  <c r="I66" i="12"/>
  <c r="J66" i="12" s="1"/>
  <c r="I65" i="12"/>
  <c r="J65" i="12" s="1"/>
  <c r="I64" i="12"/>
  <c r="J64" i="12" s="1"/>
  <c r="I63" i="12"/>
  <c r="J63" i="12" s="1"/>
  <c r="I62" i="12"/>
  <c r="J62" i="12" s="1"/>
  <c r="I61" i="12"/>
  <c r="J61" i="12" s="1"/>
  <c r="I60" i="12"/>
  <c r="J60" i="12" s="1"/>
  <c r="I59" i="12"/>
  <c r="J59" i="12" s="1"/>
  <c r="I58" i="12"/>
  <c r="J58" i="12" s="1"/>
  <c r="I57" i="12"/>
  <c r="J57" i="12" s="1"/>
  <c r="I56" i="12"/>
  <c r="J56" i="12" s="1"/>
  <c r="I55" i="12"/>
  <c r="J55" i="12" s="1"/>
  <c r="I54" i="12"/>
  <c r="J54" i="12" s="1"/>
  <c r="I53" i="12"/>
  <c r="J53" i="12" s="1"/>
  <c r="I52" i="12"/>
  <c r="J52" i="12" s="1"/>
  <c r="I51" i="12"/>
  <c r="J51" i="12" s="1"/>
  <c r="I50" i="12"/>
  <c r="J50" i="12" s="1"/>
  <c r="I49" i="12"/>
  <c r="J49" i="12" s="1"/>
  <c r="I48" i="12"/>
  <c r="J48" i="12" s="1"/>
  <c r="I47" i="12"/>
  <c r="J47" i="12" s="1"/>
  <c r="I46" i="12"/>
  <c r="J46" i="12" s="1"/>
  <c r="I45" i="12"/>
  <c r="J45" i="12" s="1"/>
  <c r="I44" i="12"/>
  <c r="J44" i="12" s="1"/>
  <c r="I43" i="12"/>
  <c r="J43" i="12" s="1"/>
  <c r="I42" i="12"/>
  <c r="J42" i="12" s="1"/>
  <c r="I41" i="12"/>
  <c r="J41" i="12" s="1"/>
  <c r="I40" i="12"/>
  <c r="J40" i="12" s="1"/>
  <c r="I39" i="12"/>
  <c r="J39" i="12" s="1"/>
  <c r="I38" i="12"/>
  <c r="J38" i="12" s="1"/>
  <c r="I37" i="12"/>
  <c r="J37" i="12" s="1"/>
  <c r="I36" i="12"/>
  <c r="J36" i="12" s="1"/>
  <c r="I35" i="12"/>
  <c r="J35" i="12" s="1"/>
  <c r="I34" i="12"/>
  <c r="J34" i="12" s="1"/>
  <c r="I33" i="12"/>
  <c r="J33" i="12" s="1"/>
  <c r="I32" i="12"/>
  <c r="J32" i="12" s="1"/>
  <c r="I31" i="12"/>
  <c r="J31" i="12" s="1"/>
  <c r="I30" i="12"/>
  <c r="J30" i="12" s="1"/>
  <c r="I29" i="12"/>
  <c r="J29" i="12" s="1"/>
  <c r="I28" i="12"/>
  <c r="J28" i="12" s="1"/>
  <c r="I27" i="12"/>
  <c r="J27" i="12" s="1"/>
  <c r="I26" i="12"/>
  <c r="J26" i="12" s="1"/>
  <c r="I25" i="12"/>
  <c r="J25" i="12" s="1"/>
  <c r="I24" i="12"/>
  <c r="J24" i="12" s="1"/>
  <c r="I23" i="12"/>
  <c r="J23" i="12" s="1"/>
  <c r="I22" i="12"/>
  <c r="J22" i="12" s="1"/>
  <c r="I21" i="12"/>
  <c r="J21" i="12" s="1"/>
  <c r="I20" i="12"/>
  <c r="J20" i="12" s="1"/>
  <c r="I19" i="12"/>
  <c r="J19" i="12" s="1"/>
  <c r="I18" i="12"/>
  <c r="J18" i="12" s="1"/>
  <c r="I17" i="12"/>
  <c r="J17" i="12" s="1"/>
  <c r="I16" i="12"/>
  <c r="J16" i="12" s="1"/>
  <c r="I15" i="12"/>
  <c r="J15" i="12" s="1"/>
  <c r="I14" i="12"/>
  <c r="J14" i="12" s="1"/>
  <c r="I13" i="12"/>
  <c r="J13" i="12" s="1"/>
  <c r="I12" i="12"/>
  <c r="J12" i="12" s="1"/>
  <c r="I11" i="12"/>
  <c r="J11" i="12" s="1"/>
  <c r="I10" i="12"/>
  <c r="J10" i="12" s="1"/>
  <c r="I9" i="12"/>
  <c r="J9" i="12" s="1"/>
  <c r="I8" i="12"/>
  <c r="J8" i="12" s="1"/>
  <c r="I7" i="12"/>
  <c r="J7" i="12" s="1"/>
  <c r="I6" i="12"/>
  <c r="J6" i="12" s="1"/>
  <c r="I5" i="12"/>
  <c r="J5" i="12" s="1"/>
  <c r="I4" i="12"/>
  <c r="J4" i="12" s="1"/>
  <c r="I3" i="12"/>
  <c r="J3" i="12" s="1"/>
  <c r="I2" i="12"/>
  <c r="J2" i="12" s="1"/>
  <c r="CH12" i="4" l="1"/>
  <c r="BW9" i="4"/>
  <c r="CH10" i="4"/>
  <c r="BW11" i="4"/>
  <c r="CH9" i="4"/>
  <c r="CH11" i="4"/>
  <c r="J245" i="11"/>
  <c r="J246" i="11"/>
  <c r="J244" i="11"/>
  <c r="J243" i="11"/>
  <c r="L231" i="11"/>
  <c r="L227" i="11"/>
  <c r="L57" i="11"/>
  <c r="L96" i="11"/>
  <c r="L150" i="11"/>
  <c r="L199" i="11"/>
  <c r="L170" i="11"/>
  <c r="L79" i="11"/>
  <c r="L194" i="11"/>
  <c r="L126" i="11"/>
  <c r="L191" i="11"/>
  <c r="L188" i="11"/>
  <c r="L127" i="11"/>
  <c r="L192" i="11"/>
  <c r="L101" i="11"/>
  <c r="L72" i="11"/>
  <c r="L105" i="11"/>
  <c r="L62" i="11"/>
  <c r="L234" i="11"/>
  <c r="L240" i="11"/>
  <c r="L183" i="11"/>
  <c r="L173" i="11"/>
  <c r="L190" i="11"/>
  <c r="L201" i="11"/>
  <c r="L120" i="11"/>
  <c r="L142" i="11"/>
  <c r="L160" i="11"/>
  <c r="L77" i="11"/>
  <c r="L78" i="11"/>
  <c r="L184" i="11"/>
  <c r="L229" i="11"/>
  <c r="L174" i="11"/>
  <c r="L63" i="11"/>
  <c r="L197" i="11"/>
  <c r="L146" i="11"/>
  <c r="L202" i="11"/>
  <c r="L93" i="11"/>
  <c r="L122" i="11"/>
  <c r="L60" i="11"/>
  <c r="L182" i="11"/>
  <c r="L208" i="11"/>
  <c r="L178" i="11"/>
  <c r="L181" i="11"/>
  <c r="L164" i="11"/>
  <c r="L176" i="11"/>
  <c r="L119" i="11"/>
  <c r="L141" i="11"/>
  <c r="L110" i="11"/>
  <c r="L212" i="11"/>
  <c r="L156" i="11"/>
  <c r="L196" i="11"/>
  <c r="L177" i="11"/>
  <c r="L116" i="11"/>
  <c r="L97" i="11"/>
  <c r="L159" i="11"/>
  <c r="L134" i="11"/>
  <c r="L216" i="11"/>
  <c r="L161" i="11"/>
  <c r="L118" i="11"/>
  <c r="L117" i="11"/>
  <c r="L185" i="11"/>
  <c r="L58" i="11"/>
  <c r="L84" i="11"/>
  <c r="L233" i="11"/>
  <c r="L200" i="11"/>
  <c r="L89" i="11"/>
  <c r="L81" i="11"/>
  <c r="L198" i="11"/>
  <c r="L151" i="11"/>
  <c r="L88" i="11"/>
  <c r="L112" i="11"/>
  <c r="L106" i="11"/>
  <c r="L175" i="11"/>
  <c r="L158" i="11"/>
  <c r="L154" i="11"/>
  <c r="L157" i="11"/>
  <c r="L187" i="11"/>
  <c r="L203" i="11"/>
  <c r="L115" i="11"/>
  <c r="L169" i="11"/>
  <c r="L167" i="11"/>
  <c r="L108" i="11"/>
  <c r="L103" i="11"/>
  <c r="L162" i="11"/>
  <c r="L138" i="11"/>
  <c r="L143" i="11"/>
  <c r="L87" i="11"/>
  <c r="L155" i="11"/>
  <c r="L132" i="11"/>
  <c r="L209" i="11"/>
  <c r="L113" i="11"/>
  <c r="L172" i="11"/>
  <c r="L210" i="11"/>
  <c r="L171" i="11"/>
  <c r="L104" i="11"/>
  <c r="L73" i="11"/>
  <c r="L133" i="11"/>
  <c r="L195" i="11"/>
  <c r="L95" i="11"/>
  <c r="L237" i="11"/>
  <c r="L52" i="11"/>
  <c r="L149" i="11"/>
  <c r="L16" i="11"/>
  <c r="L9" i="11"/>
  <c r="L223" i="11"/>
  <c r="L75" i="11"/>
  <c r="L225" i="11"/>
  <c r="L42" i="11"/>
  <c r="L23" i="11"/>
  <c r="L37" i="11"/>
  <c r="L3" i="11"/>
  <c r="L33" i="11"/>
  <c r="L66" i="11"/>
  <c r="L21" i="11"/>
  <c r="L219" i="11"/>
  <c r="L74" i="11"/>
  <c r="L15" i="11"/>
  <c r="L71" i="11"/>
  <c r="L218" i="11"/>
  <c r="L61" i="11"/>
  <c r="L221" i="11"/>
  <c r="L49" i="11"/>
  <c r="L53" i="11"/>
  <c r="L186" i="11"/>
  <c r="L50" i="11"/>
  <c r="L40" i="11"/>
  <c r="L54" i="11"/>
  <c r="L55" i="11"/>
  <c r="L46" i="11"/>
  <c r="L51" i="11"/>
  <c r="L32" i="11"/>
  <c r="L34" i="11"/>
  <c r="L168" i="11"/>
  <c r="L36" i="11"/>
  <c r="L31" i="11"/>
  <c r="L90" i="11"/>
  <c r="L83" i="11"/>
  <c r="L68" i="11"/>
  <c r="L41" i="11"/>
  <c r="L179" i="11"/>
  <c r="L2" i="11"/>
  <c r="L114" i="11"/>
  <c r="L166" i="11"/>
  <c r="L4" i="11"/>
  <c r="L18" i="11"/>
  <c r="L25" i="11"/>
  <c r="L20" i="11"/>
  <c r="L11" i="11"/>
  <c r="L64" i="11"/>
  <c r="L48" i="11"/>
  <c r="L82" i="11"/>
  <c r="L70" i="11"/>
  <c r="L10" i="11"/>
  <c r="L45" i="11"/>
  <c r="L6" i="11"/>
  <c r="L13" i="11"/>
  <c r="L224" i="11"/>
  <c r="L28" i="11"/>
  <c r="L232" i="11"/>
  <c r="L67" i="11"/>
  <c r="L12" i="11"/>
  <c r="L69" i="11"/>
  <c r="L29" i="11"/>
  <c r="L14" i="11"/>
  <c r="L207" i="11"/>
  <c r="L124" i="11"/>
  <c r="L17" i="11"/>
  <c r="L24" i="11"/>
  <c r="L59" i="11"/>
  <c r="L121" i="11"/>
  <c r="L19" i="11"/>
  <c r="J247" i="11"/>
  <c r="J248" i="11"/>
  <c r="L230" i="11"/>
  <c r="L99" i="11"/>
  <c r="L193" i="11"/>
  <c r="L228" i="11"/>
  <c r="L213" i="11"/>
  <c r="L102" i="11"/>
  <c r="L137" i="11"/>
  <c r="L107" i="11"/>
  <c r="L152" i="11"/>
  <c r="L65" i="11"/>
  <c r="L238" i="11"/>
  <c r="L206" i="11"/>
  <c r="L129" i="11"/>
  <c r="L204" i="11"/>
  <c r="L111" i="11"/>
  <c r="L163" i="11"/>
  <c r="L140" i="11"/>
  <c r="L98" i="11"/>
  <c r="L91" i="11"/>
  <c r="L153" i="11"/>
  <c r="L136" i="11"/>
  <c r="L128" i="11"/>
  <c r="L226" i="11"/>
  <c r="L125" i="11"/>
  <c r="L236" i="11"/>
  <c r="L94" i="11"/>
  <c r="L235" i="11"/>
  <c r="L180" i="11"/>
  <c r="L215" i="11"/>
  <c r="L86" i="11"/>
  <c r="L109" i="11"/>
  <c r="L139" i="11"/>
  <c r="L135" i="11"/>
  <c r="L214" i="11"/>
  <c r="L148" i="11"/>
  <c r="L85" i="11"/>
  <c r="L145" i="11"/>
  <c r="L189" i="11"/>
  <c r="L165" i="11"/>
  <c r="L123" i="11"/>
  <c r="L130" i="11"/>
  <c r="L76" i="11"/>
  <c r="L131" i="11"/>
  <c r="L205" i="11"/>
  <c r="L35" i="11"/>
  <c r="L38" i="11"/>
  <c r="L7" i="11"/>
  <c r="L220" i="11"/>
  <c r="L43" i="11"/>
  <c r="L30" i="11"/>
  <c r="L5" i="11"/>
  <c r="L22" i="11"/>
  <c r="L47" i="11"/>
  <c r="L26" i="11"/>
  <c r="L92" i="11"/>
  <c r="L144" i="11"/>
  <c r="L239" i="11"/>
  <c r="L222" i="11"/>
  <c r="L39" i="11"/>
  <c r="L100" i="11"/>
  <c r="L8" i="11"/>
  <c r="L80" i="11"/>
  <c r="L27" i="11"/>
  <c r="L56" i="11"/>
  <c r="L44" i="11"/>
  <c r="L211" i="11" l="1"/>
  <c r="L147" i="11"/>
  <c r="L241" i="11"/>
  <c r="D347" i="11" l="1"/>
  <c r="E347" i="11" s="1"/>
  <c r="D346" i="11"/>
  <c r="E346" i="11" s="1"/>
  <c r="D345" i="11"/>
  <c r="E345" i="11" s="1"/>
  <c r="D344" i="11"/>
  <c r="E344" i="11" s="1"/>
  <c r="D343" i="11"/>
  <c r="E343" i="11" s="1"/>
  <c r="D342" i="11"/>
  <c r="E342" i="11" s="1"/>
  <c r="D341" i="11"/>
  <c r="E341" i="11" s="1"/>
  <c r="D340" i="11"/>
  <c r="E340" i="11" s="1"/>
  <c r="D339" i="11"/>
  <c r="E339" i="11" s="1"/>
  <c r="D338" i="11"/>
  <c r="E338" i="11" s="1"/>
  <c r="D337" i="11"/>
  <c r="E337" i="11" s="1"/>
  <c r="D336" i="11"/>
  <c r="E336" i="11" s="1"/>
  <c r="D335" i="11"/>
  <c r="E335" i="11" s="1"/>
  <c r="D334" i="11"/>
  <c r="E334" i="11" s="1"/>
  <c r="D333" i="11"/>
  <c r="E333" i="11" s="1"/>
  <c r="D332" i="11"/>
  <c r="E332" i="11" s="1"/>
  <c r="D331" i="11"/>
  <c r="E331" i="11" s="1"/>
  <c r="D330" i="11"/>
  <c r="E330" i="11" s="1"/>
  <c r="D329" i="11"/>
  <c r="E329" i="11" s="1"/>
  <c r="D328" i="11"/>
  <c r="E328" i="11" s="1"/>
  <c r="D327" i="11"/>
  <c r="E327" i="11" s="1"/>
  <c r="D326" i="11"/>
  <c r="E326" i="11" s="1"/>
  <c r="D325" i="11"/>
  <c r="E325" i="11" s="1"/>
  <c r="D324" i="11"/>
  <c r="E324" i="11" s="1"/>
  <c r="D323" i="11"/>
  <c r="E323" i="11" s="1"/>
  <c r="D322" i="11"/>
  <c r="E322" i="11" s="1"/>
  <c r="D321" i="11"/>
  <c r="E321" i="11" s="1"/>
  <c r="D320" i="11"/>
  <c r="E320" i="11" s="1"/>
  <c r="D319" i="11"/>
  <c r="E319" i="11" s="1"/>
  <c r="D318" i="11"/>
  <c r="E318" i="11" s="1"/>
  <c r="D317" i="11"/>
  <c r="E317" i="11" s="1"/>
  <c r="D316" i="11"/>
  <c r="E316" i="11" s="1"/>
  <c r="D315" i="11"/>
  <c r="E315" i="11" s="1"/>
  <c r="D314" i="11"/>
  <c r="E314" i="11" s="1"/>
  <c r="D313" i="11"/>
  <c r="E313" i="11" s="1"/>
  <c r="D312" i="11"/>
  <c r="E312" i="11" s="1"/>
  <c r="D311" i="11"/>
  <c r="E311" i="11" s="1"/>
  <c r="D310" i="11"/>
  <c r="E310" i="11" s="1"/>
  <c r="D309" i="11"/>
  <c r="E309" i="11" s="1"/>
  <c r="D308" i="11"/>
  <c r="E308" i="11" s="1"/>
  <c r="D307" i="11"/>
  <c r="E307" i="11" s="1"/>
  <c r="D306" i="11"/>
  <c r="E306" i="11" s="1"/>
  <c r="D305" i="11"/>
  <c r="E305" i="11" s="1"/>
  <c r="D304" i="11"/>
  <c r="E304" i="11" s="1"/>
  <c r="D303" i="11"/>
  <c r="E303" i="11" s="1"/>
  <c r="D302" i="11"/>
  <c r="E302" i="11" s="1"/>
  <c r="D301" i="11"/>
  <c r="E301" i="11" s="1"/>
  <c r="D300" i="11"/>
  <c r="E300" i="11" s="1"/>
  <c r="D299" i="11"/>
  <c r="E299" i="11" s="1"/>
  <c r="D298" i="11"/>
  <c r="E298" i="11" s="1"/>
  <c r="D297" i="11"/>
  <c r="E297" i="11" s="1"/>
  <c r="D296" i="11"/>
  <c r="E296" i="11" s="1"/>
  <c r="D295" i="11"/>
  <c r="E295" i="11" s="1"/>
  <c r="D294" i="11"/>
  <c r="E294" i="11" s="1"/>
  <c r="D293" i="11"/>
  <c r="E293" i="11" s="1"/>
  <c r="D292" i="11"/>
  <c r="E292" i="11" s="1"/>
  <c r="D291" i="11"/>
  <c r="E291" i="11" s="1"/>
  <c r="D290" i="11"/>
  <c r="E290" i="11" s="1"/>
  <c r="D289" i="11"/>
  <c r="E289" i="11" s="1"/>
  <c r="D288" i="11"/>
  <c r="E288" i="11" s="1"/>
  <c r="D287" i="11"/>
  <c r="E287" i="11" s="1"/>
  <c r="D286" i="11"/>
  <c r="E286" i="11" s="1"/>
  <c r="D285" i="11"/>
  <c r="E285" i="11" s="1"/>
  <c r="D284" i="11"/>
  <c r="E284" i="11" s="1"/>
  <c r="D283" i="11"/>
  <c r="E283" i="11" s="1"/>
  <c r="D282" i="11"/>
  <c r="E282" i="11" s="1"/>
  <c r="D281" i="11"/>
  <c r="E281" i="11" s="1"/>
  <c r="D280" i="11"/>
  <c r="E280" i="11" s="1"/>
  <c r="D279" i="11"/>
  <c r="E279" i="11" s="1"/>
  <c r="D278" i="11"/>
  <c r="E278" i="11" s="1"/>
  <c r="D277" i="11"/>
  <c r="E277" i="11" s="1"/>
  <c r="D276" i="11"/>
  <c r="E276" i="11" s="1"/>
  <c r="D275" i="11"/>
  <c r="E275" i="11" s="1"/>
  <c r="D274" i="11"/>
  <c r="E274" i="11" s="1"/>
  <c r="D273" i="11"/>
  <c r="E273" i="11" s="1"/>
  <c r="D272" i="11"/>
  <c r="E272" i="11" s="1"/>
  <c r="D271" i="11"/>
  <c r="E271" i="11" s="1"/>
  <c r="D270" i="11"/>
  <c r="E270" i="11" s="1"/>
  <c r="D269" i="11"/>
  <c r="E269" i="11" s="1"/>
  <c r="D268" i="11"/>
  <c r="E268" i="11" s="1"/>
  <c r="D267" i="11"/>
  <c r="E267" i="11" s="1"/>
  <c r="D266" i="11"/>
  <c r="E266" i="11" s="1"/>
  <c r="D265" i="11"/>
  <c r="E265" i="11" s="1"/>
  <c r="D264" i="11"/>
  <c r="E264" i="11" s="1"/>
  <c r="D263" i="11"/>
  <c r="E263" i="11" s="1"/>
  <c r="D262" i="11"/>
  <c r="E262" i="11" s="1"/>
  <c r="D261" i="11"/>
  <c r="E261" i="11" s="1"/>
  <c r="D260" i="11"/>
  <c r="E260" i="11" s="1"/>
  <c r="D259" i="11"/>
  <c r="E259" i="11" s="1"/>
  <c r="D258" i="11"/>
  <c r="E258" i="11" s="1"/>
  <c r="D257" i="11"/>
  <c r="E257" i="11" s="1"/>
  <c r="D256" i="11"/>
  <c r="E256" i="11" s="1"/>
  <c r="D255" i="11"/>
  <c r="E255" i="11" s="1"/>
  <c r="D254" i="11"/>
  <c r="E254" i="11" s="1"/>
  <c r="D253" i="11"/>
  <c r="E253" i="11" s="1"/>
  <c r="D252" i="11"/>
  <c r="E252" i="11" s="1"/>
  <c r="D251" i="11"/>
  <c r="E251" i="11" s="1"/>
  <c r="D250" i="11"/>
  <c r="E250" i="11" s="1"/>
  <c r="D249" i="11"/>
  <c r="E249" i="11" s="1"/>
  <c r="D248" i="11"/>
  <c r="E248" i="11" s="1"/>
  <c r="D247" i="11"/>
  <c r="E247" i="11" s="1"/>
  <c r="D246" i="11"/>
  <c r="E246" i="11" s="1"/>
  <c r="D245" i="11"/>
  <c r="E245" i="11" s="1"/>
  <c r="D244" i="11"/>
  <c r="E244" i="11" s="1"/>
  <c r="D243" i="11"/>
  <c r="E243" i="11" s="1"/>
  <c r="D242" i="11"/>
  <c r="E242" i="11" s="1"/>
  <c r="D241" i="11"/>
  <c r="E241" i="11" s="1"/>
  <c r="D240" i="11"/>
  <c r="E240" i="11" s="1"/>
  <c r="D239" i="11"/>
  <c r="E239" i="11" s="1"/>
  <c r="D238" i="11"/>
  <c r="E238" i="11" s="1"/>
  <c r="D237" i="11"/>
  <c r="E237" i="11" s="1"/>
  <c r="D236" i="11"/>
  <c r="E236" i="11" s="1"/>
  <c r="D235" i="11"/>
  <c r="E235" i="11" s="1"/>
  <c r="D234" i="11"/>
  <c r="E234" i="11" s="1"/>
  <c r="D233" i="11"/>
  <c r="E233" i="11" s="1"/>
  <c r="D232" i="11"/>
  <c r="E232" i="11" s="1"/>
  <c r="D231" i="11"/>
  <c r="E231" i="11" s="1"/>
  <c r="D230" i="11"/>
  <c r="E230" i="11" s="1"/>
  <c r="D229" i="11"/>
  <c r="E229" i="11" s="1"/>
  <c r="D228" i="11"/>
  <c r="E228" i="11" s="1"/>
  <c r="D227" i="11"/>
  <c r="E227" i="11" s="1"/>
  <c r="D226" i="11"/>
  <c r="E226" i="11" s="1"/>
  <c r="D225" i="11"/>
  <c r="E225" i="11" s="1"/>
  <c r="D224" i="11"/>
  <c r="E224" i="11" s="1"/>
  <c r="D223" i="11"/>
  <c r="E223" i="11" s="1"/>
  <c r="D222" i="11"/>
  <c r="E222" i="11" s="1"/>
  <c r="D221" i="11"/>
  <c r="E221" i="11" s="1"/>
  <c r="D220" i="11"/>
  <c r="E220" i="11" s="1"/>
  <c r="D219" i="11"/>
  <c r="E219" i="11" s="1"/>
  <c r="D218" i="11"/>
  <c r="E218" i="11" s="1"/>
  <c r="D217" i="11"/>
  <c r="E217" i="11" s="1"/>
  <c r="D216" i="11"/>
  <c r="E216" i="11" s="1"/>
  <c r="D215" i="11"/>
  <c r="E215" i="11" s="1"/>
  <c r="D214" i="11"/>
  <c r="E214" i="11" s="1"/>
  <c r="D213" i="11"/>
  <c r="E213" i="11" s="1"/>
  <c r="D212" i="11"/>
  <c r="E212" i="11" s="1"/>
  <c r="D211" i="11"/>
  <c r="E211" i="11" s="1"/>
  <c r="D210" i="11"/>
  <c r="E210" i="11" s="1"/>
  <c r="D209" i="11"/>
  <c r="E209" i="11" s="1"/>
  <c r="D208" i="11"/>
  <c r="E208" i="11" s="1"/>
  <c r="D207" i="11"/>
  <c r="E207" i="11" s="1"/>
  <c r="D206" i="11"/>
  <c r="E206" i="11" s="1"/>
  <c r="D205" i="11"/>
  <c r="E205" i="11" s="1"/>
  <c r="D204" i="11"/>
  <c r="E204" i="11" s="1"/>
  <c r="D203" i="11"/>
  <c r="E203" i="11" s="1"/>
  <c r="D202" i="11"/>
  <c r="E202" i="11" s="1"/>
  <c r="D201" i="11"/>
  <c r="E201" i="11" s="1"/>
  <c r="D200" i="11"/>
  <c r="E200" i="11" s="1"/>
  <c r="D199" i="11"/>
  <c r="E199" i="11" s="1"/>
  <c r="D198" i="11"/>
  <c r="E198" i="11" s="1"/>
  <c r="D197" i="11"/>
  <c r="E197" i="11" s="1"/>
  <c r="D196" i="11"/>
  <c r="E196" i="11" s="1"/>
  <c r="D195" i="11"/>
  <c r="E195" i="11" s="1"/>
  <c r="D194" i="11"/>
  <c r="E194" i="11" s="1"/>
  <c r="D193" i="11"/>
  <c r="E193" i="11" s="1"/>
  <c r="D192" i="11"/>
  <c r="E192" i="11" s="1"/>
  <c r="D191" i="11"/>
  <c r="E191" i="11" s="1"/>
  <c r="D190" i="11"/>
  <c r="E190" i="11" s="1"/>
  <c r="D189" i="11"/>
  <c r="E189" i="11" s="1"/>
  <c r="D188" i="11"/>
  <c r="E188" i="11" s="1"/>
  <c r="D187" i="11"/>
  <c r="E187" i="11" s="1"/>
  <c r="D186" i="11"/>
  <c r="E186" i="11" s="1"/>
  <c r="D185" i="11"/>
  <c r="E185" i="11" s="1"/>
  <c r="D184" i="11"/>
  <c r="E184" i="11" s="1"/>
  <c r="D183" i="11"/>
  <c r="E183" i="11" s="1"/>
  <c r="D182" i="11"/>
  <c r="E182" i="11" s="1"/>
  <c r="D181" i="11"/>
  <c r="E181" i="11" s="1"/>
  <c r="D180" i="11"/>
  <c r="E180" i="11" s="1"/>
  <c r="D179" i="11"/>
  <c r="E179" i="11" s="1"/>
  <c r="D178" i="11"/>
  <c r="E178" i="11" s="1"/>
  <c r="D177" i="11"/>
  <c r="E177" i="11" s="1"/>
  <c r="D176" i="11"/>
  <c r="E176" i="11" s="1"/>
  <c r="D175" i="11"/>
  <c r="E175" i="11" s="1"/>
  <c r="D174" i="11"/>
  <c r="E174" i="11" s="1"/>
  <c r="D173" i="11"/>
  <c r="E173" i="11" s="1"/>
  <c r="D172" i="11"/>
  <c r="E172" i="11" s="1"/>
  <c r="D171" i="11"/>
  <c r="E171" i="11" s="1"/>
  <c r="D170" i="11"/>
  <c r="E170" i="11" s="1"/>
  <c r="D169" i="11"/>
  <c r="E169" i="11" s="1"/>
  <c r="D168" i="11"/>
  <c r="E168" i="11" s="1"/>
  <c r="D167" i="11"/>
  <c r="E167" i="11" s="1"/>
  <c r="D166" i="11"/>
  <c r="E166" i="11" s="1"/>
  <c r="D165" i="11"/>
  <c r="E165" i="11" s="1"/>
  <c r="D164" i="11"/>
  <c r="E164" i="11" s="1"/>
  <c r="D163" i="11"/>
  <c r="E163" i="11" s="1"/>
  <c r="D162" i="11"/>
  <c r="E162" i="11" s="1"/>
  <c r="D161" i="11"/>
  <c r="E161" i="11" s="1"/>
  <c r="D160" i="11"/>
  <c r="E160" i="11" s="1"/>
  <c r="D159" i="11"/>
  <c r="E159" i="11" s="1"/>
  <c r="D158" i="11"/>
  <c r="E158" i="11" s="1"/>
  <c r="D157" i="11"/>
  <c r="E157" i="11" s="1"/>
  <c r="D156" i="11"/>
  <c r="E156" i="11" s="1"/>
  <c r="D155" i="11"/>
  <c r="E155" i="11" s="1"/>
  <c r="D154" i="11"/>
  <c r="E154" i="11" s="1"/>
  <c r="D153" i="11"/>
  <c r="E153" i="11" s="1"/>
  <c r="D152" i="11"/>
  <c r="E152" i="11" s="1"/>
  <c r="D151" i="11"/>
  <c r="E151" i="11" s="1"/>
  <c r="D150" i="11"/>
  <c r="E150" i="11" s="1"/>
  <c r="D149" i="11"/>
  <c r="E149" i="11" s="1"/>
  <c r="D148" i="11"/>
  <c r="E148" i="11" s="1"/>
  <c r="D147" i="11"/>
  <c r="E147" i="11" s="1"/>
  <c r="D146" i="11"/>
  <c r="E146" i="11" s="1"/>
  <c r="D145" i="11"/>
  <c r="E145" i="11" s="1"/>
  <c r="D144" i="11"/>
  <c r="E144" i="11" s="1"/>
  <c r="D143" i="11"/>
  <c r="E143" i="11" s="1"/>
  <c r="D142" i="11"/>
  <c r="E142" i="11" s="1"/>
  <c r="D141" i="11"/>
  <c r="E141" i="11" s="1"/>
  <c r="D140" i="11"/>
  <c r="E140" i="11" s="1"/>
  <c r="D139" i="11"/>
  <c r="E139" i="11" s="1"/>
  <c r="D138" i="11"/>
  <c r="E138" i="11" s="1"/>
  <c r="D137" i="11"/>
  <c r="E137" i="11" s="1"/>
  <c r="D136" i="11"/>
  <c r="E136" i="11" s="1"/>
  <c r="D135" i="11"/>
  <c r="E135" i="11" s="1"/>
  <c r="D134" i="11"/>
  <c r="E134" i="11" s="1"/>
  <c r="D133" i="11"/>
  <c r="E133" i="11" s="1"/>
  <c r="D132" i="11"/>
  <c r="E132" i="11" s="1"/>
  <c r="D131" i="11"/>
  <c r="E131" i="11" s="1"/>
  <c r="D130" i="11"/>
  <c r="E130" i="11" s="1"/>
  <c r="D129" i="11"/>
  <c r="E129" i="11" s="1"/>
  <c r="D128" i="11"/>
  <c r="E128" i="11" s="1"/>
  <c r="D127" i="11"/>
  <c r="E127" i="11" s="1"/>
  <c r="D126" i="11"/>
  <c r="E126" i="11" s="1"/>
  <c r="D125" i="11"/>
  <c r="E125" i="11" s="1"/>
  <c r="D124" i="11"/>
  <c r="E124" i="11" s="1"/>
  <c r="D123" i="11"/>
  <c r="E123" i="11" s="1"/>
  <c r="D122" i="11"/>
  <c r="E122" i="11" s="1"/>
  <c r="D121" i="11"/>
  <c r="E121" i="11" s="1"/>
  <c r="D120" i="11"/>
  <c r="E120" i="11" s="1"/>
  <c r="D119" i="11"/>
  <c r="E119" i="11" s="1"/>
  <c r="D118" i="11"/>
  <c r="E118" i="11" s="1"/>
  <c r="D117" i="11"/>
  <c r="E117" i="11" s="1"/>
  <c r="D116" i="11"/>
  <c r="E116" i="11" s="1"/>
  <c r="D115" i="11"/>
  <c r="E115" i="11" s="1"/>
  <c r="D114" i="11"/>
  <c r="E114" i="11" s="1"/>
  <c r="D113" i="11"/>
  <c r="E113" i="11" s="1"/>
  <c r="D112" i="11"/>
  <c r="E112" i="11" s="1"/>
  <c r="D111" i="11"/>
  <c r="E111" i="11" s="1"/>
  <c r="D110" i="11"/>
  <c r="E110" i="11" s="1"/>
  <c r="D109" i="11"/>
  <c r="E109" i="11" s="1"/>
  <c r="D108" i="11"/>
  <c r="E108" i="11" s="1"/>
  <c r="D107" i="11"/>
  <c r="E107" i="11" s="1"/>
  <c r="D106" i="11"/>
  <c r="E106" i="11" s="1"/>
  <c r="D105" i="11"/>
  <c r="E105" i="11" s="1"/>
  <c r="D104" i="11"/>
  <c r="E104" i="11" s="1"/>
  <c r="D103" i="11"/>
  <c r="E103" i="11" s="1"/>
  <c r="D102" i="11"/>
  <c r="E102" i="11" s="1"/>
  <c r="D101" i="11"/>
  <c r="E101" i="11" s="1"/>
  <c r="D100" i="11"/>
  <c r="E100" i="11" s="1"/>
  <c r="D99" i="11"/>
  <c r="E99" i="11" s="1"/>
  <c r="D98" i="11"/>
  <c r="E98" i="11" s="1"/>
  <c r="D97" i="11"/>
  <c r="E97" i="11" s="1"/>
  <c r="D96" i="11"/>
  <c r="E96" i="11" s="1"/>
  <c r="D95" i="11"/>
  <c r="E95" i="11" s="1"/>
  <c r="D94" i="11"/>
  <c r="E94" i="11" s="1"/>
  <c r="D93" i="11"/>
  <c r="E93" i="11" s="1"/>
  <c r="D92" i="11"/>
  <c r="E92" i="11" s="1"/>
  <c r="D91" i="11"/>
  <c r="E91" i="11" s="1"/>
  <c r="D90" i="11"/>
  <c r="E90" i="11" s="1"/>
  <c r="D89" i="11"/>
  <c r="E89" i="11" s="1"/>
  <c r="D88" i="11"/>
  <c r="E88" i="11" s="1"/>
  <c r="D87" i="11"/>
  <c r="E87" i="11" s="1"/>
  <c r="D86" i="11"/>
  <c r="E86" i="11" s="1"/>
  <c r="D85" i="11"/>
  <c r="E85" i="11" s="1"/>
  <c r="D84" i="11"/>
  <c r="E84" i="11" s="1"/>
  <c r="D83" i="11"/>
  <c r="E83" i="11" s="1"/>
  <c r="D82" i="11"/>
  <c r="E82" i="11" s="1"/>
  <c r="D81" i="11"/>
  <c r="E81" i="11" s="1"/>
  <c r="D80" i="11"/>
  <c r="E80" i="11" s="1"/>
  <c r="D79" i="11"/>
  <c r="E79" i="11" s="1"/>
  <c r="D78" i="11"/>
  <c r="E78" i="11" s="1"/>
  <c r="D77" i="11"/>
  <c r="E77" i="11" s="1"/>
  <c r="D76" i="11"/>
  <c r="E76" i="11" s="1"/>
  <c r="D75" i="11"/>
  <c r="E75" i="11" s="1"/>
  <c r="D74" i="11"/>
  <c r="E74" i="11" s="1"/>
  <c r="D73" i="11"/>
  <c r="E73" i="11" s="1"/>
  <c r="D72" i="11"/>
  <c r="E72" i="11" s="1"/>
  <c r="D71" i="11"/>
  <c r="E71" i="11" s="1"/>
  <c r="D70" i="11"/>
  <c r="E70" i="11" s="1"/>
  <c r="D69" i="11"/>
  <c r="E69" i="11" s="1"/>
  <c r="D68" i="11"/>
  <c r="E68" i="11" s="1"/>
  <c r="D67" i="11"/>
  <c r="E67" i="11" s="1"/>
  <c r="D66" i="11"/>
  <c r="E66" i="11" s="1"/>
  <c r="D65" i="11"/>
  <c r="E65" i="11" s="1"/>
  <c r="D64" i="11"/>
  <c r="E64" i="11" s="1"/>
  <c r="D63" i="11"/>
  <c r="E63" i="11" s="1"/>
  <c r="D62" i="11"/>
  <c r="E62" i="11" s="1"/>
  <c r="D61" i="11"/>
  <c r="E61" i="11" s="1"/>
  <c r="D60" i="11"/>
  <c r="E60" i="11" s="1"/>
  <c r="D59" i="11"/>
  <c r="E59" i="11" s="1"/>
  <c r="D58" i="11"/>
  <c r="E58" i="11" s="1"/>
  <c r="D57" i="11"/>
  <c r="E57" i="11" s="1"/>
  <c r="D56" i="11"/>
  <c r="E56" i="11" s="1"/>
  <c r="D55" i="11"/>
  <c r="E55" i="11" s="1"/>
  <c r="D54" i="11"/>
  <c r="E54" i="11" s="1"/>
  <c r="D53" i="11"/>
  <c r="E53" i="11" s="1"/>
  <c r="D52" i="11"/>
  <c r="E52" i="11" s="1"/>
  <c r="D51" i="11"/>
  <c r="E51" i="11" s="1"/>
  <c r="D50" i="11"/>
  <c r="E50" i="11" s="1"/>
  <c r="D49" i="11"/>
  <c r="E49" i="11" s="1"/>
  <c r="D48" i="11"/>
  <c r="E48" i="11" s="1"/>
  <c r="D47" i="11"/>
  <c r="E47" i="11" s="1"/>
  <c r="D46" i="11"/>
  <c r="E46" i="11" s="1"/>
  <c r="D45" i="11"/>
  <c r="E45" i="11" s="1"/>
  <c r="D44" i="11"/>
  <c r="E44" i="11" s="1"/>
  <c r="D43" i="11"/>
  <c r="E43" i="11" s="1"/>
  <c r="D42" i="11"/>
  <c r="E42" i="11" s="1"/>
  <c r="D41" i="11"/>
  <c r="E41" i="11" s="1"/>
  <c r="D40" i="11"/>
  <c r="E40" i="11" s="1"/>
  <c r="D39" i="11"/>
  <c r="E39" i="11" s="1"/>
  <c r="D38" i="11"/>
  <c r="E38" i="11" s="1"/>
  <c r="D37" i="11"/>
  <c r="E37" i="11" s="1"/>
  <c r="D36" i="11"/>
  <c r="E36" i="11" s="1"/>
  <c r="D35" i="11"/>
  <c r="E35" i="11" s="1"/>
  <c r="D34" i="11"/>
  <c r="E34" i="11" s="1"/>
  <c r="D33" i="11"/>
  <c r="E33" i="11" s="1"/>
  <c r="D32" i="11"/>
  <c r="E32" i="11" s="1"/>
  <c r="D31" i="11"/>
  <c r="E31" i="11" s="1"/>
  <c r="D30" i="11"/>
  <c r="E30" i="11" s="1"/>
  <c r="D29" i="11"/>
  <c r="E29" i="11" s="1"/>
  <c r="D28" i="11"/>
  <c r="E28" i="11" s="1"/>
  <c r="D27" i="11"/>
  <c r="E27" i="11" s="1"/>
  <c r="D26" i="11"/>
  <c r="E26" i="11" s="1"/>
  <c r="D25" i="11"/>
  <c r="E25" i="11" s="1"/>
  <c r="D24" i="11"/>
  <c r="E24" i="11" s="1"/>
  <c r="D23" i="11"/>
  <c r="E23" i="11" s="1"/>
  <c r="D22" i="11"/>
  <c r="E22" i="11" s="1"/>
  <c r="D21" i="11"/>
  <c r="E21" i="11" s="1"/>
  <c r="D20" i="11"/>
  <c r="E20" i="11" s="1"/>
  <c r="D19" i="11"/>
  <c r="E19" i="11" s="1"/>
  <c r="D18" i="11"/>
  <c r="E18" i="11" s="1"/>
  <c r="D17" i="11"/>
  <c r="E17" i="11" s="1"/>
  <c r="D16" i="11"/>
  <c r="E16" i="11" s="1"/>
  <c r="D15" i="11"/>
  <c r="E15" i="11" s="1"/>
  <c r="D14" i="11"/>
  <c r="E14" i="11" s="1"/>
  <c r="D13" i="11"/>
  <c r="E13" i="11" s="1"/>
  <c r="D12" i="11"/>
  <c r="E12" i="11" s="1"/>
  <c r="D11" i="11"/>
  <c r="E11" i="11" s="1"/>
  <c r="D10" i="11"/>
  <c r="E10" i="11" s="1"/>
  <c r="D9" i="11"/>
  <c r="E9" i="11" s="1"/>
  <c r="D8" i="11"/>
  <c r="E8" i="11" s="1"/>
  <c r="D7" i="11"/>
  <c r="E7" i="11" s="1"/>
  <c r="D6" i="11"/>
  <c r="E6" i="11" s="1"/>
  <c r="D5" i="11"/>
  <c r="E5" i="11" s="1"/>
  <c r="D4" i="11"/>
  <c r="E4" i="11" s="1"/>
  <c r="D3" i="11"/>
  <c r="E3" i="11" s="1"/>
  <c r="D2" i="11"/>
  <c r="E2" i="11" s="1"/>
  <c r="E2" i="4" l="1"/>
  <c r="B4" i="9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<sst xmlns="http://schemas.openxmlformats.org/spreadsheetml/2006/main" count="6703" uniqueCount="4475">
  <si>
    <t>TIPO DE DOCUMENTO</t>
  </si>
  <si>
    <t>RC</t>
  </si>
  <si>
    <t>CC</t>
  </si>
  <si>
    <t>TI</t>
  </si>
  <si>
    <t>PEP</t>
  </si>
  <si>
    <t>SIN DOCUMENTO</t>
  </si>
  <si>
    <t>PASAPORTE</t>
  </si>
  <si>
    <t>PAIS</t>
  </si>
  <si>
    <t>COLOMBIA</t>
  </si>
  <si>
    <t>VENEZUELA</t>
  </si>
  <si>
    <t>PERU</t>
  </si>
  <si>
    <t>ECUADOR</t>
  </si>
  <si>
    <t>PANAMA</t>
  </si>
  <si>
    <t>BRASIL</t>
  </si>
  <si>
    <t>AMAZONAS</t>
  </si>
  <si>
    <t>ANTIOQUIA</t>
  </si>
  <si>
    <t>ARAUCA</t>
  </si>
  <si>
    <t>ATLÁNTICO</t>
  </si>
  <si>
    <t>BOLÍVAR</t>
  </si>
  <si>
    <t>BOYACÁ</t>
  </si>
  <si>
    <t>CALDAS</t>
  </si>
  <si>
    <t>CAQUETÁ</t>
  </si>
  <si>
    <t>CASANARE</t>
  </si>
  <si>
    <t>CAUCA</t>
  </si>
  <si>
    <t>CESAR</t>
  </si>
  <si>
    <t>CHOCÓ</t>
  </si>
  <si>
    <t>CUNDINAMARCA</t>
  </si>
  <si>
    <t>GUAINÍA</t>
  </si>
  <si>
    <t>GUAVIARE</t>
  </si>
  <si>
    <t>HUILA</t>
  </si>
  <si>
    <t>LA GUAJIRA</t>
  </si>
  <si>
    <t>MAGDALENA</t>
  </si>
  <si>
    <t>META</t>
  </si>
  <si>
    <t>NARIÑO</t>
  </si>
  <si>
    <t>PROVIDENCIA</t>
  </si>
  <si>
    <t>PUTUMAYO</t>
  </si>
  <si>
    <t>QUINDÍO</t>
  </si>
  <si>
    <t>RISARALDA</t>
  </si>
  <si>
    <t>SANTANDER</t>
  </si>
  <si>
    <t>SUCRE</t>
  </si>
  <si>
    <t>TOLIMA</t>
  </si>
  <si>
    <t>VALLE DEL CAUCA</t>
  </si>
  <si>
    <t>VAUPES</t>
  </si>
  <si>
    <t>VICHADA</t>
  </si>
  <si>
    <t>ESPECIALES</t>
  </si>
  <si>
    <t>EXTERIOR</t>
  </si>
  <si>
    <t>BARRANQUILLA</t>
  </si>
  <si>
    <t>LETICIA</t>
  </si>
  <si>
    <t>EL ENCANTO</t>
  </si>
  <si>
    <t>LA CHORRERA</t>
  </si>
  <si>
    <t>LA PEDRERA</t>
  </si>
  <si>
    <t>LA VICTORIA</t>
  </si>
  <si>
    <t>MIRITÍ-PARANÁ</t>
  </si>
  <si>
    <t>PUERTO ALEGRÍA</t>
  </si>
  <si>
    <t>PUERTO ARICA</t>
  </si>
  <si>
    <t xml:space="preserve">PUERTO </t>
  </si>
  <si>
    <t>TARAPACÁ</t>
  </si>
  <si>
    <t>MEDELLÍN</t>
  </si>
  <si>
    <t>YONDÓ</t>
  </si>
  <si>
    <t>CARTAGENA DE INDIAS</t>
  </si>
  <si>
    <t>EL CARMEN</t>
  </si>
  <si>
    <t>SAN ESTANISLAO</t>
  </si>
  <si>
    <t>TIQUISIO</t>
  </si>
  <si>
    <t>CUBARÁ</t>
  </si>
  <si>
    <t>TUNJA</t>
  </si>
  <si>
    <t>CACAHUAL</t>
  </si>
  <si>
    <t>LA GUADALUPE</t>
  </si>
  <si>
    <t>MAPIRIPANA</t>
  </si>
  <si>
    <t>MORICHAL NUEVO</t>
  </si>
  <si>
    <t>PANA PANA</t>
  </si>
  <si>
    <t>PUERTO COLOMBIA</t>
  </si>
  <si>
    <t>SAN FELIPE</t>
  </si>
  <si>
    <t>PUERTO CARREÑO</t>
  </si>
  <si>
    <t>VAUPÉS</t>
  </si>
  <si>
    <t>CARURÚ</t>
  </si>
  <si>
    <t xml:space="preserve">MITÚ </t>
  </si>
  <si>
    <t>TARAIRA</t>
  </si>
  <si>
    <t>PACOA</t>
  </si>
  <si>
    <t>PAPUNAUA</t>
  </si>
  <si>
    <t>YAVARATÉ</t>
  </si>
  <si>
    <t>BUENAVENTURA</t>
  </si>
  <si>
    <t>CALI</t>
  </si>
  <si>
    <t>CALIMA</t>
  </si>
  <si>
    <t>ARMERO</t>
  </si>
  <si>
    <t>ESPINAL</t>
  </si>
  <si>
    <t>IBAGUÉ</t>
  </si>
  <si>
    <t>COLOSÓ</t>
  </si>
  <si>
    <t>GALERAS</t>
  </si>
  <si>
    <t>SINCELEJO</t>
  </si>
  <si>
    <t>BUCARAMANGA</t>
  </si>
  <si>
    <t>CÚCUTA</t>
  </si>
  <si>
    <t>PROVIDENCIA Y SANTA CATALINA ISLAS</t>
  </si>
  <si>
    <t>SAN ANDRÉS</t>
  </si>
  <si>
    <t xml:space="preserve">PEREIRA </t>
  </si>
  <si>
    <t>ARMENIA</t>
  </si>
  <si>
    <t>MOCOA</t>
  </si>
  <si>
    <t>SAN MIGUEL</t>
  </si>
  <si>
    <t>VALLE DEL GUAMUEZ</t>
  </si>
  <si>
    <t>NORTE_DE_SANTANDER</t>
  </si>
  <si>
    <t>ARBOLEDA</t>
  </si>
  <si>
    <t xml:space="preserve">COLÓN </t>
  </si>
  <si>
    <t>CUASPUD</t>
  </si>
  <si>
    <t>LOS ANDES</t>
  </si>
  <si>
    <t>MALLAMA</t>
  </si>
  <si>
    <t>PASTO</t>
  </si>
  <si>
    <t>ROBERTO PAYÁN</t>
  </si>
  <si>
    <t>SANTA BÁRBARA</t>
  </si>
  <si>
    <t>SANTACRUZ</t>
  </si>
  <si>
    <t>VILLAVICENCIO</t>
  </si>
  <si>
    <t>ARIGUANÍ</t>
  </si>
  <si>
    <t>SANTA MARTA</t>
  </si>
  <si>
    <t>ZONA BANANERA</t>
  </si>
  <si>
    <t>RIOHACHA</t>
  </si>
  <si>
    <t>NEIVA</t>
  </si>
  <si>
    <t>ENTIDADES ESPECIALES</t>
  </si>
  <si>
    <t>VENECIA</t>
  </si>
  <si>
    <t>BOGOTÁ</t>
  </si>
  <si>
    <t>MANIZALES</t>
  </si>
  <si>
    <t>FLORENCIA</t>
  </si>
  <si>
    <t>YOPAL</t>
  </si>
  <si>
    <t>LÓPEZ DE MICAY</t>
  </si>
  <si>
    <t>PÁEZ</t>
  </si>
  <si>
    <t>PATÍA</t>
  </si>
  <si>
    <t>POPAYÁN</t>
  </si>
  <si>
    <t>PURACÉ</t>
  </si>
  <si>
    <t>SOTARÁ</t>
  </si>
  <si>
    <t>LA PAZ</t>
  </si>
  <si>
    <t>VALLEDUPAR</t>
  </si>
  <si>
    <t>GENERO</t>
  </si>
  <si>
    <t>MASCULINO</t>
  </si>
  <si>
    <t>FEMENINO</t>
  </si>
  <si>
    <t>LA_GUAJIRA</t>
  </si>
  <si>
    <t>VALLE_DEL_CAUCA</t>
  </si>
  <si>
    <t>AFROCOLOMBIANO</t>
  </si>
  <si>
    <t>INDIGENA</t>
  </si>
  <si>
    <t>NO SE AUTORECONOCE EN NINGUNO DE LOS ANTERIORES</t>
  </si>
  <si>
    <t>RAIZAL DEL ARCHIPIELAGO DE SAN ANDRES, PROVIDENCIA Y SANTA CATALINA</t>
  </si>
  <si>
    <t>SI/NO</t>
  </si>
  <si>
    <t>PAIS_RESIDENCIA</t>
  </si>
  <si>
    <t>ZONA_UBICACION</t>
  </si>
  <si>
    <t>CABECERA</t>
  </si>
  <si>
    <t>RESTO</t>
  </si>
  <si>
    <t>ESTRAT0</t>
  </si>
  <si>
    <t>LOCALIDAD</t>
  </si>
  <si>
    <t>BOSA</t>
  </si>
  <si>
    <t>CHAPINERO</t>
  </si>
  <si>
    <t>KENNEDY</t>
  </si>
  <si>
    <t>SUBA</t>
  </si>
  <si>
    <t>SUMAPAZ</t>
  </si>
  <si>
    <t>TEUSAQUILLO</t>
  </si>
  <si>
    <t>TUNJUELITO</t>
  </si>
  <si>
    <t>USME</t>
  </si>
  <si>
    <t>ANTONIO_NARIÑO</t>
  </si>
  <si>
    <t>BARRIOS_UNIDOS</t>
  </si>
  <si>
    <t>LA_CANDELARIA</t>
  </si>
  <si>
    <t>PUENTE_ARANDA</t>
  </si>
  <si>
    <t>RAFAEL_URIBE_URIBE</t>
  </si>
  <si>
    <t>SANTA_FE</t>
  </si>
  <si>
    <t>CIUDAD_BOLIVAR</t>
  </si>
  <si>
    <t>ENGATIVA</t>
  </si>
  <si>
    <t>FONTIBON</t>
  </si>
  <si>
    <t>LOS_MARTIRES</t>
  </si>
  <si>
    <t>SAN_CRISTOBAL</t>
  </si>
  <si>
    <t>USAQUEN</t>
  </si>
  <si>
    <r>
      <rPr>
        <sz val="6"/>
        <rFont val="Arial"/>
        <family val="2"/>
      </rPr>
      <t>CANAIMA</t>
    </r>
  </si>
  <si>
    <r>
      <rPr>
        <sz val="6"/>
        <rFont val="Arial"/>
        <family val="2"/>
      </rPr>
      <t>LA FLORESTA DE LA SABANA</t>
    </r>
  </si>
  <si>
    <r>
      <rPr>
        <sz val="6"/>
        <rFont val="Arial"/>
        <family val="2"/>
      </rPr>
      <t>TORCA</t>
    </r>
  </si>
  <si>
    <r>
      <rPr>
        <sz val="6"/>
        <rFont val="Arial"/>
        <family val="2"/>
      </rPr>
      <t>ALTO DE SERREZUELA</t>
    </r>
  </si>
  <si>
    <r>
      <rPr>
        <sz val="6"/>
        <rFont val="Arial"/>
        <family val="2"/>
      </rPr>
      <t>BALCONES DE VISTA HERMOSA</t>
    </r>
  </si>
  <si>
    <r>
      <rPr>
        <sz val="6"/>
        <rFont val="Arial"/>
        <family val="2"/>
      </rPr>
      <t>BALMORAL NORTE</t>
    </r>
  </si>
  <si>
    <r>
      <rPr>
        <sz val="6"/>
        <rFont val="Arial"/>
        <family val="2"/>
      </rPr>
      <t>BUENAVISTA</t>
    </r>
  </si>
  <si>
    <r>
      <rPr>
        <sz val="6"/>
        <rFont val="Arial"/>
        <family val="2"/>
      </rPr>
      <t>CHAPARRAL</t>
    </r>
  </si>
  <si>
    <r>
      <rPr>
        <sz val="6"/>
        <rFont val="Arial"/>
        <family val="2"/>
      </rPr>
      <t>EL CODITO</t>
    </r>
  </si>
  <si>
    <r>
      <rPr>
        <sz val="6"/>
        <rFont val="Arial"/>
        <family val="2"/>
      </rPr>
      <t>EL REFUGIO DE SAN ANTONIO</t>
    </r>
  </si>
  <si>
    <r>
      <rPr>
        <sz val="6"/>
        <rFont val="Arial"/>
        <family val="2"/>
      </rPr>
      <t>EL VERBENAL</t>
    </r>
  </si>
  <si>
    <r>
      <rPr>
        <sz val="6"/>
        <rFont val="Arial"/>
        <family val="2"/>
      </rPr>
      <t>HORIZONTES</t>
    </r>
  </si>
  <si>
    <r>
      <rPr>
        <sz val="6"/>
        <rFont val="Arial"/>
        <family val="2"/>
      </rPr>
      <t>LA ESTRELLITA</t>
    </r>
  </si>
  <si>
    <r>
      <rPr>
        <sz val="6"/>
        <rFont val="Arial"/>
        <family val="2"/>
      </rPr>
      <t>LA FRONTERA</t>
    </r>
  </si>
  <si>
    <r>
      <rPr>
        <sz val="6"/>
        <rFont val="Arial"/>
        <family val="2"/>
      </rPr>
      <t>LA LLANURITA</t>
    </r>
  </si>
  <si>
    <r>
      <rPr>
        <sz val="6"/>
        <rFont val="Arial"/>
        <family val="2"/>
      </rPr>
      <t>LOS CONSUELOS</t>
    </r>
  </si>
  <si>
    <r>
      <rPr>
        <sz val="6"/>
        <rFont val="Arial"/>
        <family val="2"/>
      </rPr>
      <t>MARANTA</t>
    </r>
  </si>
  <si>
    <r>
      <rPr>
        <sz val="6"/>
        <rFont val="Arial"/>
        <family val="2"/>
      </rPr>
      <t>MATURIN</t>
    </r>
  </si>
  <si>
    <r>
      <rPr>
        <sz val="6"/>
        <rFont val="Arial"/>
        <family val="2"/>
      </rPr>
      <t>MEDELLIN</t>
    </r>
  </si>
  <si>
    <r>
      <rPr>
        <sz val="6"/>
        <rFont val="Arial"/>
        <family val="2"/>
      </rPr>
      <t>MIRADOR DEL NORTE</t>
    </r>
  </si>
  <si>
    <r>
      <rPr>
        <sz val="6"/>
        <rFont val="Arial"/>
        <family val="2"/>
      </rPr>
      <t>NUEVO HORIZONTE</t>
    </r>
  </si>
  <si>
    <r>
      <rPr>
        <sz val="6"/>
        <rFont val="Arial"/>
        <family val="2"/>
      </rPr>
      <t>SAN ANTONIO NORTE</t>
    </r>
  </si>
  <si>
    <r>
      <rPr>
        <sz val="6"/>
        <rFont val="Arial"/>
        <family val="2"/>
      </rPr>
      <t>SANTA FELISA</t>
    </r>
  </si>
  <si>
    <r>
      <rPr>
        <sz val="6"/>
        <rFont val="Arial"/>
        <family val="2"/>
      </rPr>
      <t>SANTANDERSITO</t>
    </r>
  </si>
  <si>
    <r>
      <rPr>
        <sz val="6"/>
        <rFont val="Arial"/>
        <family val="2"/>
      </rPr>
      <t>TIBABITA</t>
    </r>
  </si>
  <si>
    <r>
      <rPr>
        <sz val="6"/>
        <rFont val="Arial"/>
        <family val="2"/>
      </rPr>
      <t>VIÑA DEL MAR</t>
    </r>
  </si>
  <si>
    <r>
      <rPr>
        <sz val="6"/>
        <rFont val="Arial"/>
        <family val="2"/>
      </rPr>
      <t>BOSQUE DE SAN ANTONIO</t>
    </r>
  </si>
  <si>
    <r>
      <rPr>
        <sz val="6"/>
        <rFont val="Arial"/>
        <family val="2"/>
      </rPr>
      <t>CONJUNTO CAMINO DEL PALMAR</t>
    </r>
  </si>
  <si>
    <r>
      <rPr>
        <sz val="6"/>
        <rFont val="Arial"/>
        <family val="2"/>
      </rPr>
      <t>EL PITE</t>
    </r>
  </si>
  <si>
    <r>
      <rPr>
        <sz val="6"/>
        <rFont val="Arial"/>
        <family val="2"/>
      </rPr>
      <t>EL REDIL</t>
    </r>
  </si>
  <si>
    <r>
      <rPr>
        <sz val="6"/>
        <rFont val="Arial"/>
        <family val="2"/>
      </rPr>
      <t>LA CITA</t>
    </r>
  </si>
  <si>
    <r>
      <rPr>
        <sz val="6"/>
        <rFont val="Arial"/>
        <family val="2"/>
      </rPr>
      <t>LA GRANJA NORTE</t>
    </r>
  </si>
  <si>
    <r>
      <rPr>
        <sz val="6"/>
        <rFont val="Arial"/>
        <family val="2"/>
      </rPr>
      <t>LA URIBE</t>
    </r>
  </si>
  <si>
    <r>
      <rPr>
        <sz val="6"/>
        <rFont val="Arial"/>
        <family val="2"/>
      </rPr>
      <t>LOS NARANJOS</t>
    </r>
  </si>
  <si>
    <r>
      <rPr>
        <sz val="6"/>
        <rFont val="Arial"/>
        <family val="2"/>
      </rPr>
      <t>SAN JUAN BOSCO</t>
    </r>
  </si>
  <si>
    <r>
      <rPr>
        <sz val="6"/>
        <rFont val="Arial"/>
        <family val="2"/>
      </rPr>
      <t>URBANIZACION LOS LAURELES</t>
    </r>
  </si>
  <si>
    <r>
      <rPr>
        <sz val="6"/>
        <rFont val="Arial"/>
        <family val="2"/>
      </rPr>
      <t>AINSUCA</t>
    </r>
  </si>
  <si>
    <r>
      <rPr>
        <sz val="6"/>
        <rFont val="Arial"/>
        <family val="2"/>
      </rPr>
      <t>ALTABLANCA</t>
    </r>
  </si>
  <si>
    <r>
      <rPr>
        <sz val="6"/>
        <rFont val="Arial"/>
        <family val="2"/>
      </rPr>
      <t>BARRANCAS</t>
    </r>
  </si>
  <si>
    <r>
      <rPr>
        <sz val="6"/>
        <rFont val="Arial"/>
        <family val="2"/>
      </rPr>
      <t>CALIFORNIA</t>
    </r>
  </si>
  <si>
    <r>
      <rPr>
        <sz val="6"/>
        <rFont val="Arial"/>
        <family val="2"/>
      </rPr>
      <t>CERRO NORTE</t>
    </r>
  </si>
  <si>
    <r>
      <rPr>
        <sz val="6"/>
        <rFont val="Arial"/>
        <family val="2"/>
      </rPr>
      <t>DANUBIO</t>
    </r>
  </si>
  <si>
    <r>
      <rPr>
        <sz val="6"/>
        <rFont val="Arial"/>
        <family val="2"/>
      </rPr>
      <t>DON BOSCO</t>
    </r>
  </si>
  <si>
    <r>
      <rPr>
        <sz val="6"/>
        <rFont val="Arial"/>
        <family val="2"/>
      </rPr>
      <t>LA PERLA ORIENTAL</t>
    </r>
  </si>
  <si>
    <r>
      <rPr>
        <sz val="6"/>
        <rFont val="Arial"/>
        <family val="2"/>
      </rPr>
      <t>LAS ARENERAS</t>
    </r>
  </si>
  <si>
    <r>
      <rPr>
        <sz val="6"/>
        <rFont val="Arial"/>
        <family val="2"/>
      </rPr>
      <t>MILAN (BARRANCAS)</t>
    </r>
  </si>
  <si>
    <r>
      <rPr>
        <sz val="6"/>
        <rFont val="Arial"/>
        <family val="2"/>
      </rPr>
      <t>SAN CRISTOBAL NORTE</t>
    </r>
  </si>
  <si>
    <r>
      <rPr>
        <sz val="6"/>
        <rFont val="Arial"/>
        <family val="2"/>
      </rPr>
      <t>SANTA CECILIA NORTE PARTE ALTA</t>
    </r>
  </si>
  <si>
    <r>
      <rPr>
        <sz val="6"/>
        <rFont val="Arial"/>
        <family val="2"/>
      </rPr>
      <t>SANTA CECILIA PARTE BAJA</t>
    </r>
  </si>
  <si>
    <r>
      <rPr>
        <sz val="6"/>
        <rFont val="Arial"/>
        <family val="2"/>
      </rPr>
      <t>SANTA TERESA</t>
    </r>
  </si>
  <si>
    <r>
      <rPr>
        <sz val="6"/>
        <rFont val="Arial"/>
        <family val="2"/>
      </rPr>
      <t>SORATAMA</t>
    </r>
  </si>
  <si>
    <r>
      <rPr>
        <sz val="6"/>
        <rFont val="Arial"/>
        <family val="2"/>
      </rPr>
      <t>TORCOROMA</t>
    </r>
  </si>
  <si>
    <r>
      <rPr>
        <sz val="6"/>
        <rFont val="Arial"/>
        <family val="2"/>
      </rPr>
      <t>VILLA NYDIA</t>
    </r>
  </si>
  <si>
    <r>
      <rPr>
        <sz val="6"/>
        <rFont val="Arial"/>
        <family val="2"/>
      </rPr>
      <t>VILLA OLIVA</t>
    </r>
  </si>
  <si>
    <r>
      <rPr>
        <sz val="6"/>
        <rFont val="Arial"/>
        <family val="2"/>
      </rPr>
      <t>EL TOBERIN</t>
    </r>
  </si>
  <si>
    <r>
      <rPr>
        <sz val="6"/>
        <rFont val="Arial"/>
        <family val="2"/>
      </rPr>
      <t>BABILONIA</t>
    </r>
  </si>
  <si>
    <r>
      <rPr>
        <sz val="6"/>
        <rFont val="Arial"/>
        <family val="2"/>
      </rPr>
      <t>DARDANELOS</t>
    </r>
  </si>
  <si>
    <r>
      <rPr>
        <sz val="6"/>
        <rFont val="Arial"/>
        <family val="2"/>
      </rPr>
      <t>ESTRELLA DEL NORTE</t>
    </r>
  </si>
  <si>
    <r>
      <rPr>
        <sz val="6"/>
        <rFont val="Arial"/>
        <family val="2"/>
      </rPr>
      <t>GUANOA</t>
    </r>
  </si>
  <si>
    <r>
      <rPr>
        <sz val="6"/>
        <rFont val="Arial"/>
        <family val="2"/>
      </rPr>
      <t>JARDIN NORTE</t>
    </r>
  </si>
  <si>
    <r>
      <rPr>
        <sz val="6"/>
        <rFont val="Arial"/>
        <family val="2"/>
      </rPr>
      <t>LA LIBERIA</t>
    </r>
  </si>
  <si>
    <r>
      <rPr>
        <sz val="6"/>
        <rFont val="Arial"/>
        <family val="2"/>
      </rPr>
      <t>LA PRADERA NORTE</t>
    </r>
  </si>
  <si>
    <r>
      <rPr>
        <sz val="6"/>
        <rFont val="Arial"/>
        <family val="2"/>
      </rPr>
      <t>LAS ORQUIDEAS</t>
    </r>
  </si>
  <si>
    <r>
      <rPr>
        <sz val="6"/>
        <rFont val="Arial"/>
        <family val="2"/>
      </rPr>
      <t>PANTANITO</t>
    </r>
  </si>
  <si>
    <r>
      <rPr>
        <sz val="6"/>
        <rFont val="Arial"/>
        <family val="2"/>
      </rPr>
      <t>SANTA MONICA</t>
    </r>
  </si>
  <si>
    <r>
      <rPr>
        <sz val="6"/>
        <rFont val="Arial"/>
        <family val="2"/>
      </rPr>
      <t>VILLA MAGDALA</t>
    </r>
  </si>
  <si>
    <r>
      <rPr>
        <sz val="6"/>
        <rFont val="Arial"/>
        <family val="2"/>
      </rPr>
      <t>VILLAS DE ARANJUEZ</t>
    </r>
  </si>
  <si>
    <r>
      <rPr>
        <sz val="6"/>
        <rFont val="Arial"/>
        <family val="2"/>
      </rPr>
      <t>VILLAS DEL MEDITERRANEO</t>
    </r>
  </si>
  <si>
    <r>
      <rPr>
        <sz val="6"/>
        <rFont val="Arial"/>
        <family val="2"/>
      </rPr>
      <t>ZARAGOZA</t>
    </r>
  </si>
  <si>
    <r>
      <rPr>
        <sz val="6"/>
        <rFont val="Arial"/>
        <family val="2"/>
      </rPr>
      <t>ACACIAS</t>
    </r>
  </si>
  <si>
    <r>
      <rPr>
        <sz val="6"/>
        <rFont val="Arial"/>
        <family val="2"/>
      </rPr>
      <t>ANTIGUA</t>
    </r>
  </si>
  <si>
    <r>
      <rPr>
        <sz val="6"/>
        <rFont val="Arial"/>
        <family val="2"/>
      </rPr>
      <t>BELMIRA</t>
    </r>
  </si>
  <si>
    <r>
      <rPr>
        <sz val="6"/>
        <rFont val="Arial"/>
        <family val="2"/>
      </rPr>
      <t>BOSQUE DE PIN</t>
    </r>
  </si>
  <si>
    <r>
      <rPr>
        <sz val="6"/>
        <rFont val="Arial"/>
        <family val="2"/>
      </rPr>
      <t>CAOBOS SALAZ</t>
    </r>
  </si>
  <si>
    <r>
      <rPr>
        <sz val="6"/>
        <rFont val="Arial"/>
        <family val="2"/>
      </rPr>
      <t>CAPRI</t>
    </r>
  </si>
  <si>
    <r>
      <rPr>
        <sz val="6"/>
        <rFont val="Arial"/>
        <family val="2"/>
      </rPr>
      <t>CEDRITOS</t>
    </r>
  </si>
  <si>
    <r>
      <rPr>
        <sz val="6"/>
        <rFont val="Arial"/>
        <family val="2"/>
      </rPr>
      <t>CEDRO BOLIVA</t>
    </r>
  </si>
  <si>
    <r>
      <rPr>
        <sz val="6"/>
        <rFont val="Arial"/>
        <family val="2"/>
      </rPr>
      <t>CEDRO GOLF</t>
    </r>
  </si>
  <si>
    <r>
      <rPr>
        <sz val="6"/>
        <rFont val="Arial"/>
        <family val="2"/>
      </rPr>
      <t>CEDRO MADEIR</t>
    </r>
  </si>
  <si>
    <r>
      <rPr>
        <sz val="6"/>
        <rFont val="Arial"/>
        <family val="2"/>
      </rPr>
      <t>CEDRO NARVA</t>
    </r>
  </si>
  <si>
    <r>
      <rPr>
        <sz val="6"/>
        <rFont val="Arial"/>
        <family val="2"/>
      </rPr>
      <t>CEDRO SALAZA</t>
    </r>
  </si>
  <si>
    <r>
      <rPr>
        <sz val="6"/>
        <rFont val="Arial"/>
        <family val="2"/>
      </rPr>
      <t>EL CONTADOR</t>
    </r>
  </si>
  <si>
    <r>
      <rPr>
        <sz val="6"/>
        <rFont val="Arial"/>
        <family val="2"/>
      </rPr>
      <t>EL RINCON DE</t>
    </r>
  </si>
  <si>
    <r>
      <rPr>
        <sz val="6"/>
        <rFont val="Arial"/>
        <family val="2"/>
      </rPr>
      <t>LA SONORA</t>
    </r>
  </si>
  <si>
    <r>
      <rPr>
        <sz val="6"/>
        <rFont val="Arial"/>
        <family val="2"/>
      </rPr>
      <t>LAS MARGARIT</t>
    </r>
  </si>
  <si>
    <r>
      <rPr>
        <sz val="6"/>
        <rFont val="Arial"/>
        <family val="2"/>
      </rPr>
      <t>LISBOA</t>
    </r>
  </si>
  <si>
    <r>
      <rPr>
        <sz val="6"/>
        <rFont val="Arial"/>
        <family val="2"/>
      </rPr>
      <t>LOS CEDROS</t>
    </r>
  </si>
  <si>
    <r>
      <rPr>
        <sz val="6"/>
        <rFont val="Arial"/>
        <family val="2"/>
      </rPr>
      <t>LOS CEDROS O</t>
    </r>
  </si>
  <si>
    <r>
      <rPr>
        <sz val="6"/>
        <rFont val="Arial"/>
        <family val="2"/>
      </rPr>
      <t>MONTEARROYO</t>
    </r>
  </si>
  <si>
    <r>
      <rPr>
        <sz val="6"/>
        <rFont val="Arial"/>
        <family val="2"/>
      </rPr>
      <t>NUEVA AUTOPI</t>
    </r>
  </si>
  <si>
    <r>
      <rPr>
        <sz val="6"/>
        <rFont val="Arial"/>
        <family val="2"/>
      </rPr>
      <t>NUEVO COUNT</t>
    </r>
  </si>
  <si>
    <r>
      <rPr>
        <sz val="6"/>
        <rFont val="Arial"/>
        <family val="2"/>
      </rPr>
      <t>SIERRAS DEL M</t>
    </r>
  </si>
  <si>
    <r>
      <rPr>
        <sz val="6"/>
        <rFont val="Arial"/>
        <family val="2"/>
      </rPr>
      <t>BELLA SUIZA</t>
    </r>
  </si>
  <si>
    <r>
      <rPr>
        <sz val="6"/>
        <rFont val="Arial"/>
        <family val="2"/>
      </rPr>
      <t>BELLAVISTA</t>
    </r>
  </si>
  <si>
    <r>
      <rPr>
        <sz val="6"/>
        <rFont val="Arial"/>
        <family val="2"/>
      </rPr>
      <t>BOSQUE MEDIN</t>
    </r>
  </si>
  <si>
    <r>
      <rPr>
        <sz val="6"/>
        <rFont val="Arial"/>
        <family val="2"/>
      </rPr>
      <t>EL PAÑUELITO</t>
    </r>
  </si>
  <si>
    <r>
      <rPr>
        <sz val="6"/>
        <rFont val="Arial"/>
        <family val="2"/>
      </rPr>
      <t>EL PEDREGAL</t>
    </r>
  </si>
  <si>
    <r>
      <rPr>
        <sz val="6"/>
        <rFont val="Arial"/>
        <family val="2"/>
      </rPr>
      <t>ESCUELA DE C</t>
    </r>
  </si>
  <si>
    <r>
      <rPr>
        <sz val="6"/>
        <rFont val="Arial"/>
        <family val="2"/>
      </rPr>
      <t>ESCUELA DE IN</t>
    </r>
  </si>
  <si>
    <r>
      <rPr>
        <sz val="6"/>
        <rFont val="Arial"/>
        <family val="2"/>
      </rPr>
      <t>FRANCISCO MIR</t>
    </r>
  </si>
  <si>
    <r>
      <rPr>
        <sz val="6"/>
        <rFont val="Arial"/>
        <family val="2"/>
      </rPr>
      <t>GINEBRA</t>
    </r>
  </si>
  <si>
    <r>
      <rPr>
        <sz val="6"/>
        <rFont val="Arial"/>
        <family val="2"/>
      </rPr>
      <t>LA ESPERANZA</t>
    </r>
  </si>
  <si>
    <r>
      <rPr>
        <sz val="6"/>
        <rFont val="Arial"/>
        <family val="2"/>
      </rPr>
      <t>LA GLORIETA</t>
    </r>
  </si>
  <si>
    <r>
      <rPr>
        <sz val="6"/>
        <rFont val="Arial"/>
        <family val="2"/>
      </rPr>
      <t>LAS DELICIAS D</t>
    </r>
  </si>
  <si>
    <r>
      <rPr>
        <sz val="6"/>
        <rFont val="Arial"/>
        <family val="2"/>
      </rPr>
      <t>SAGRADO COR</t>
    </r>
  </si>
  <si>
    <r>
      <rPr>
        <sz val="6"/>
        <rFont val="Arial"/>
        <family val="2"/>
      </rPr>
      <t>SAN GABRIEL</t>
    </r>
  </si>
  <si>
    <r>
      <rPr>
        <sz val="6"/>
        <rFont val="Arial"/>
        <family val="2"/>
      </rPr>
      <t>SANTA ANA</t>
    </r>
  </si>
  <si>
    <r>
      <rPr>
        <sz val="6"/>
        <rFont val="Arial"/>
        <family val="2"/>
      </rPr>
      <t>SANTA ANA OC</t>
    </r>
  </si>
  <si>
    <r>
      <rPr>
        <sz val="6"/>
        <rFont val="Arial"/>
        <family val="2"/>
      </rPr>
      <t>SANTA BARBAR</t>
    </r>
  </si>
  <si>
    <r>
      <rPr>
        <sz val="6"/>
        <rFont val="Arial"/>
        <family val="2"/>
      </rPr>
      <t>UNICERROS</t>
    </r>
  </si>
  <si>
    <r>
      <rPr>
        <sz val="6"/>
        <rFont val="Arial"/>
        <family val="2"/>
      </rPr>
      <t>USAQUEN</t>
    </r>
  </si>
  <si>
    <r>
      <rPr>
        <sz val="6"/>
        <rFont val="Arial"/>
        <family val="2"/>
      </rPr>
      <t>COUNTRY CLUB</t>
    </r>
  </si>
  <si>
    <r>
      <rPr>
        <sz val="6"/>
        <rFont val="Arial"/>
        <family val="2"/>
      </rPr>
      <t>LA CALLEJA</t>
    </r>
  </si>
  <si>
    <r>
      <rPr>
        <sz val="6"/>
        <rFont val="Arial"/>
        <family val="2"/>
      </rPr>
      <t>LA CAROLINA</t>
    </r>
  </si>
  <si>
    <r>
      <rPr>
        <sz val="6"/>
        <rFont val="Arial"/>
        <family val="2"/>
      </rPr>
      <t>LA CRISTALINA</t>
    </r>
  </si>
  <si>
    <r>
      <rPr>
        <sz val="6"/>
        <rFont val="Arial"/>
        <family val="2"/>
      </rPr>
      <t>PRADOS DEL C</t>
    </r>
  </si>
  <si>
    <r>
      <rPr>
        <sz val="6"/>
        <rFont val="Arial"/>
        <family val="2"/>
      </rPr>
      <t>RECODO DEL C</t>
    </r>
  </si>
  <si>
    <r>
      <rPr>
        <sz val="6"/>
        <rFont val="Arial"/>
        <family val="2"/>
      </rPr>
      <t>SANTA COLOMA</t>
    </r>
  </si>
  <si>
    <r>
      <rPr>
        <sz val="6"/>
        <rFont val="Arial"/>
        <family val="2"/>
      </rPr>
      <t>SOATAMA</t>
    </r>
  </si>
  <si>
    <r>
      <rPr>
        <sz val="6"/>
        <rFont val="Arial"/>
        <family val="2"/>
      </rPr>
      <t>TOLEDO</t>
    </r>
  </si>
  <si>
    <r>
      <rPr>
        <sz val="6"/>
        <rFont val="Arial"/>
        <family val="2"/>
      </rPr>
      <t>TORRES DEL C</t>
    </r>
  </si>
  <si>
    <r>
      <rPr>
        <sz val="6"/>
        <rFont val="Arial"/>
        <family val="2"/>
      </rPr>
      <t>VERGEL DEL C</t>
    </r>
  </si>
  <si>
    <r>
      <rPr>
        <sz val="6"/>
        <rFont val="Arial"/>
        <family val="2"/>
      </rPr>
      <t>CAMPO ALEGR</t>
    </r>
  </si>
  <si>
    <r>
      <rPr>
        <sz val="6"/>
        <rFont val="Arial"/>
        <family val="2"/>
      </rPr>
      <t>MOLINOS DEL N</t>
    </r>
  </si>
  <si>
    <r>
      <rPr>
        <sz val="6"/>
        <rFont val="Arial"/>
        <family val="2"/>
      </rPr>
      <t>MULTICENTRO</t>
    </r>
  </si>
  <si>
    <r>
      <rPr>
        <sz val="6"/>
        <rFont val="Arial"/>
        <family val="2"/>
      </rPr>
      <t>NAVARRA</t>
    </r>
  </si>
  <si>
    <r>
      <rPr>
        <sz val="6"/>
        <rFont val="Arial"/>
        <family val="2"/>
      </rPr>
      <t>RINCON DEL CH</t>
    </r>
  </si>
  <si>
    <r>
      <rPr>
        <sz val="6"/>
        <rFont val="Arial"/>
        <family val="2"/>
      </rPr>
      <t>SAN PATRICIO</t>
    </r>
  </si>
  <si>
    <r>
      <rPr>
        <sz val="6"/>
        <rFont val="Arial"/>
        <family val="2"/>
      </rPr>
      <t>SANTA BIBIANA</t>
    </r>
  </si>
  <si>
    <r>
      <rPr>
        <sz val="6"/>
        <rFont val="Arial"/>
        <family val="2"/>
      </rPr>
      <t>SANTA PAULA</t>
    </r>
  </si>
  <si>
    <r>
      <rPr>
        <sz val="8"/>
        <rFont val="Arial"/>
        <family val="2"/>
      </rPr>
      <t>CHICO RESERVADO</t>
    </r>
  </si>
  <si>
    <r>
      <rPr>
        <sz val="8"/>
        <rFont val="Arial"/>
        <family val="2"/>
      </rPr>
      <t>BELLAVISTA</t>
    </r>
  </si>
  <si>
    <r>
      <rPr>
        <sz val="8"/>
        <rFont val="Arial"/>
        <family val="2"/>
      </rPr>
      <t>CHICO ALTO</t>
    </r>
  </si>
  <si>
    <r>
      <rPr>
        <sz val="8"/>
        <rFont val="Arial"/>
        <family val="2"/>
      </rPr>
      <t>EL NOGAL</t>
    </r>
  </si>
  <si>
    <r>
      <rPr>
        <sz val="8"/>
        <rFont val="Arial"/>
        <family val="2"/>
      </rPr>
      <t>EL REFUGIO</t>
    </r>
  </si>
  <si>
    <r>
      <rPr>
        <sz val="8"/>
        <rFont val="Arial"/>
        <family val="2"/>
      </rPr>
      <t>LA CABRERA</t>
    </r>
  </si>
  <si>
    <r>
      <rPr>
        <sz val="8"/>
        <rFont val="Arial"/>
        <family val="2"/>
      </rPr>
      <t>LOS ROSALES</t>
    </r>
  </si>
  <si>
    <r>
      <rPr>
        <sz val="8"/>
        <rFont val="Arial"/>
        <family val="2"/>
      </rPr>
      <t>SEMINARIO</t>
    </r>
  </si>
  <si>
    <r>
      <rPr>
        <sz val="8"/>
        <rFont val="Arial"/>
        <family val="2"/>
      </rPr>
      <t>TOSCANA</t>
    </r>
  </si>
  <si>
    <r>
      <rPr>
        <sz val="8"/>
        <rFont val="Arial"/>
        <family val="2"/>
      </rPr>
      <t>LA ESPERANZA NORORIENTAL</t>
    </r>
  </si>
  <si>
    <r>
      <rPr>
        <sz val="8"/>
        <rFont val="Arial"/>
        <family val="2"/>
      </rPr>
      <t>LA SUREÑA</t>
    </r>
  </si>
  <si>
    <r>
      <rPr>
        <sz val="8"/>
        <rFont val="Arial"/>
        <family val="2"/>
      </rPr>
      <t>SAN ISIDRO</t>
    </r>
  </si>
  <si>
    <r>
      <rPr>
        <sz val="8"/>
        <rFont val="Arial"/>
        <family val="2"/>
      </rPr>
      <t>SAN LUIS ALTOS DEL CABO</t>
    </r>
  </si>
  <si>
    <r>
      <rPr>
        <sz val="8"/>
        <rFont val="Arial"/>
        <family val="2"/>
      </rPr>
      <t>BOSQUE CALDERON</t>
    </r>
  </si>
  <si>
    <r>
      <rPr>
        <sz val="8"/>
        <rFont val="Arial"/>
        <family val="2"/>
      </rPr>
      <t>BOSQUE CALDERON TEJADA</t>
    </r>
  </si>
  <si>
    <r>
      <rPr>
        <sz val="8"/>
        <rFont val="Arial"/>
        <family val="2"/>
      </rPr>
      <t>CHAPINERO ALTO</t>
    </r>
  </si>
  <si>
    <r>
      <rPr>
        <sz val="8"/>
        <rFont val="Arial"/>
        <family val="2"/>
      </rPr>
      <t>EL CASTILLO</t>
    </r>
  </si>
  <si>
    <r>
      <rPr>
        <sz val="8"/>
        <rFont val="Arial"/>
        <family val="2"/>
      </rPr>
      <t>EL PARAISO</t>
    </r>
  </si>
  <si>
    <r>
      <rPr>
        <sz val="8"/>
        <rFont val="Arial"/>
        <family val="2"/>
      </rPr>
      <t>EMAUS</t>
    </r>
  </si>
  <si>
    <r>
      <rPr>
        <sz val="8"/>
        <rFont val="Arial"/>
        <family val="2"/>
      </rPr>
      <t>GRANADA</t>
    </r>
  </si>
  <si>
    <r>
      <rPr>
        <sz val="8"/>
        <rFont val="Arial"/>
        <family val="2"/>
      </rPr>
      <t>INGEMAR</t>
    </r>
  </si>
  <si>
    <r>
      <rPr>
        <sz val="8"/>
        <rFont val="Arial"/>
        <family val="2"/>
      </rPr>
      <t>JUAN XXIII</t>
    </r>
  </si>
  <si>
    <r>
      <rPr>
        <sz val="8"/>
        <rFont val="Arial"/>
        <family val="2"/>
      </rPr>
      <t>LA SALLE</t>
    </r>
  </si>
  <si>
    <r>
      <rPr>
        <sz val="8"/>
        <rFont val="Arial"/>
        <family val="2"/>
      </rPr>
      <t>LAS ACACIAS</t>
    </r>
  </si>
  <si>
    <r>
      <rPr>
        <sz val="8"/>
        <rFont val="Arial"/>
        <family val="2"/>
      </rPr>
      <t>LOS OLIVOS</t>
    </r>
  </si>
  <si>
    <r>
      <rPr>
        <sz val="8"/>
        <rFont val="Arial"/>
        <family val="2"/>
      </rPr>
      <t>MARIA CRISTINA</t>
    </r>
  </si>
  <si>
    <r>
      <rPr>
        <sz val="8"/>
        <rFont val="Arial"/>
        <family val="2"/>
      </rPr>
      <t>MARISCAL SUCRE</t>
    </r>
  </si>
  <si>
    <r>
      <rPr>
        <sz val="8"/>
        <rFont val="Arial"/>
        <family val="2"/>
      </rPr>
      <t>NUEVA GRANADA</t>
    </r>
  </si>
  <si>
    <r>
      <rPr>
        <sz val="8"/>
        <rFont val="Arial"/>
        <family val="2"/>
      </rPr>
      <t>PALOMAR</t>
    </r>
  </si>
  <si>
    <r>
      <rPr>
        <sz val="8"/>
        <rFont val="Arial"/>
        <family val="2"/>
      </rPr>
      <t>PARDO RUBIO</t>
    </r>
  </si>
  <si>
    <r>
      <rPr>
        <sz val="8"/>
        <rFont val="Arial"/>
        <family val="2"/>
      </rPr>
      <t>SAN MARTIN DE PORRES</t>
    </r>
  </si>
  <si>
    <r>
      <rPr>
        <sz val="8"/>
        <rFont val="Arial"/>
        <family val="2"/>
      </rPr>
      <t>VILLA ANITA</t>
    </r>
  </si>
  <si>
    <r>
      <rPr>
        <sz val="8"/>
        <rFont val="Arial"/>
        <family val="2"/>
      </rPr>
      <t>VILLA DEL CERRO</t>
    </r>
  </si>
  <si>
    <r>
      <rPr>
        <sz val="8"/>
        <rFont val="Arial"/>
        <family val="2"/>
      </rPr>
      <t>ANTIGUO COUNTRY</t>
    </r>
  </si>
  <si>
    <r>
      <rPr>
        <sz val="8"/>
        <rFont val="Arial"/>
        <family val="2"/>
      </rPr>
      <t>CHICO NORTE</t>
    </r>
  </si>
  <si>
    <r>
      <rPr>
        <sz val="8"/>
        <rFont val="Arial"/>
        <family val="2"/>
      </rPr>
      <t>CHICO NORTE II</t>
    </r>
  </si>
  <si>
    <r>
      <rPr>
        <sz val="8"/>
        <rFont val="Arial"/>
        <family val="2"/>
      </rPr>
      <t>CHICO NORTE III</t>
    </r>
  </si>
  <si>
    <r>
      <rPr>
        <sz val="8"/>
        <rFont val="Arial"/>
        <family val="2"/>
      </rPr>
      <t>CHICO OCCIDENTAL</t>
    </r>
  </si>
  <si>
    <r>
      <rPr>
        <sz val="8"/>
        <rFont val="Arial"/>
        <family val="2"/>
      </rPr>
      <t>EL CHICO</t>
    </r>
  </si>
  <si>
    <r>
      <rPr>
        <sz val="8"/>
        <rFont val="Arial"/>
        <family val="2"/>
      </rPr>
      <t>EL RETIRO</t>
    </r>
  </si>
  <si>
    <r>
      <rPr>
        <sz val="8"/>
        <rFont val="Arial"/>
        <family val="2"/>
      </rPr>
      <t>ESPARTILLAL</t>
    </r>
  </si>
  <si>
    <r>
      <rPr>
        <sz val="8"/>
        <rFont val="Arial"/>
        <family val="2"/>
      </rPr>
      <t>LAGO GAITAN</t>
    </r>
  </si>
  <si>
    <r>
      <rPr>
        <sz val="8"/>
        <rFont val="Arial"/>
        <family val="2"/>
      </rPr>
      <t>PORCIUNCULA</t>
    </r>
  </si>
  <si>
    <r>
      <rPr>
        <sz val="8"/>
        <rFont val="Arial"/>
        <family val="2"/>
      </rPr>
      <t>QUINTA CAMACHO</t>
    </r>
  </si>
  <si>
    <r>
      <rPr>
        <sz val="8"/>
        <rFont val="Arial"/>
        <family val="2"/>
      </rPr>
      <t>CATALUÑA</t>
    </r>
  </si>
  <si>
    <r>
      <rPr>
        <sz val="8"/>
        <rFont val="Arial"/>
        <family val="2"/>
      </rPr>
      <t>CHAPINERO CENTRAL</t>
    </r>
  </si>
  <si>
    <r>
      <rPr>
        <sz val="8"/>
        <rFont val="Arial"/>
        <family val="2"/>
      </rPr>
      <t>CHAPINERO NORTE</t>
    </r>
  </si>
  <si>
    <r>
      <rPr>
        <sz val="8"/>
        <rFont val="Arial"/>
        <family val="2"/>
      </rPr>
      <t>MARLY</t>
    </r>
  </si>
  <si>
    <r>
      <rPr>
        <sz val="8"/>
        <rFont val="Arial"/>
        <family val="2"/>
      </rPr>
      <t>SUCRE</t>
    </r>
  </si>
  <si>
    <r>
      <rPr>
        <sz val="8"/>
        <rFont val="Arial"/>
        <family val="2"/>
      </rPr>
      <t>LA MERCED</t>
    </r>
  </si>
  <si>
    <r>
      <rPr>
        <sz val="8"/>
        <rFont val="Arial"/>
        <family val="2"/>
      </rPr>
      <t>PARQUE CENTRAL BAVARIA</t>
    </r>
  </si>
  <si>
    <r>
      <rPr>
        <sz val="8"/>
        <rFont val="Arial"/>
        <family val="2"/>
      </rPr>
      <t>SAGRADO CORAZON</t>
    </r>
  </si>
  <si>
    <r>
      <rPr>
        <sz val="8"/>
        <rFont val="Arial"/>
        <family val="2"/>
      </rPr>
      <t>SAN DIEGO</t>
    </r>
  </si>
  <si>
    <r>
      <rPr>
        <sz val="8"/>
        <rFont val="Arial"/>
        <family val="2"/>
      </rPr>
      <t>SAN MARTIN</t>
    </r>
  </si>
  <si>
    <r>
      <rPr>
        <sz val="8"/>
        <rFont val="Arial"/>
        <family val="2"/>
      </rPr>
      <t>TORRES DEL PARQUE</t>
    </r>
  </si>
  <si>
    <r>
      <rPr>
        <sz val="8"/>
        <rFont val="Arial"/>
        <family val="2"/>
      </rPr>
      <t>BOSQUE IZQUIERDO</t>
    </r>
  </si>
  <si>
    <r>
      <rPr>
        <sz val="8"/>
        <rFont val="Arial"/>
        <family val="2"/>
      </rPr>
      <t>GERMANIA</t>
    </r>
  </si>
  <si>
    <r>
      <rPr>
        <sz val="8"/>
        <rFont val="Arial"/>
        <family val="2"/>
      </rPr>
      <t>LA MACARENA</t>
    </r>
  </si>
  <si>
    <r>
      <rPr>
        <sz val="8"/>
        <rFont val="Arial"/>
        <family val="2"/>
      </rPr>
      <t>LA PAZ CENTRO</t>
    </r>
  </si>
  <si>
    <r>
      <rPr>
        <sz val="8"/>
        <rFont val="Arial"/>
        <family val="2"/>
      </rPr>
      <t>LA PERSEVERANCIA</t>
    </r>
  </si>
  <si>
    <r>
      <rPr>
        <sz val="8"/>
        <rFont val="Arial"/>
        <family val="2"/>
      </rPr>
      <t>LA ALAMEDA</t>
    </r>
  </si>
  <si>
    <r>
      <rPr>
        <sz val="8"/>
        <rFont val="Arial"/>
        <family val="2"/>
      </rPr>
      <t>LA CAPUCHINA</t>
    </r>
  </si>
  <si>
    <r>
      <rPr>
        <sz val="8"/>
        <rFont val="Arial"/>
        <family val="2"/>
      </rPr>
      <t>LA VERACRUZ</t>
    </r>
  </si>
  <si>
    <r>
      <rPr>
        <sz val="8"/>
        <rFont val="Arial"/>
        <family val="2"/>
      </rPr>
      <t>LAS NIEVES</t>
    </r>
  </si>
  <si>
    <r>
      <rPr>
        <sz val="8"/>
        <rFont val="Arial"/>
        <family val="2"/>
      </rPr>
      <t>SANTA INES</t>
    </r>
  </si>
  <si>
    <r>
      <rPr>
        <sz val="8"/>
        <rFont val="Arial"/>
        <family val="2"/>
      </rPr>
      <t>LAS CRUCES</t>
    </r>
  </si>
  <si>
    <r>
      <rPr>
        <sz val="8"/>
        <rFont val="Arial"/>
        <family val="2"/>
      </rPr>
      <t>SAN BERNARDO</t>
    </r>
  </si>
  <si>
    <r>
      <rPr>
        <sz val="8"/>
        <rFont val="Arial"/>
        <family val="2"/>
      </rPr>
      <t>ATANASIO GIRADOT</t>
    </r>
  </si>
  <si>
    <r>
      <rPr>
        <sz val="8"/>
        <rFont val="Arial"/>
        <family val="2"/>
      </rPr>
      <t>CARTAGENA</t>
    </r>
  </si>
  <si>
    <r>
      <rPr>
        <sz val="8"/>
        <rFont val="Arial"/>
        <family val="2"/>
      </rPr>
      <t>EGIPTO</t>
    </r>
  </si>
  <si>
    <r>
      <rPr>
        <sz val="8"/>
        <rFont val="Arial"/>
        <family val="2"/>
      </rPr>
      <t>EGIPTO ALTO (J.C. TURBAY)</t>
    </r>
  </si>
  <si>
    <r>
      <rPr>
        <sz val="8"/>
        <rFont val="Arial"/>
        <family val="2"/>
      </rPr>
      <t>EL BALCON</t>
    </r>
  </si>
  <si>
    <r>
      <rPr>
        <sz val="8"/>
        <rFont val="Arial"/>
        <family val="2"/>
      </rPr>
      <t>EL CONSUELO</t>
    </r>
  </si>
  <si>
    <r>
      <rPr>
        <sz val="8"/>
        <rFont val="Arial"/>
        <family val="2"/>
      </rPr>
      <t>EL DORADO</t>
    </r>
  </si>
  <si>
    <r>
      <rPr>
        <sz val="8"/>
        <rFont val="Arial"/>
        <family val="2"/>
      </rPr>
      <t>EL GUAVIO</t>
    </r>
  </si>
  <si>
    <r>
      <rPr>
        <sz val="8"/>
        <rFont val="Arial"/>
        <family val="2"/>
      </rPr>
      <t>EL MIRADOR</t>
    </r>
  </si>
  <si>
    <r>
      <rPr>
        <sz val="8"/>
        <rFont val="Arial"/>
        <family val="2"/>
      </rPr>
      <t>EL ROCIO</t>
    </r>
  </si>
  <si>
    <r>
      <rPr>
        <sz val="8"/>
        <rFont val="Arial"/>
        <family val="2"/>
      </rPr>
      <t>EL TRIUNFO</t>
    </r>
  </si>
  <si>
    <r>
      <rPr>
        <sz val="8"/>
        <rFont val="Arial"/>
        <family val="2"/>
      </rPr>
      <t>FABRICA DE LOZA</t>
    </r>
  </si>
  <si>
    <r>
      <rPr>
        <sz val="8"/>
        <rFont val="Arial"/>
        <family val="2"/>
      </rPr>
      <t>GRAN COLOMBIA</t>
    </r>
  </si>
  <si>
    <r>
      <rPr>
        <sz val="8"/>
        <rFont val="Arial"/>
        <family val="2"/>
      </rPr>
      <t>LA PEÑA</t>
    </r>
  </si>
  <si>
    <r>
      <rPr>
        <sz val="8"/>
        <rFont val="Arial"/>
        <family val="2"/>
      </rPr>
      <t>LOS LACHES</t>
    </r>
  </si>
  <si>
    <r>
      <rPr>
        <sz val="8"/>
        <rFont val="Arial"/>
        <family val="2"/>
      </rPr>
      <t>LOURDES</t>
    </r>
  </si>
  <si>
    <r>
      <rPr>
        <sz val="8"/>
        <rFont val="Arial"/>
        <family val="2"/>
      </rPr>
      <t>RAMIREZ</t>
    </r>
  </si>
  <si>
    <r>
      <rPr>
        <sz val="8"/>
        <rFont val="Arial"/>
        <family val="2"/>
      </rPr>
      <t>SAN DIONISIO</t>
    </r>
  </si>
  <si>
    <r>
      <rPr>
        <sz val="8"/>
        <rFont val="Arial"/>
        <family val="2"/>
      </rPr>
      <t>SANTA ROSA DE LIMA</t>
    </r>
  </si>
  <si>
    <r>
      <rPr>
        <sz val="8"/>
        <rFont val="Arial"/>
        <family val="2"/>
      </rPr>
      <t>VITELMA</t>
    </r>
  </si>
  <si>
    <r>
      <rPr>
        <sz val="5"/>
        <rFont val="Arial"/>
        <family val="2"/>
      </rPr>
      <t>AGUAS CLARAS</t>
    </r>
  </si>
  <si>
    <r>
      <rPr>
        <sz val="5"/>
        <rFont val="Arial"/>
        <family val="2"/>
      </rPr>
      <t>ALTOS DEL ZIPA</t>
    </r>
  </si>
  <si>
    <r>
      <rPr>
        <sz val="5"/>
        <rFont val="Arial"/>
        <family val="2"/>
      </rPr>
      <t>AMAPOLAS</t>
    </r>
  </si>
  <si>
    <r>
      <rPr>
        <sz val="5"/>
        <rFont val="Arial"/>
        <family val="2"/>
      </rPr>
      <t>AMAPOLAS II</t>
    </r>
  </si>
  <si>
    <r>
      <rPr>
        <sz val="5"/>
        <rFont val="Arial"/>
        <family val="2"/>
      </rPr>
      <t>BALCON DE LA CASTAÑA</t>
    </r>
  </si>
  <si>
    <r>
      <rPr>
        <sz val="5"/>
        <rFont val="Arial"/>
        <family val="2"/>
      </rPr>
      <t>BELLA VISTA SECTOR LUCERO</t>
    </r>
  </si>
  <si>
    <r>
      <rPr>
        <sz val="5"/>
        <rFont val="Arial"/>
        <family val="2"/>
      </rPr>
      <t>BELLAVISTA PARTE BAJA</t>
    </r>
  </si>
  <si>
    <r>
      <rPr>
        <sz val="5"/>
        <rFont val="Arial"/>
        <family val="2"/>
      </rPr>
      <t>BELLAVISTA SUR</t>
    </r>
  </si>
  <si>
    <r>
      <rPr>
        <sz val="5"/>
        <rFont val="Arial"/>
        <family val="2"/>
      </rPr>
      <t>BOSQUE DE LOS ALPES</t>
    </r>
  </si>
  <si>
    <r>
      <rPr>
        <sz val="5"/>
        <rFont val="Arial"/>
        <family val="2"/>
      </rPr>
      <t>BUENAVISTA SURORIENTAL</t>
    </r>
  </si>
  <si>
    <r>
      <rPr>
        <sz val="5"/>
        <rFont val="Arial"/>
        <family val="2"/>
      </rPr>
      <t>CAMINO VIEJO SAN CRISTOBAL</t>
    </r>
  </si>
  <si>
    <r>
      <rPr>
        <sz val="5"/>
        <rFont val="Arial"/>
        <family val="2"/>
      </rPr>
      <t>CERROS DE SAN VICENTE</t>
    </r>
  </si>
  <si>
    <r>
      <rPr>
        <sz val="5"/>
        <rFont val="Arial"/>
        <family val="2"/>
      </rPr>
      <t>CIUDAD DE LONDRES</t>
    </r>
  </si>
  <si>
    <r>
      <rPr>
        <sz val="5"/>
        <rFont val="Arial"/>
        <family val="2"/>
      </rPr>
      <t>CORINTO</t>
    </r>
  </si>
  <si>
    <r>
      <rPr>
        <sz val="5"/>
        <rFont val="Arial"/>
        <family val="2"/>
      </rPr>
      <t>EL BALCON DE LA CASTAÑA</t>
    </r>
  </si>
  <si>
    <r>
      <rPr>
        <sz val="5"/>
        <rFont val="Arial"/>
        <family val="2"/>
      </rPr>
      <t>EL FUTURO</t>
    </r>
  </si>
  <si>
    <r>
      <rPr>
        <sz val="5"/>
        <rFont val="Arial"/>
        <family val="2"/>
      </rPr>
      <t>EL RAMAJAL</t>
    </r>
  </si>
  <si>
    <r>
      <rPr>
        <sz val="5"/>
        <rFont val="Arial"/>
        <family val="2"/>
      </rPr>
      <t>EL RAMAJAL (SAN PEDRO)</t>
    </r>
  </si>
  <si>
    <r>
      <rPr>
        <sz val="5"/>
        <rFont val="Arial"/>
        <family val="2"/>
      </rPr>
      <t>GRAN COLOMBIA (MOLINOS DE ORIENTE)</t>
    </r>
  </si>
  <si>
    <r>
      <rPr>
        <sz val="5"/>
        <rFont val="Arial"/>
        <family val="2"/>
      </rPr>
      <t>HORACIO ORJUELA</t>
    </r>
  </si>
  <si>
    <r>
      <rPr>
        <sz val="5"/>
        <rFont val="Arial"/>
        <family val="2"/>
      </rPr>
      <t>LA CASTAÑA</t>
    </r>
  </si>
  <si>
    <r>
      <rPr>
        <sz val="5"/>
        <rFont val="Arial"/>
        <family val="2"/>
      </rPr>
      <t>LA CECILIA</t>
    </r>
  </si>
  <si>
    <r>
      <rPr>
        <sz val="5"/>
        <rFont val="Arial"/>
        <family val="2"/>
      </rPr>
      <t>LA GRAN COLOMBIA</t>
    </r>
  </si>
  <si>
    <r>
      <rPr>
        <sz val="5"/>
        <rFont val="Arial"/>
        <family val="2"/>
      </rPr>
      <t>LA HERRADURA</t>
    </r>
  </si>
  <si>
    <r>
      <rPr>
        <sz val="5"/>
        <rFont val="Arial"/>
        <family val="2"/>
      </rPr>
      <t>LA JOYITA CENTRO ( BELLO HORIZONTE)</t>
    </r>
  </si>
  <si>
    <r>
      <rPr>
        <sz val="5"/>
        <rFont val="Arial"/>
        <family val="2"/>
      </rPr>
      <t>LA PLAYA</t>
    </r>
  </si>
  <si>
    <r>
      <rPr>
        <sz val="5"/>
        <rFont val="Arial"/>
        <family val="2"/>
      </rPr>
      <t>LA ROCA</t>
    </r>
  </si>
  <si>
    <r>
      <rPr>
        <sz val="5"/>
        <rFont val="Arial"/>
        <family val="2"/>
      </rPr>
      <t>LA SAGRADA FAMILIA</t>
    </r>
  </si>
  <si>
    <r>
      <rPr>
        <sz val="5"/>
        <rFont val="Arial"/>
        <family val="2"/>
      </rPr>
      <t>LAS ACACIAS</t>
    </r>
  </si>
  <si>
    <r>
      <rPr>
        <sz val="5"/>
        <rFont val="Arial"/>
        <family val="2"/>
      </rPr>
      <t>LAS MERCEDES</t>
    </r>
  </si>
  <si>
    <r>
      <rPr>
        <sz val="5"/>
        <rFont val="Arial"/>
        <family val="2"/>
      </rPr>
      <t>LAURELES SUR ORIENTAL II SECTOR</t>
    </r>
  </si>
  <si>
    <r>
      <rPr>
        <sz val="5"/>
        <rFont val="Arial"/>
        <family val="2"/>
      </rPr>
      <t>LOS ALPES</t>
    </r>
  </si>
  <si>
    <r>
      <rPr>
        <sz val="5"/>
        <rFont val="Arial"/>
        <family val="2"/>
      </rPr>
      <t>LOS ALPES FUTURO</t>
    </r>
  </si>
  <si>
    <r>
      <rPr>
        <sz val="5"/>
        <rFont val="Arial"/>
        <family val="2"/>
      </rPr>
      <t>LOS ARRAYANES SECTOR SANTA INES</t>
    </r>
  </si>
  <si>
    <r>
      <rPr>
        <sz val="5"/>
        <rFont val="Arial"/>
        <family val="2"/>
      </rPr>
      <t>LOS LAURELES SUR ORIENTAL I SEC.</t>
    </r>
  </si>
  <si>
    <r>
      <rPr>
        <sz val="5"/>
        <rFont val="Arial"/>
        <family val="2"/>
      </rPr>
      <t>MACARENA LOS ALPES</t>
    </r>
  </si>
  <si>
    <r>
      <rPr>
        <sz val="5"/>
        <rFont val="Arial"/>
        <family val="2"/>
      </rPr>
      <t>MANANTIAL</t>
    </r>
  </si>
  <si>
    <r>
      <rPr>
        <sz val="5"/>
        <rFont val="Arial"/>
        <family val="2"/>
      </rPr>
      <t>MANILA</t>
    </r>
  </si>
  <si>
    <r>
      <rPr>
        <sz val="5"/>
        <rFont val="Arial"/>
        <family val="2"/>
      </rPr>
      <t>MIRAFLORES</t>
    </r>
  </si>
  <si>
    <r>
      <rPr>
        <sz val="5"/>
        <rFont val="Arial"/>
        <family val="2"/>
      </rPr>
      <t>MOLINOS DE ORIENTE</t>
    </r>
  </si>
  <si>
    <r>
      <rPr>
        <sz val="5"/>
        <rFont val="Arial"/>
        <family val="2"/>
      </rPr>
      <t>MONTECARLO</t>
    </r>
  </si>
  <si>
    <r>
      <rPr>
        <sz val="5"/>
        <rFont val="Arial"/>
        <family val="2"/>
      </rPr>
      <t>NUEVA ESPAÑA</t>
    </r>
  </si>
  <si>
    <r>
      <rPr>
        <sz val="5"/>
        <rFont val="Arial"/>
        <family val="2"/>
      </rPr>
      <t>NUEVA ESPAÑA PARTE ALTA</t>
    </r>
  </si>
  <si>
    <r>
      <rPr>
        <sz val="5"/>
        <rFont val="Arial"/>
        <family val="2"/>
      </rPr>
      <t>RAMAJAL</t>
    </r>
  </si>
  <si>
    <r>
      <rPr>
        <sz val="5"/>
        <rFont val="Arial"/>
        <family val="2"/>
      </rPr>
      <t>RINCON DE LA VICTRIA-B/VISTA</t>
    </r>
  </si>
  <si>
    <r>
      <rPr>
        <sz val="5"/>
        <rFont val="Arial"/>
        <family val="2"/>
      </rPr>
      <t>SAGRADA FAMILIA</t>
    </r>
  </si>
  <si>
    <r>
      <rPr>
        <sz val="5"/>
        <rFont val="Arial"/>
        <family val="2"/>
      </rPr>
      <t>SAN BLAS</t>
    </r>
  </si>
  <si>
    <r>
      <rPr>
        <sz val="5"/>
        <rFont val="Arial"/>
        <family val="2"/>
      </rPr>
      <t>SAN BLAS (PARCELAS)</t>
    </r>
  </si>
  <si>
    <r>
      <rPr>
        <sz val="5"/>
        <rFont val="Arial"/>
        <family val="2"/>
      </rPr>
      <t>SAN BLAS II SECTOR</t>
    </r>
  </si>
  <si>
    <r>
      <rPr>
        <sz val="5"/>
        <rFont val="Arial"/>
        <family val="2"/>
      </rPr>
      <t>SAN CRISTOBAL ALTO</t>
    </r>
  </si>
  <si>
    <r>
      <rPr>
        <sz val="5"/>
        <rFont val="Arial"/>
        <family val="2"/>
      </rPr>
      <t>SAN CRISTOBAL VIEJO</t>
    </r>
  </si>
  <si>
    <r>
      <rPr>
        <sz val="5"/>
        <rFont val="Arial"/>
        <family val="2"/>
      </rPr>
      <t>SAN PEDRO</t>
    </r>
  </si>
  <si>
    <r>
      <rPr>
        <sz val="5"/>
        <rFont val="Arial"/>
        <family val="2"/>
      </rPr>
      <t>SAN VICENTE</t>
    </r>
  </si>
  <si>
    <r>
      <rPr>
        <sz val="5"/>
        <rFont val="Arial"/>
        <family val="2"/>
      </rPr>
      <t>SAN VICENTE ALTO</t>
    </r>
  </si>
  <si>
    <r>
      <rPr>
        <sz val="5"/>
        <rFont val="Arial"/>
        <family val="2"/>
      </rPr>
      <t>SAN VICENTE BAJO</t>
    </r>
  </si>
  <si>
    <r>
      <rPr>
        <sz val="5"/>
        <rFont val="Arial"/>
        <family val="2"/>
      </rPr>
      <t>SAN VICENTE SUR ORIENTE</t>
    </r>
  </si>
  <si>
    <r>
      <rPr>
        <sz val="5"/>
        <rFont val="Arial"/>
        <family val="2"/>
      </rPr>
      <t>SANTA INES</t>
    </r>
  </si>
  <si>
    <r>
      <rPr>
        <sz val="5"/>
        <rFont val="Arial"/>
        <family val="2"/>
      </rPr>
      <t>SANTA INES SUR</t>
    </r>
  </si>
  <si>
    <r>
      <rPr>
        <sz val="5"/>
        <rFont val="Arial"/>
        <family val="2"/>
      </rPr>
      <t>TERRAZAS DE ORIENTE</t>
    </r>
  </si>
  <si>
    <r>
      <rPr>
        <sz val="5"/>
        <rFont val="Arial"/>
        <family val="2"/>
      </rPr>
      <t>TRIANGULO</t>
    </r>
  </si>
  <si>
    <r>
      <rPr>
        <sz val="5"/>
        <rFont val="Arial"/>
        <family val="2"/>
      </rPr>
      <t>TRIANGULO ALTO</t>
    </r>
  </si>
  <si>
    <r>
      <rPr>
        <sz val="5"/>
        <rFont val="Arial"/>
        <family val="2"/>
      </rPr>
      <t>TRIANGULO BAJO</t>
    </r>
  </si>
  <si>
    <r>
      <rPr>
        <sz val="5"/>
        <rFont val="Arial"/>
        <family val="2"/>
      </rPr>
      <t>VEREDA ALTOS DE SAN BLAS</t>
    </r>
  </si>
  <si>
    <r>
      <rPr>
        <sz val="5"/>
        <rFont val="Arial"/>
        <family val="2"/>
      </rPr>
      <t>VITELMA</t>
    </r>
  </si>
  <si>
    <r>
      <rPr>
        <sz val="5"/>
        <rFont val="Arial"/>
        <family val="2"/>
      </rPr>
      <t>GOLCONDA</t>
    </r>
  </si>
  <si>
    <r>
      <rPr>
        <sz val="5"/>
        <rFont val="Arial"/>
        <family val="2"/>
      </rPr>
      <t>PRIMERO DE MAYO</t>
    </r>
  </si>
  <si>
    <r>
      <rPr>
        <sz val="5"/>
        <rFont val="Arial"/>
        <family val="2"/>
      </rPr>
      <t>BUENOS AIRES</t>
    </r>
  </si>
  <si>
    <r>
      <rPr>
        <sz val="5"/>
        <rFont val="Arial"/>
        <family val="2"/>
      </rPr>
      <t>CALVO SUR</t>
    </r>
  </si>
  <si>
    <r>
      <rPr>
        <sz val="5"/>
        <rFont val="Arial"/>
        <family val="2"/>
      </rPr>
      <t>CAMINO VIEJO DE SAN CRISTOBAL</t>
    </r>
  </si>
  <si>
    <r>
      <rPr>
        <sz val="5"/>
        <rFont val="Arial"/>
        <family val="2"/>
      </rPr>
      <t>LA MARIA</t>
    </r>
  </si>
  <si>
    <r>
      <rPr>
        <sz val="5"/>
        <rFont val="Arial"/>
        <family val="2"/>
      </rPr>
      <t>LAS BRISAS</t>
    </r>
  </si>
  <si>
    <r>
      <rPr>
        <sz val="5"/>
        <rFont val="Arial"/>
        <family val="2"/>
      </rPr>
      <t>LOS DOS LEONES</t>
    </r>
  </si>
  <si>
    <r>
      <rPr>
        <sz val="5"/>
        <rFont val="Arial"/>
        <family val="2"/>
      </rPr>
      <t>MODELO SUR</t>
    </r>
  </si>
  <si>
    <r>
      <rPr>
        <sz val="5"/>
        <rFont val="Arial"/>
        <family val="2"/>
      </rPr>
      <t>NARIÑO SUR</t>
    </r>
  </si>
  <si>
    <r>
      <rPr>
        <sz val="5"/>
        <rFont val="Arial"/>
        <family val="2"/>
      </rPr>
      <t>QUINTA RAMOS</t>
    </r>
  </si>
  <si>
    <r>
      <rPr>
        <sz val="5"/>
        <rFont val="Arial"/>
        <family val="2"/>
      </rPr>
      <t>REP. DE VENEZUELA</t>
    </r>
  </si>
  <si>
    <r>
      <rPr>
        <sz val="5"/>
        <rFont val="Arial"/>
        <family val="2"/>
      </rPr>
      <t>SAN CRISTOBAL SUR</t>
    </r>
  </si>
  <si>
    <r>
      <rPr>
        <sz val="5"/>
        <rFont val="Arial"/>
        <family val="2"/>
      </rPr>
      <t>SAN JAVIER</t>
    </r>
  </si>
  <si>
    <r>
      <rPr>
        <sz val="5"/>
        <rFont val="Arial"/>
        <family val="2"/>
      </rPr>
      <t>SANTA ANA</t>
    </r>
  </si>
  <si>
    <r>
      <rPr>
        <sz val="5"/>
        <rFont val="Arial"/>
        <family val="2"/>
      </rPr>
      <t>SANTA ANA SUR</t>
    </r>
  </si>
  <si>
    <r>
      <rPr>
        <sz val="5"/>
        <rFont val="Arial"/>
        <family val="2"/>
      </rPr>
      <t>SOSIEGO</t>
    </r>
  </si>
  <si>
    <r>
      <rPr>
        <sz val="5"/>
        <rFont val="Arial"/>
        <family val="2"/>
      </rPr>
      <t>VELODROMO</t>
    </r>
  </si>
  <si>
    <r>
      <rPr>
        <sz val="5"/>
        <rFont val="Arial"/>
        <family val="2"/>
      </rPr>
      <t>VILLA ALBANIA</t>
    </r>
  </si>
  <si>
    <r>
      <rPr>
        <sz val="5"/>
        <rFont val="Arial"/>
        <family val="2"/>
      </rPr>
      <t>VILLA JAVIER</t>
    </r>
  </si>
  <si>
    <r>
      <rPr>
        <sz val="5"/>
        <rFont val="Arial"/>
        <family val="2"/>
      </rPr>
      <t>ATENAS</t>
    </r>
  </si>
  <si>
    <r>
      <rPr>
        <sz val="5"/>
        <rFont val="Arial"/>
        <family val="2"/>
      </rPr>
      <t>20 DE JULIO</t>
    </r>
  </si>
  <si>
    <r>
      <rPr>
        <sz val="5"/>
        <rFont val="Arial"/>
        <family val="2"/>
      </rPr>
      <t>ATENAS I</t>
    </r>
  </si>
  <si>
    <r>
      <rPr>
        <sz val="5"/>
        <rFont val="Arial"/>
        <family val="2"/>
      </rPr>
      <t>AYACUCHO</t>
    </r>
  </si>
  <si>
    <r>
      <rPr>
        <sz val="5"/>
        <rFont val="Arial"/>
        <family val="2"/>
      </rPr>
      <t>BARCELONA</t>
    </r>
  </si>
  <si>
    <r>
      <rPr>
        <sz val="5"/>
        <rFont val="Arial"/>
        <family val="2"/>
      </rPr>
      <t>BARCELONA SUR</t>
    </r>
  </si>
  <si>
    <r>
      <rPr>
        <sz val="5"/>
        <rFont val="Arial"/>
        <family val="2"/>
      </rPr>
      <t>BARCELONA SUR ORIENTAL</t>
    </r>
  </si>
  <si>
    <r>
      <rPr>
        <sz val="5"/>
        <rFont val="Arial"/>
        <family val="2"/>
      </rPr>
      <t>BELLO HORIZONTE</t>
    </r>
  </si>
  <si>
    <r>
      <rPr>
        <sz val="5"/>
        <rFont val="Arial"/>
        <family val="2"/>
      </rPr>
      <t>BELLO HORIZONTE III SECTOR</t>
    </r>
  </si>
  <si>
    <r>
      <rPr>
        <sz val="5"/>
        <rFont val="Arial"/>
        <family val="2"/>
      </rPr>
      <t>CORDOBA</t>
    </r>
  </si>
  <si>
    <r>
      <rPr>
        <sz val="5"/>
        <rFont val="Arial"/>
        <family val="2"/>
      </rPr>
      <t>EL ANGULO</t>
    </r>
  </si>
  <si>
    <r>
      <rPr>
        <sz val="5"/>
        <rFont val="Arial"/>
        <family val="2"/>
      </rPr>
      <t>EL ENCANTO</t>
    </r>
  </si>
  <si>
    <r>
      <rPr>
        <sz val="5"/>
        <rFont val="Arial"/>
        <family val="2"/>
      </rPr>
      <t>GRANADA SUR</t>
    </r>
  </si>
  <si>
    <r>
      <rPr>
        <sz val="5"/>
        <rFont val="Arial"/>
        <family val="2"/>
      </rPr>
      <t>GRANADA SUR III SECTOR</t>
    </r>
  </si>
  <si>
    <r>
      <rPr>
        <sz val="5"/>
        <rFont val="Arial"/>
        <family val="2"/>
      </rPr>
      <t>LA JOYITA</t>
    </r>
  </si>
  <si>
    <r>
      <rPr>
        <sz val="5"/>
        <rFont val="Arial"/>
        <family val="2"/>
      </rPr>
      <t>LA SERAFINA</t>
    </r>
  </si>
  <si>
    <r>
      <rPr>
        <sz val="5"/>
        <rFont val="Arial"/>
        <family val="2"/>
      </rPr>
      <t>LAS LOMAS</t>
    </r>
  </si>
  <si>
    <r>
      <rPr>
        <sz val="5"/>
        <rFont val="Arial"/>
        <family val="2"/>
      </rPr>
      <t>MANAGUA</t>
    </r>
  </si>
  <si>
    <r>
      <rPr>
        <sz val="5"/>
        <rFont val="Arial"/>
        <family val="2"/>
      </rPr>
      <t>MONTEBELLO</t>
    </r>
  </si>
  <si>
    <r>
      <rPr>
        <sz val="5"/>
        <rFont val="Arial"/>
        <family val="2"/>
      </rPr>
      <t>SAN ISIDRO</t>
    </r>
  </si>
  <si>
    <r>
      <rPr>
        <sz val="5"/>
        <rFont val="Arial"/>
        <family val="2"/>
      </rPr>
      <t>SAN ISIDRO I Y II</t>
    </r>
  </si>
  <si>
    <r>
      <rPr>
        <sz val="5"/>
        <rFont val="Arial"/>
        <family val="2"/>
      </rPr>
      <t>SAN ISIDRO SUR</t>
    </r>
  </si>
  <si>
    <r>
      <rPr>
        <sz val="5"/>
        <rFont val="Arial"/>
        <family val="2"/>
      </rPr>
      <t>SAN LUIS</t>
    </r>
  </si>
  <si>
    <r>
      <rPr>
        <sz val="5"/>
        <rFont val="Arial"/>
        <family val="2"/>
      </rPr>
      <t>SUR AMERICA</t>
    </r>
  </si>
  <si>
    <r>
      <rPr>
        <sz val="5"/>
        <rFont val="Arial"/>
        <family val="2"/>
      </rPr>
      <t>VILLA DE LOS ALPES</t>
    </r>
  </si>
  <si>
    <r>
      <rPr>
        <sz val="5"/>
        <rFont val="Arial"/>
        <family val="2"/>
      </rPr>
      <t>VILLA DE LOS ALPES I</t>
    </r>
  </si>
  <si>
    <r>
      <rPr>
        <sz val="5"/>
        <rFont val="Arial"/>
        <family val="2"/>
      </rPr>
      <t>VILLA NATALY 20 DE JULIO</t>
    </r>
  </si>
  <si>
    <r>
      <rPr>
        <sz val="5"/>
        <rFont val="Arial"/>
        <family val="2"/>
      </rPr>
      <t>ALTAMIRA</t>
    </r>
  </si>
  <si>
    <r>
      <rPr>
        <sz val="5"/>
        <rFont val="Arial"/>
        <family val="2"/>
      </rPr>
      <t>ALTAMIRA CHIQUITA</t>
    </r>
  </si>
  <si>
    <r>
      <rPr>
        <sz val="5"/>
        <rFont val="Arial"/>
        <family val="2"/>
      </rPr>
      <t>ALTOS DEL POBLADO</t>
    </r>
  </si>
  <si>
    <r>
      <rPr>
        <sz val="5"/>
        <rFont val="Arial"/>
        <family val="2"/>
      </rPr>
      <t>ALTOS DEL VIRREY</t>
    </r>
  </si>
  <si>
    <r>
      <rPr>
        <sz val="5"/>
        <rFont val="Arial"/>
        <family val="2"/>
      </rPr>
      <t>ALTOS DEL ZUQUE</t>
    </r>
  </si>
  <si>
    <r>
      <rPr>
        <sz val="5"/>
        <rFont val="Arial"/>
        <family val="2"/>
      </rPr>
      <t>BELLAVISTA PARTE ALTA</t>
    </r>
  </si>
  <si>
    <r>
      <rPr>
        <sz val="5"/>
        <rFont val="Arial"/>
        <family val="2"/>
      </rPr>
      <t>BELLAVISTA SUR ORIENTAL</t>
    </r>
  </si>
  <si>
    <r>
      <rPr>
        <sz val="5"/>
        <rFont val="Arial"/>
        <family val="2"/>
      </rPr>
      <t>CIUDADELA SANTA ROSA</t>
    </r>
  </si>
  <si>
    <r>
      <rPr>
        <sz val="5"/>
        <rFont val="Arial"/>
        <family val="2"/>
      </rPr>
      <t>EL QUINDIO</t>
    </r>
  </si>
  <si>
    <r>
      <rPr>
        <sz val="5"/>
        <rFont val="Arial"/>
        <family val="2"/>
      </rPr>
      <t>EL RECODO-REPUBLICA DE CANADA</t>
    </r>
  </si>
  <si>
    <r>
      <rPr>
        <sz val="5"/>
        <rFont val="Arial"/>
        <family val="2"/>
      </rPr>
      <t>EL RODEO</t>
    </r>
  </si>
  <si>
    <r>
      <rPr>
        <sz val="5"/>
        <rFont val="Arial"/>
        <family val="2"/>
      </rPr>
      <t>LA COLMENA</t>
    </r>
  </si>
  <si>
    <r>
      <rPr>
        <sz val="5"/>
        <rFont val="Arial"/>
        <family val="2"/>
      </rPr>
      <t>LA GLORIA</t>
    </r>
  </si>
  <si>
    <r>
      <rPr>
        <sz val="5"/>
        <rFont val="Arial"/>
        <family val="2"/>
      </rPr>
      <t>LA GLORIA BAJA</t>
    </r>
  </si>
  <si>
    <r>
      <rPr>
        <sz val="5"/>
        <rFont val="Arial"/>
        <family val="2"/>
      </rPr>
      <t>LA GLORIA MZ 11</t>
    </r>
  </si>
  <si>
    <r>
      <rPr>
        <sz val="5"/>
        <rFont val="Arial"/>
        <family val="2"/>
      </rPr>
      <t>LA GLORIA OCCIDENTAL</t>
    </r>
  </si>
  <si>
    <r>
      <rPr>
        <sz val="5"/>
        <rFont val="Arial"/>
        <family val="2"/>
      </rPr>
      <t>LA GLORIA ORIENTAL</t>
    </r>
  </si>
  <si>
    <r>
      <rPr>
        <sz val="5"/>
        <rFont val="Arial"/>
        <family val="2"/>
      </rPr>
      <t>LA GLORIA SAN MIGUEL</t>
    </r>
  </si>
  <si>
    <r>
      <rPr>
        <sz val="5"/>
        <rFont val="Arial"/>
        <family val="2"/>
      </rPr>
      <t>LA GROVANA</t>
    </r>
  </si>
  <si>
    <r>
      <rPr>
        <sz val="5"/>
        <rFont val="Arial"/>
        <family val="2"/>
      </rPr>
      <t>LA VICTORIA</t>
    </r>
  </si>
  <si>
    <r>
      <rPr>
        <sz val="5"/>
        <rFont val="Arial"/>
        <family val="2"/>
      </rPr>
      <t>LA VICTORIA II SECTOR</t>
    </r>
  </si>
  <si>
    <r>
      <rPr>
        <sz val="5"/>
        <rFont val="Arial"/>
        <family val="2"/>
      </rPr>
      <t>LA VICTORIA III SECTOR</t>
    </r>
  </si>
  <si>
    <r>
      <rPr>
        <sz val="5"/>
        <rFont val="Arial"/>
        <family val="2"/>
      </rPr>
      <t>LAS GAVIOTAS</t>
    </r>
  </si>
  <si>
    <r>
      <rPr>
        <sz val="5"/>
        <rFont val="Arial"/>
        <family val="2"/>
      </rPr>
      <t>LAS GUACAMAYAS</t>
    </r>
  </si>
  <si>
    <r>
      <rPr>
        <sz val="5"/>
        <rFont val="Arial"/>
        <family val="2"/>
      </rPr>
      <t>LAS GUACAMAYAS I, II Y III</t>
    </r>
  </si>
  <si>
    <r>
      <rPr>
        <sz val="5"/>
        <rFont val="Arial"/>
        <family val="2"/>
      </rPr>
      <t>LOS PUENTES</t>
    </r>
  </si>
  <si>
    <r>
      <rPr>
        <sz val="5"/>
        <rFont val="Arial"/>
        <family val="2"/>
      </rPr>
      <t>MALVINAS</t>
    </r>
  </si>
  <si>
    <r>
      <rPr>
        <sz val="5"/>
        <rFont val="Arial"/>
        <family val="2"/>
      </rPr>
      <t>MORALVA</t>
    </r>
  </si>
  <si>
    <r>
      <rPr>
        <sz val="5"/>
        <rFont val="Arial"/>
        <family val="2"/>
      </rPr>
      <t>PANORAMA (ANTES ALTAMIRA)</t>
    </r>
  </si>
  <si>
    <r>
      <rPr>
        <sz val="5"/>
        <rFont val="Arial"/>
        <family val="2"/>
      </rPr>
      <t>PASEITO III</t>
    </r>
  </si>
  <si>
    <r>
      <rPr>
        <sz val="5"/>
        <rFont val="Arial"/>
        <family val="2"/>
      </rPr>
      <t>PUENTE COLORADO</t>
    </r>
  </si>
  <si>
    <r>
      <rPr>
        <sz val="5"/>
        <rFont val="Arial"/>
        <family val="2"/>
      </rPr>
      <t>QUINDIO</t>
    </r>
  </si>
  <si>
    <r>
      <rPr>
        <sz val="5"/>
        <rFont val="Arial"/>
        <family val="2"/>
      </rPr>
      <t>QUINDIO I Y II</t>
    </r>
  </si>
  <si>
    <r>
      <rPr>
        <sz val="5"/>
        <rFont val="Arial"/>
        <family val="2"/>
      </rPr>
      <t>QUINDIO II</t>
    </r>
  </si>
  <si>
    <r>
      <rPr>
        <sz val="5"/>
        <rFont val="Arial"/>
        <family val="2"/>
      </rPr>
      <t>SAN JOSE</t>
    </r>
  </si>
  <si>
    <r>
      <rPr>
        <sz val="5"/>
        <rFont val="Arial"/>
        <family val="2"/>
      </rPr>
      <t>SAN JOSE ORIENTAL</t>
    </r>
  </si>
  <si>
    <r>
      <rPr>
        <sz val="5"/>
        <rFont val="Arial"/>
        <family val="2"/>
      </rPr>
      <t>SAN JOSE SUR ORIENTAL</t>
    </r>
  </si>
  <si>
    <r>
      <rPr>
        <sz val="5"/>
        <rFont val="Arial"/>
        <family val="2"/>
      </rPr>
      <t>SAN MARTIN DE LOBA I Y II</t>
    </r>
  </si>
  <si>
    <r>
      <rPr>
        <sz val="5"/>
        <rFont val="Arial"/>
        <family val="2"/>
      </rPr>
      <t>SAN MARTIN SUR</t>
    </r>
  </si>
  <si>
    <r>
      <rPr>
        <sz val="5"/>
        <rFont val="Arial"/>
        <family val="2"/>
      </rPr>
      <t>ANTIOQUIA</t>
    </r>
  </si>
  <si>
    <r>
      <rPr>
        <sz val="5"/>
        <rFont val="Arial"/>
        <family val="2"/>
      </rPr>
      <t>CANADA LA GUIRA</t>
    </r>
  </si>
  <si>
    <r>
      <rPr>
        <sz val="5"/>
        <rFont val="Arial"/>
        <family val="2"/>
      </rPr>
      <t>CANADA LA GUIRA II SECTOR</t>
    </r>
  </si>
  <si>
    <r>
      <rPr>
        <sz val="5"/>
        <rFont val="Arial"/>
        <family val="2"/>
      </rPr>
      <t>CANADA-SAN LUIS</t>
    </r>
  </si>
  <si>
    <r>
      <rPr>
        <sz val="5"/>
        <rFont val="Arial"/>
        <family val="2"/>
      </rPr>
      <t>CHIGUAZA</t>
    </r>
  </si>
  <si>
    <r>
      <rPr>
        <sz val="5"/>
        <rFont val="Arial"/>
        <family val="2"/>
      </rPr>
      <t>EL PARAISO</t>
    </r>
  </si>
  <si>
    <r>
      <rPr>
        <sz val="5"/>
        <rFont val="Arial"/>
        <family val="2"/>
      </rPr>
      <t>EL PINAR O REP. DEL CANADA II S.</t>
    </r>
  </si>
  <si>
    <r>
      <rPr>
        <sz val="5"/>
        <rFont val="Arial"/>
        <family val="2"/>
      </rPr>
      <t>EL TRIUNFO</t>
    </r>
  </si>
  <si>
    <r>
      <rPr>
        <sz val="5"/>
        <rFont val="Arial"/>
        <family val="2"/>
      </rPr>
      <t>JUAN REY (LA PAZ)</t>
    </r>
  </si>
  <si>
    <r>
      <rPr>
        <sz val="5"/>
        <rFont val="Arial"/>
        <family val="2"/>
      </rPr>
      <t>LA BELLEZA</t>
    </r>
  </si>
  <si>
    <r>
      <rPr>
        <sz val="5"/>
        <rFont val="Arial"/>
        <family val="2"/>
      </rPr>
      <t>LA NUEVA GLORIA</t>
    </r>
  </si>
  <si>
    <r>
      <rPr>
        <sz val="5"/>
        <rFont val="Arial"/>
        <family val="2"/>
      </rPr>
      <t>LA NUEVA GLORIA II SECTOR</t>
    </r>
  </si>
  <si>
    <r>
      <rPr>
        <sz val="5"/>
        <rFont val="Arial"/>
        <family val="2"/>
      </rPr>
      <t>LA PENINSULA</t>
    </r>
  </si>
  <si>
    <r>
      <rPr>
        <sz val="5"/>
        <rFont val="Arial"/>
        <family val="2"/>
      </rPr>
      <t>LA SIERRA</t>
    </r>
  </si>
  <si>
    <r>
      <rPr>
        <sz val="5"/>
        <rFont val="Arial"/>
        <family val="2"/>
      </rPr>
      <t>LAS GAVIOTAS*</t>
    </r>
  </si>
  <si>
    <r>
      <rPr>
        <sz val="5"/>
        <rFont val="Arial"/>
        <family val="2"/>
      </rPr>
      <t>LOS LIBERTADORES</t>
    </r>
  </si>
  <si>
    <r>
      <rPr>
        <sz val="5"/>
        <rFont val="Arial"/>
        <family val="2"/>
      </rPr>
      <t>LOS LIBERTADORES S. EL TESORO</t>
    </r>
  </si>
  <si>
    <r>
      <rPr>
        <sz val="5"/>
        <rFont val="Arial"/>
        <family val="2"/>
      </rPr>
      <t>LOS LIBERTADORES S. LA COLINA</t>
    </r>
  </si>
  <si>
    <r>
      <rPr>
        <sz val="5"/>
        <rFont val="Arial"/>
        <family val="2"/>
      </rPr>
      <t>LOS LIBERTADORES S.SAN IGNACIO</t>
    </r>
  </si>
  <si>
    <r>
      <rPr>
        <sz val="5"/>
        <rFont val="Arial"/>
        <family val="2"/>
      </rPr>
      <t>LOS LIBERTADORES S.SAN ISIDRO</t>
    </r>
  </si>
  <si>
    <r>
      <rPr>
        <sz val="5"/>
        <rFont val="Arial"/>
        <family val="2"/>
      </rPr>
      <t>LOS LIBERTADORES S.SAN JOSE</t>
    </r>
  </si>
  <si>
    <r>
      <rPr>
        <sz val="5"/>
        <rFont val="Arial"/>
        <family val="2"/>
      </rPr>
      <t>LOS LIBERTADORES S.SAN LUIS</t>
    </r>
  </si>
  <si>
    <r>
      <rPr>
        <sz val="5"/>
        <rFont val="Arial"/>
        <family val="2"/>
      </rPr>
      <t>LOS LIBERTADORES S.SAN MIGUEL</t>
    </r>
  </si>
  <si>
    <r>
      <rPr>
        <sz val="5"/>
        <rFont val="Arial"/>
        <family val="2"/>
      </rPr>
      <t>LOS LIBERTADORES, BQUE DIAMANT, TRIANGULO</t>
    </r>
  </si>
  <si>
    <r>
      <rPr>
        <sz val="5"/>
        <rFont val="Arial"/>
        <family val="2"/>
      </rPr>
      <t>LOS PINARES</t>
    </r>
  </si>
  <si>
    <r>
      <rPr>
        <sz val="5"/>
        <rFont val="Arial"/>
        <family val="2"/>
      </rPr>
      <t>LOS PINOS</t>
    </r>
  </si>
  <si>
    <r>
      <rPr>
        <sz val="5"/>
        <rFont val="Arial"/>
        <family val="2"/>
      </rPr>
      <t>NUEVA DELLY</t>
    </r>
  </si>
  <si>
    <r>
      <rPr>
        <sz val="5"/>
        <rFont val="Arial"/>
        <family val="2"/>
      </rPr>
      <t>NUEVA GLORIA</t>
    </r>
  </si>
  <si>
    <r>
      <rPr>
        <sz val="5"/>
        <rFont val="Arial"/>
        <family val="2"/>
      </rPr>
      <t>NUEVA ROMA</t>
    </r>
  </si>
  <si>
    <r>
      <rPr>
        <sz val="5"/>
        <rFont val="Arial"/>
        <family val="2"/>
      </rPr>
      <t>NUEVAS MALVINAS O EL TRIUNFO</t>
    </r>
  </si>
  <si>
    <r>
      <rPr>
        <sz val="5"/>
        <rFont val="Arial"/>
        <family val="2"/>
      </rPr>
      <t>REPUBLICA DEL CANADA</t>
    </r>
  </si>
  <si>
    <r>
      <rPr>
        <sz val="5"/>
        <rFont val="Arial"/>
        <family val="2"/>
      </rPr>
      <t>REPUBLICA DEL CANADA-EL PINAR</t>
    </r>
  </si>
  <si>
    <r>
      <rPr>
        <sz val="5"/>
        <rFont val="Arial"/>
        <family val="2"/>
      </rPr>
      <t>SAN JACINTO</t>
    </r>
  </si>
  <si>
    <r>
      <rPr>
        <sz val="5"/>
        <rFont val="Arial"/>
        <family val="2"/>
      </rPr>
      <t>SAN MANUEL</t>
    </r>
  </si>
  <si>
    <r>
      <rPr>
        <sz val="5"/>
        <rFont val="Arial"/>
        <family val="2"/>
      </rPr>
      <t>SAN RAFAEL SUR ORIENTAL</t>
    </r>
  </si>
  <si>
    <r>
      <rPr>
        <sz val="5"/>
        <rFont val="Arial"/>
        <family val="2"/>
      </rPr>
      <t>SAN RAFAEL USME</t>
    </r>
  </si>
  <si>
    <r>
      <rPr>
        <sz val="5"/>
        <rFont val="Arial"/>
        <family val="2"/>
      </rPr>
      <t>SANTA RITA I, II Y III</t>
    </r>
  </si>
  <si>
    <r>
      <rPr>
        <sz val="5"/>
        <rFont val="Arial"/>
        <family val="2"/>
      </rPr>
      <t>SANTA RITA SUR ORIENTAL</t>
    </r>
  </si>
  <si>
    <r>
      <rPr>
        <sz val="5"/>
        <rFont val="Arial"/>
        <family val="2"/>
      </rPr>
      <t>VALPARAISO</t>
    </r>
  </si>
  <si>
    <r>
      <rPr>
        <sz val="5"/>
        <rFont val="Arial"/>
        <family val="2"/>
      </rPr>
      <t>VILLA ANGELICA CANADA LA GUIRA</t>
    </r>
  </si>
  <si>
    <r>
      <rPr>
        <sz val="5"/>
        <rFont val="Arial"/>
        <family val="2"/>
      </rPr>
      <t>VILLA AURORA</t>
    </r>
  </si>
  <si>
    <r>
      <rPr>
        <sz val="5"/>
        <rFont val="Arial"/>
        <family val="2"/>
      </rPr>
      <t>VILLA DEL CERRO</t>
    </r>
  </si>
  <si>
    <r>
      <rPr>
        <sz val="5"/>
        <rFont val="Arial"/>
        <family val="2"/>
      </rPr>
      <t>VILLABELL</t>
    </r>
  </si>
  <si>
    <r>
      <rPr>
        <sz val="5"/>
        <rFont val="Arial"/>
        <family val="2"/>
      </rPr>
      <t>YOMASA</t>
    </r>
  </si>
  <si>
    <r>
      <rPr>
        <sz val="5"/>
        <rFont val="Arial"/>
        <family val="2"/>
      </rPr>
      <t>VILLA ANGELICA</t>
    </r>
  </si>
  <si>
    <r>
      <rPr>
        <sz val="5"/>
        <rFont val="Arial"/>
        <family val="2"/>
      </rPr>
      <t>EL PARAISO SUR ORIENTAL I SEC.</t>
    </r>
  </si>
  <si>
    <r>
      <rPr>
        <sz val="5"/>
        <rFont val="Arial"/>
        <family val="2"/>
      </rPr>
      <t>JUAN REY I Y II</t>
    </r>
  </si>
  <si>
    <r>
      <rPr>
        <sz val="5"/>
        <rFont val="Arial"/>
        <family val="2"/>
      </rPr>
      <t>VILLA BEGONIA</t>
    </r>
  </si>
  <si>
    <r>
      <rPr>
        <sz val="4.5"/>
        <rFont val="Arial"/>
        <family val="2"/>
      </rPr>
      <t>BUENOS AIRES</t>
    </r>
  </si>
  <si>
    <r>
      <rPr>
        <sz val="4.5"/>
        <rFont val="Arial"/>
        <family val="2"/>
      </rPr>
      <t>COSTA RICA</t>
    </r>
  </si>
  <si>
    <r>
      <rPr>
        <sz val="4.5"/>
        <rFont val="Arial"/>
        <family val="2"/>
      </rPr>
      <t>DOÑA LILIANA</t>
    </r>
  </si>
  <si>
    <r>
      <rPr>
        <sz val="4.5"/>
        <rFont val="Arial"/>
        <family val="2"/>
      </rPr>
      <t>EL BOSQUE KM. 11</t>
    </r>
  </si>
  <si>
    <r>
      <rPr>
        <sz val="4.5"/>
        <rFont val="Arial"/>
        <family val="2"/>
      </rPr>
      <t>JUAN JOSE RONDON</t>
    </r>
  </si>
  <si>
    <r>
      <rPr>
        <sz val="4.5"/>
        <rFont val="Arial"/>
        <family val="2"/>
      </rPr>
      <t>JUAN JOSE RONDON II SECTOR</t>
    </r>
  </si>
  <si>
    <r>
      <rPr>
        <sz val="4.5"/>
        <rFont val="Arial"/>
        <family val="2"/>
      </rPr>
      <t>JUAN REY SUR</t>
    </r>
  </si>
  <si>
    <r>
      <rPr>
        <sz val="4.5"/>
        <rFont val="Arial"/>
        <family val="2"/>
      </rPr>
      <t>LA CABAÑA</t>
    </r>
  </si>
  <si>
    <r>
      <rPr>
        <sz val="4.5"/>
        <rFont val="Arial"/>
        <family val="2"/>
      </rPr>
      <t>LA ESPERANZA</t>
    </r>
  </si>
  <si>
    <r>
      <rPr>
        <sz val="4.5"/>
        <rFont val="Arial"/>
        <family val="2"/>
      </rPr>
      <t>LA FLORA PARCELACION SAN PEDRO</t>
    </r>
  </si>
  <si>
    <r>
      <rPr>
        <sz val="4.5"/>
        <rFont val="Arial"/>
        <family val="2"/>
      </rPr>
      <t>LAS VIOLETAS</t>
    </r>
  </si>
  <si>
    <r>
      <rPr>
        <sz val="4.5"/>
        <rFont val="Arial"/>
        <family val="2"/>
      </rPr>
      <t>LOS ARRAYANES</t>
    </r>
  </si>
  <si>
    <r>
      <rPr>
        <sz val="4.5"/>
        <rFont val="Arial"/>
        <family val="2"/>
      </rPr>
      <t>LOS SOCHES</t>
    </r>
  </si>
  <si>
    <r>
      <rPr>
        <sz val="4.5"/>
        <rFont val="Arial"/>
        <family val="2"/>
      </rPr>
      <t>PARCELACION SAN PEDRO</t>
    </r>
  </si>
  <si>
    <r>
      <rPr>
        <sz val="4.5"/>
        <rFont val="Arial"/>
        <family val="2"/>
      </rPr>
      <t>TIHUAQUE</t>
    </r>
  </si>
  <si>
    <r>
      <rPr>
        <sz val="4.5"/>
        <rFont val="Arial"/>
        <family val="2"/>
      </rPr>
      <t>UNION</t>
    </r>
  </si>
  <si>
    <r>
      <rPr>
        <sz val="4.5"/>
        <rFont val="Arial"/>
        <family val="2"/>
      </rPr>
      <t>VILLA DIANA</t>
    </r>
  </si>
  <si>
    <r>
      <rPr>
        <sz val="4.5"/>
        <rFont val="Arial"/>
        <family val="2"/>
      </rPr>
      <t>VILLA ROSITA</t>
    </r>
  </si>
  <si>
    <r>
      <rPr>
        <sz val="4.5"/>
        <rFont val="Arial"/>
        <family val="2"/>
      </rPr>
      <t>ALASKA</t>
    </r>
  </si>
  <si>
    <r>
      <rPr>
        <sz val="4.5"/>
        <rFont val="Arial"/>
        <family val="2"/>
      </rPr>
      <t>ARRAYANES</t>
    </r>
  </si>
  <si>
    <r>
      <rPr>
        <sz val="4.5"/>
        <rFont val="Arial"/>
        <family val="2"/>
      </rPr>
      <t>DANUBIO AZUL</t>
    </r>
  </si>
  <si>
    <r>
      <rPr>
        <sz val="4.5"/>
        <rFont val="Arial"/>
        <family val="2"/>
      </rPr>
      <t>DAZA SECTOR II</t>
    </r>
  </si>
  <si>
    <r>
      <rPr>
        <sz val="4.5"/>
        <rFont val="Arial"/>
        <family val="2"/>
      </rPr>
      <t>DUITAMA</t>
    </r>
  </si>
  <si>
    <r>
      <rPr>
        <sz val="4.5"/>
        <rFont val="Arial"/>
        <family val="2"/>
      </rPr>
      <t>EL PORVENIR</t>
    </r>
  </si>
  <si>
    <r>
      <rPr>
        <sz val="4.5"/>
        <rFont val="Arial"/>
        <family val="2"/>
      </rPr>
      <t>EL PORVENIR II SECTOR</t>
    </r>
  </si>
  <si>
    <r>
      <rPr>
        <sz val="4.5"/>
        <rFont val="Arial"/>
        <family val="2"/>
      </rPr>
      <t>FISCALA II LA FORTUNA</t>
    </r>
  </si>
  <si>
    <r>
      <rPr>
        <sz val="4.5"/>
        <rFont val="Arial"/>
        <family val="2"/>
      </rPr>
      <t>LA FISCALA LOS TRES LAURELES</t>
    </r>
  </si>
  <si>
    <r>
      <rPr>
        <sz val="4.5"/>
        <rFont val="Arial"/>
        <family val="2"/>
      </rPr>
      <t>LA FISCALA LOTE 16</t>
    </r>
  </si>
  <si>
    <r>
      <rPr>
        <sz val="4.5"/>
        <rFont val="Arial"/>
        <family val="2"/>
      </rPr>
      <t>LA FISCALA LOTE 16A</t>
    </r>
  </si>
  <si>
    <r>
      <rPr>
        <sz val="4.5"/>
        <rFont val="Arial"/>
        <family val="2"/>
      </rPr>
      <t>LA FISCALA SECTOR DAZA</t>
    </r>
  </si>
  <si>
    <r>
      <rPr>
        <sz val="4.5"/>
        <rFont val="Arial"/>
        <family val="2"/>
      </rPr>
      <t>LA FISCALA SECTOR NORTE</t>
    </r>
  </si>
  <si>
    <r>
      <rPr>
        <sz val="4.5"/>
        <rFont val="Arial"/>
        <family val="2"/>
      </rPr>
      <t>LA FISCALA SECTOR RODRIGUEZ</t>
    </r>
  </si>
  <si>
    <r>
      <rPr>
        <sz val="4.5"/>
        <rFont val="Arial"/>
        <family val="2"/>
      </rPr>
      <t>LA MORENA I</t>
    </r>
  </si>
  <si>
    <r>
      <rPr>
        <sz val="4.5"/>
        <rFont val="Arial"/>
        <family val="2"/>
      </rPr>
      <t>LA MORENA II</t>
    </r>
  </si>
  <si>
    <r>
      <rPr>
        <sz val="4.5"/>
        <rFont val="Arial"/>
        <family val="2"/>
      </rPr>
      <t>LA MORENA II (SECTOR VILLA SANDRA)</t>
    </r>
  </si>
  <si>
    <r>
      <rPr>
        <sz val="4.5"/>
        <rFont val="Arial"/>
        <family val="2"/>
      </rPr>
      <t>MORENA II SECTOR VILLA SANDRA</t>
    </r>
  </si>
  <si>
    <r>
      <rPr>
        <sz val="4.5"/>
        <rFont val="Arial"/>
        <family val="2"/>
      </rPr>
      <t>NUEVA ESPERANZA</t>
    </r>
  </si>
  <si>
    <r>
      <rPr>
        <sz val="4.5"/>
        <rFont val="Arial"/>
        <family val="2"/>
      </rPr>
      <t>SAN MARTIN</t>
    </r>
  </si>
  <si>
    <r>
      <rPr>
        <sz val="4.5"/>
        <rFont val="Arial"/>
        <family val="2"/>
      </rPr>
      <t>VILLA NEIZA</t>
    </r>
  </si>
  <si>
    <r>
      <rPr>
        <sz val="4.5"/>
        <rFont val="Arial"/>
        <family val="2"/>
      </rPr>
      <t>PICOTA SUR</t>
    </r>
  </si>
  <si>
    <r>
      <rPr>
        <sz val="4.5"/>
        <rFont val="Arial"/>
        <family val="2"/>
      </rPr>
      <t>PORVENIR</t>
    </r>
  </si>
  <si>
    <r>
      <rPr>
        <sz val="4.5"/>
        <rFont val="Arial"/>
        <family val="2"/>
      </rPr>
      <t>ALMIRANTE PADILLA</t>
    </r>
  </si>
  <si>
    <r>
      <rPr>
        <sz val="4.5"/>
        <rFont val="Arial"/>
        <family val="2"/>
      </rPr>
      <t>ALTOS DEL PINO</t>
    </r>
  </si>
  <si>
    <r>
      <rPr>
        <sz val="4.5"/>
        <rFont val="Arial"/>
        <family val="2"/>
      </rPr>
      <t>ARIZONA</t>
    </r>
  </si>
  <si>
    <r>
      <rPr>
        <sz val="4.5"/>
        <rFont val="Arial"/>
        <family val="2"/>
      </rPr>
      <t>BARRANQUILLITA</t>
    </r>
  </si>
  <si>
    <r>
      <rPr>
        <sz val="4.5"/>
        <rFont val="Arial"/>
        <family val="2"/>
      </rPr>
      <t>BENJAMIN URIBE</t>
    </r>
  </si>
  <si>
    <r>
      <rPr>
        <sz val="4.5"/>
        <rFont val="Arial"/>
        <family val="2"/>
      </rPr>
      <t>BETANIA</t>
    </r>
  </si>
  <si>
    <r>
      <rPr>
        <sz val="4.5"/>
        <rFont val="Arial"/>
        <family val="2"/>
      </rPr>
      <t>BETANIA II</t>
    </r>
  </si>
  <si>
    <r>
      <rPr>
        <sz val="4.5"/>
        <rFont val="Arial"/>
        <family val="2"/>
      </rPr>
      <t>BULEVAR DEL SUR</t>
    </r>
  </si>
  <si>
    <r>
      <rPr>
        <sz val="4.5"/>
        <rFont val="Arial"/>
        <family val="2"/>
      </rPr>
      <t>CASA LOMA II</t>
    </r>
  </si>
  <si>
    <r>
      <rPr>
        <sz val="4.5"/>
        <rFont val="Arial"/>
        <family val="2"/>
      </rPr>
      <t>CASA REY</t>
    </r>
  </si>
  <si>
    <r>
      <rPr>
        <sz val="4.5"/>
        <rFont val="Arial"/>
        <family val="2"/>
      </rPr>
      <t>CASALOMA</t>
    </r>
  </si>
  <si>
    <r>
      <rPr>
        <sz val="4.5"/>
        <rFont val="Arial"/>
        <family val="2"/>
      </rPr>
      <t>COMPOSTELA I</t>
    </r>
  </si>
  <si>
    <r>
      <rPr>
        <sz val="4.5"/>
        <rFont val="Arial"/>
        <family val="2"/>
      </rPr>
      <t>COMPOSTELA II</t>
    </r>
  </si>
  <si>
    <r>
      <rPr>
        <sz val="4.5"/>
        <rFont val="Arial"/>
        <family val="2"/>
      </rPr>
      <t>COMPOSTELA III</t>
    </r>
  </si>
  <si>
    <r>
      <rPr>
        <sz val="4.5"/>
        <rFont val="Arial"/>
        <family val="2"/>
      </rPr>
      <t>EL BOSQUE</t>
    </r>
  </si>
  <si>
    <r>
      <rPr>
        <sz val="4.5"/>
        <rFont val="Arial"/>
        <family val="2"/>
      </rPr>
      <t>EL CORTIJO</t>
    </r>
  </si>
  <si>
    <r>
      <rPr>
        <sz val="4.5"/>
        <rFont val="Arial"/>
        <family val="2"/>
      </rPr>
      <t>EL CURUBO</t>
    </r>
  </si>
  <si>
    <r>
      <rPr>
        <sz val="4.5"/>
        <rFont val="Arial"/>
        <family val="2"/>
      </rPr>
      <t>EL JORDAN</t>
    </r>
  </si>
  <si>
    <r>
      <rPr>
        <sz val="4.5"/>
        <rFont val="Arial"/>
        <family val="2"/>
      </rPr>
      <t>EL NEVADO</t>
    </r>
  </si>
  <si>
    <r>
      <rPr>
        <sz val="4.5"/>
        <rFont val="Arial"/>
        <family val="2"/>
      </rPr>
      <t>EL PEDREGAL</t>
    </r>
  </si>
  <si>
    <r>
      <rPr>
        <sz val="4.5"/>
        <rFont val="Arial"/>
        <family val="2"/>
      </rPr>
      <t>EL RECUERDO SUR</t>
    </r>
  </si>
  <si>
    <r>
      <rPr>
        <sz val="4.5"/>
        <rFont val="Arial"/>
        <family val="2"/>
      </rPr>
      <t>EL REFUGIO</t>
    </r>
  </si>
  <si>
    <r>
      <rPr>
        <sz val="4.5"/>
        <rFont val="Arial"/>
        <family val="2"/>
      </rPr>
      <t>EL REFUGIO SECTOR SANTA LIBRADA</t>
    </r>
  </si>
  <si>
    <r>
      <rPr>
        <sz val="4.5"/>
        <rFont val="Arial"/>
        <family val="2"/>
      </rPr>
      <t>EL ROSAL-MIRADOR</t>
    </r>
  </si>
  <si>
    <r>
      <rPr>
        <sz val="4.5"/>
        <rFont val="Arial"/>
        <family val="2"/>
      </rPr>
      <t>EL RUBI II SECTOR</t>
    </r>
  </si>
  <si>
    <r>
      <rPr>
        <sz val="4.5"/>
        <rFont val="Arial"/>
        <family val="2"/>
      </rPr>
      <t>GRAN YOMASA I</t>
    </r>
  </si>
  <si>
    <r>
      <rPr>
        <sz val="4.5"/>
        <rFont val="Arial"/>
        <family val="2"/>
      </rPr>
      <t>GRAN YOMASA II SECTOR</t>
    </r>
  </si>
  <si>
    <r>
      <rPr>
        <sz val="4.5"/>
        <rFont val="Arial"/>
        <family val="2"/>
      </rPr>
      <t>LA ANDREA</t>
    </r>
  </si>
  <si>
    <r>
      <rPr>
        <sz val="4.5"/>
        <rFont val="Arial"/>
        <family val="2"/>
      </rPr>
      <t>LA AURORA</t>
    </r>
  </si>
  <si>
    <r>
      <rPr>
        <sz val="4.5"/>
        <rFont val="Arial"/>
        <family val="2"/>
      </rPr>
      <t>LA FORTALEZA</t>
    </r>
  </si>
  <si>
    <r>
      <rPr>
        <sz val="4.5"/>
        <rFont val="Arial"/>
        <family val="2"/>
      </rPr>
      <t>LA REGADERA KM. 11</t>
    </r>
  </si>
  <si>
    <r>
      <rPr>
        <sz val="4.5"/>
        <rFont val="Arial"/>
        <family val="2"/>
      </rPr>
      <t>LA REGADERA SUR</t>
    </r>
  </si>
  <si>
    <r>
      <rPr>
        <sz val="4.5"/>
        <rFont val="Arial"/>
        <family val="2"/>
      </rPr>
      <t>LAS GRANJAS DE SAN PEDRO (SANTA LIBRADA)</t>
    </r>
  </si>
  <si>
    <r>
      <rPr>
        <sz val="4.5"/>
        <rFont val="Arial"/>
        <family val="2"/>
      </rPr>
      <t>LAS VIVIENDAS</t>
    </r>
  </si>
  <si>
    <r>
      <rPr>
        <sz val="4.5"/>
        <rFont val="Arial"/>
        <family val="2"/>
      </rPr>
      <t>LOS TEJARES SUR II SECTOR</t>
    </r>
  </si>
  <si>
    <r>
      <rPr>
        <sz val="4.5"/>
        <rFont val="Arial"/>
        <family val="2"/>
      </rPr>
      <t>NUEVO SAN ANDRES DE LOS ALTOS</t>
    </r>
  </si>
  <si>
    <r>
      <rPr>
        <sz val="4.5"/>
        <rFont val="Arial"/>
        <family val="2"/>
      </rPr>
      <t>OLIVARES</t>
    </r>
  </si>
  <si>
    <r>
      <rPr>
        <sz val="4.5"/>
        <rFont val="Arial"/>
        <family val="2"/>
      </rPr>
      <t>SALAZAR SALAZAR</t>
    </r>
  </si>
  <si>
    <r>
      <rPr>
        <sz val="4.5"/>
        <rFont val="Arial"/>
        <family val="2"/>
      </rPr>
      <t>SAN ANDRES ALTO</t>
    </r>
  </si>
  <si>
    <r>
      <rPr>
        <sz val="4.5"/>
        <rFont val="Arial"/>
        <family val="2"/>
      </rPr>
      <t>SAN FELIPE</t>
    </r>
  </si>
  <si>
    <r>
      <rPr>
        <sz val="4.5"/>
        <rFont val="Arial"/>
        <family val="2"/>
      </rPr>
      <t>SAN ISIDRO SUR</t>
    </r>
  </si>
  <si>
    <r>
      <rPr>
        <sz val="4.5"/>
        <rFont val="Arial"/>
        <family val="2"/>
      </rPr>
      <t>SAN JUAN BAUTISTA</t>
    </r>
  </si>
  <si>
    <r>
      <rPr>
        <sz val="4.5"/>
        <rFont val="Arial"/>
        <family val="2"/>
      </rPr>
      <t>SAN JUAN I SECTOR</t>
    </r>
  </si>
  <si>
    <r>
      <rPr>
        <sz val="4.5"/>
        <rFont val="Arial"/>
        <family val="2"/>
      </rPr>
      <t>SAN JUAN II SECTOR</t>
    </r>
  </si>
  <si>
    <r>
      <rPr>
        <sz val="4.5"/>
        <rFont val="Arial"/>
        <family val="2"/>
      </rPr>
      <t>SAN JUAN II Y III SECTOR</t>
    </r>
  </si>
  <si>
    <r>
      <rPr>
        <sz val="4.5"/>
        <rFont val="Arial"/>
        <family val="2"/>
      </rPr>
      <t>SAN LIBRADA LOS TEJARES</t>
    </r>
  </si>
  <si>
    <r>
      <rPr>
        <sz val="4.5"/>
        <rFont val="Arial"/>
        <family val="2"/>
      </rPr>
      <t>SAN LUIS</t>
    </r>
  </si>
  <si>
    <r>
      <rPr>
        <sz val="4.5"/>
        <rFont val="Arial"/>
        <family val="2"/>
      </rPr>
      <t>SAN PABLO</t>
    </r>
  </si>
  <si>
    <r>
      <rPr>
        <sz val="4.5"/>
        <rFont val="Arial"/>
        <family val="2"/>
      </rPr>
      <t>SANTA LIBRADA</t>
    </r>
  </si>
  <si>
    <r>
      <rPr>
        <sz val="4.5"/>
        <rFont val="Arial"/>
        <family val="2"/>
      </rPr>
      <t>SANTA LIBRADA LA ESPERANZA</t>
    </r>
  </si>
  <si>
    <r>
      <rPr>
        <sz val="4.5"/>
        <rFont val="Arial"/>
        <family val="2"/>
      </rPr>
      <t>SANTA LIBRADA LA SUREÑA</t>
    </r>
  </si>
  <si>
    <r>
      <rPr>
        <sz val="4.5"/>
        <rFont val="Arial"/>
        <family val="2"/>
      </rPr>
      <t>SANTA LIBRADA LOS TEJARES (GRAN YOMASA)</t>
    </r>
  </si>
  <si>
    <r>
      <rPr>
        <sz val="4.5"/>
        <rFont val="Arial"/>
        <family val="2"/>
      </rPr>
      <t>SANTA LIBRADA NORTE</t>
    </r>
  </si>
  <si>
    <r>
      <rPr>
        <sz val="4.5"/>
        <rFont val="Arial"/>
        <family val="2"/>
      </rPr>
      <t>SANTA LIBRADA S. SAN BERNARDINO</t>
    </r>
  </si>
  <si>
    <r>
      <rPr>
        <sz val="4.5"/>
        <rFont val="Arial"/>
        <family val="2"/>
      </rPr>
      <t>SANTA LIBRADA S. SAN FRANCISCO</t>
    </r>
  </si>
  <si>
    <r>
      <rPr>
        <sz val="4.5"/>
        <rFont val="Arial"/>
        <family val="2"/>
      </rPr>
      <t>SANTA LIBRADA SALAZAR SALAZAR</t>
    </r>
  </si>
  <si>
    <r>
      <rPr>
        <sz val="4.5"/>
        <rFont val="Arial"/>
        <family val="2"/>
      </rPr>
      <t>SANTA LIBRADA SECTOR LA PEÑA</t>
    </r>
  </si>
  <si>
    <r>
      <rPr>
        <sz val="4.5"/>
        <rFont val="Arial"/>
        <family val="2"/>
      </rPr>
      <t>SANTA MARTA II SECTOR</t>
    </r>
  </si>
  <si>
    <r>
      <rPr>
        <sz val="4.5"/>
        <rFont val="Arial"/>
        <family val="2"/>
      </rPr>
      <t>SANTA MARTHA</t>
    </r>
  </si>
  <si>
    <r>
      <rPr>
        <sz val="4.5"/>
        <rFont val="Arial"/>
        <family val="2"/>
      </rPr>
      <t>SANTA MARTHA II</t>
    </r>
  </si>
  <si>
    <r>
      <rPr>
        <sz val="4.5"/>
        <rFont val="Arial"/>
        <family val="2"/>
      </rPr>
      <t>SIERRA MORENA</t>
    </r>
  </si>
  <si>
    <r>
      <rPr>
        <sz val="4.5"/>
        <rFont val="Arial"/>
        <family val="2"/>
      </rPr>
      <t>TENERIFE II SECTOR</t>
    </r>
  </si>
  <si>
    <r>
      <rPr>
        <sz val="4.5"/>
        <rFont val="Arial"/>
        <family val="2"/>
      </rPr>
      <t>URB. COSTA RICA BARRIO SAN ANDRES DE LOS ALTOS</t>
    </r>
  </si>
  <si>
    <r>
      <rPr>
        <sz val="4.5"/>
        <rFont val="Arial"/>
        <family val="2"/>
      </rPr>
      <t>URBANIZACION BRASILIA II SECTOR</t>
    </r>
  </si>
  <si>
    <r>
      <rPr>
        <sz val="4.5"/>
        <rFont val="Arial"/>
        <family val="2"/>
      </rPr>
      <t>URBANIZACION BRASILIA SUR</t>
    </r>
  </si>
  <si>
    <r>
      <rPr>
        <sz val="4.5"/>
        <rFont val="Arial"/>
        <family val="2"/>
      </rPr>
      <t>URBANIZACION CARTAGENA</t>
    </r>
  </si>
  <si>
    <r>
      <rPr>
        <sz val="4.5"/>
        <rFont val="Arial"/>
        <family val="2"/>
      </rPr>
      <t>URBANIZACION LA ANDREA</t>
    </r>
  </si>
  <si>
    <r>
      <rPr>
        <sz val="4.5"/>
        <rFont val="Arial"/>
        <family val="2"/>
      </rPr>
      <t>URBANIZACION LA AURORA II ETAPA</t>
    </r>
  </si>
  <si>
    <r>
      <rPr>
        <sz val="4.5"/>
        <rFont val="Arial"/>
        <family val="2"/>
      </rPr>
      <t>URBANIZACION MIRAVALLE</t>
    </r>
  </si>
  <si>
    <r>
      <rPr>
        <sz val="4.5"/>
        <rFont val="Arial"/>
        <family val="2"/>
      </rPr>
      <t>URBANIZACION TEQUENDAMA</t>
    </r>
  </si>
  <si>
    <r>
      <rPr>
        <sz val="4.5"/>
        <rFont val="Arial"/>
        <family val="2"/>
      </rPr>
      <t>VIANEY</t>
    </r>
  </si>
  <si>
    <r>
      <rPr>
        <sz val="4.5"/>
        <rFont val="Arial"/>
        <family val="2"/>
      </rPr>
      <t>VILLA ALEJANDRIA</t>
    </r>
  </si>
  <si>
    <r>
      <rPr>
        <sz val="4.5"/>
        <rFont val="Arial"/>
        <family val="2"/>
      </rPr>
      <t>VILLA NELLY</t>
    </r>
  </si>
  <si>
    <r>
      <rPr>
        <sz val="4.5"/>
        <rFont val="Arial"/>
        <family val="2"/>
      </rPr>
      <t>VILLAS DE SANTA ISABEL-P.ENTRE NUBES</t>
    </r>
  </si>
  <si>
    <r>
      <rPr>
        <sz val="4.5"/>
        <rFont val="Arial"/>
        <family val="2"/>
      </rPr>
      <t>VILLAS DEL EDEN</t>
    </r>
  </si>
  <si>
    <r>
      <rPr>
        <sz val="4.5"/>
        <rFont val="Arial"/>
        <family val="2"/>
      </rPr>
      <t>YOMASITA</t>
    </r>
  </si>
  <si>
    <r>
      <rPr>
        <sz val="4.5"/>
        <rFont val="Arial"/>
        <family val="2"/>
      </rPr>
      <t>ALFONSO LOPEZ SECTOR CHARALA</t>
    </r>
  </si>
  <si>
    <r>
      <rPr>
        <sz val="4.5"/>
        <rFont val="Arial"/>
        <family val="2"/>
      </rPr>
      <t>ANTONIO JOSE DE SUCRE</t>
    </r>
  </si>
  <si>
    <r>
      <rPr>
        <sz val="4.5"/>
        <rFont val="Arial"/>
        <family val="2"/>
      </rPr>
      <t>ANTONIO JOSE DE SUCRE I</t>
    </r>
  </si>
  <si>
    <r>
      <rPr>
        <sz val="4.5"/>
        <rFont val="Arial"/>
        <family val="2"/>
      </rPr>
      <t>ANTONIO JOSE DE SUCRE II</t>
    </r>
  </si>
  <si>
    <r>
      <rPr>
        <sz val="4.5"/>
        <rFont val="Arial"/>
        <family val="2"/>
      </rPr>
      <t>ANTONIO JOSE DE SUCRE III</t>
    </r>
  </si>
  <si>
    <r>
      <rPr>
        <sz val="4.5"/>
        <rFont val="Arial"/>
        <family val="2"/>
      </rPr>
      <t>BELLAVISTA ALTA</t>
    </r>
  </si>
  <si>
    <r>
      <rPr>
        <sz val="4.5"/>
        <rFont val="Arial"/>
        <family val="2"/>
      </rPr>
      <t>BELLAVISTA II SECTOR</t>
    </r>
  </si>
  <si>
    <r>
      <rPr>
        <sz val="4.5"/>
        <rFont val="Arial"/>
        <family val="2"/>
      </rPr>
      <t>BOSQUE EL LIMONAR</t>
    </r>
  </si>
  <si>
    <r>
      <rPr>
        <sz val="4.5"/>
        <rFont val="Arial"/>
        <family val="2"/>
      </rPr>
      <t>BOSQUE EL LIMONAR II SECTOR</t>
    </r>
  </si>
  <si>
    <r>
      <rPr>
        <sz val="4.5"/>
        <rFont val="Arial"/>
        <family val="2"/>
      </rPr>
      <t>BRAZUELOS</t>
    </r>
  </si>
  <si>
    <r>
      <rPr>
        <sz val="4.5"/>
        <rFont val="Arial"/>
        <family val="2"/>
      </rPr>
      <t>BRAZUELOS OCCIDENTAL*</t>
    </r>
  </si>
  <si>
    <r>
      <rPr>
        <sz val="4.5"/>
        <rFont val="Arial"/>
        <family val="2"/>
      </rPr>
      <t>BRAZUELOS SECTOR EL PARAISO</t>
    </r>
  </si>
  <si>
    <r>
      <rPr>
        <sz val="4.5"/>
        <rFont val="Arial"/>
        <family val="2"/>
      </rPr>
      <t>BRAZUELOS SECTOR LA ESMERALDA</t>
    </r>
  </si>
  <si>
    <r>
      <rPr>
        <sz val="4.5"/>
        <rFont val="Arial"/>
        <family val="2"/>
      </rPr>
      <t>CENTRO EDUCATIVO SAN JOSE</t>
    </r>
  </si>
  <si>
    <r>
      <rPr>
        <sz val="4.5"/>
        <rFont val="Arial"/>
        <family val="2"/>
      </rPr>
      <t>CHAPINERITO</t>
    </r>
  </si>
  <si>
    <r>
      <rPr>
        <sz val="4.5"/>
        <rFont val="Arial"/>
        <family val="2"/>
      </rPr>
      <t>CHICO SUR</t>
    </r>
  </si>
  <si>
    <r>
      <rPr>
        <sz val="4.5"/>
        <rFont val="Arial"/>
        <family val="2"/>
      </rPr>
      <t>CHICO SUR II SECTOR</t>
    </r>
  </si>
  <si>
    <r>
      <rPr>
        <sz val="4.5"/>
        <rFont val="Arial"/>
        <family val="2"/>
      </rPr>
      <t>CIUDADELA CANTA RANA I, II, III SECTOR</t>
    </r>
  </si>
  <si>
    <r>
      <rPr>
        <sz val="4.5"/>
        <rFont val="Arial"/>
        <family val="2"/>
      </rPr>
      <t>COMUNEROS</t>
    </r>
  </si>
  <si>
    <r>
      <rPr>
        <sz val="4.5"/>
        <rFont val="Arial"/>
        <family val="2"/>
      </rPr>
      <t>EL BRILLANTE</t>
    </r>
  </si>
  <si>
    <r>
      <rPr>
        <sz val="4.5"/>
        <rFont val="Arial"/>
        <family val="2"/>
      </rPr>
      <t>EL ESPINO</t>
    </r>
  </si>
  <si>
    <r>
      <rPr>
        <sz val="4.5"/>
        <rFont val="Arial"/>
        <family val="2"/>
      </rPr>
      <t>EL MORTIÑO</t>
    </r>
  </si>
  <si>
    <r>
      <rPr>
        <sz val="4.5"/>
        <rFont val="Arial"/>
        <family val="2"/>
      </rPr>
      <t>EL RUBI</t>
    </r>
  </si>
  <si>
    <r>
      <rPr>
        <sz val="4.5"/>
        <rFont val="Arial"/>
        <family val="2"/>
      </rPr>
      <t>EL TUNO</t>
    </r>
  </si>
  <si>
    <r>
      <rPr>
        <sz val="4.5"/>
        <rFont val="Arial"/>
        <family val="2"/>
      </rPr>
      <t>EL UVAL</t>
    </r>
  </si>
  <si>
    <r>
      <rPr>
        <sz val="4.5"/>
        <rFont val="Arial"/>
        <family val="2"/>
      </rPr>
      <t>EL VIRREY ULTIMA ETAPA</t>
    </r>
  </si>
  <si>
    <r>
      <rPr>
        <sz val="4.5"/>
        <rFont val="Arial"/>
        <family val="2"/>
      </rPr>
      <t>FINCA LA ESPERANZA</t>
    </r>
  </si>
  <si>
    <r>
      <rPr>
        <sz val="4.5"/>
        <rFont val="Arial"/>
        <family val="2"/>
      </rPr>
      <t>LA ESMERALDA EL RECUERDO</t>
    </r>
  </si>
  <si>
    <r>
      <rPr>
        <sz val="4.5"/>
        <rFont val="Arial"/>
        <family val="2"/>
      </rPr>
      <t>LA ESPERANZA KM. 10</t>
    </r>
  </si>
  <si>
    <r>
      <rPr>
        <sz val="4.5"/>
        <rFont val="Arial"/>
        <family val="2"/>
      </rPr>
      <t>LAS BRISAS</t>
    </r>
  </si>
  <si>
    <r>
      <rPr>
        <sz val="4.5"/>
        <rFont val="Arial"/>
        <family val="2"/>
      </rPr>
      <t>LAS FLORES</t>
    </r>
  </si>
  <si>
    <r>
      <rPr>
        <sz val="4.5"/>
        <rFont val="Arial"/>
        <family val="2"/>
      </rPr>
      <t>LAS MERCEDES</t>
    </r>
  </si>
  <si>
    <r>
      <rPr>
        <sz val="4.5"/>
        <rFont val="Arial"/>
        <family val="2"/>
      </rPr>
      <t>LORENZO ALCANTUZ I SECTOR</t>
    </r>
  </si>
  <si>
    <r>
      <rPr>
        <sz val="4.5"/>
        <rFont val="Arial"/>
        <family val="2"/>
      </rPr>
      <t>LORENZO ALCANTUZ II SECTOR</t>
    </r>
  </si>
  <si>
    <r>
      <rPr>
        <sz val="4.5"/>
        <rFont val="Arial"/>
        <family val="2"/>
      </rPr>
      <t>LOS ALTOS DEL BRAZUELO</t>
    </r>
  </si>
  <si>
    <r>
      <rPr>
        <sz val="4.5"/>
        <rFont val="Arial"/>
        <family val="2"/>
      </rPr>
      <t>MARICHUELA III SECTOR (CAFAM II S.)</t>
    </r>
  </si>
  <si>
    <r>
      <rPr>
        <sz val="4.5"/>
        <rFont val="Arial"/>
        <family val="2"/>
      </rPr>
      <t>MONTEBLANCO</t>
    </r>
  </si>
  <si>
    <r>
      <rPr>
        <sz val="4.5"/>
        <rFont val="Arial"/>
        <family val="2"/>
      </rPr>
      <t>MONTEVIDEO</t>
    </r>
  </si>
  <si>
    <r>
      <rPr>
        <sz val="4.5"/>
        <rFont val="Arial"/>
        <family val="2"/>
      </rPr>
      <t>NUEVO SAN LUIS</t>
    </r>
  </si>
  <si>
    <r>
      <rPr>
        <sz val="4.5"/>
        <rFont val="Arial"/>
        <family val="2"/>
      </rPr>
      <t>SAN JOAQUIN EL UVAL</t>
    </r>
  </si>
  <si>
    <r>
      <rPr>
        <sz val="4.5"/>
        <rFont val="Arial"/>
        <family val="2"/>
      </rPr>
      <t>SECTOR GRANJAS DE SAN PEDRO</t>
    </r>
  </si>
  <si>
    <r>
      <rPr>
        <sz val="4.5"/>
        <rFont val="Arial"/>
        <family val="2"/>
      </rPr>
      <t>TENERIFE</t>
    </r>
  </si>
  <si>
    <r>
      <rPr>
        <sz val="4.5"/>
        <rFont val="Arial"/>
        <family val="2"/>
      </rPr>
      <t>URBANIZACION CHUNIZA I</t>
    </r>
  </si>
  <si>
    <r>
      <rPr>
        <sz val="4.5"/>
        <rFont val="Arial"/>
        <family val="2"/>
      </rPr>
      <t>URBANIZACION JARON MONTE RUBIO</t>
    </r>
  </si>
  <si>
    <r>
      <rPr>
        <sz val="4.5"/>
        <rFont val="Arial"/>
        <family val="2"/>
      </rPr>
      <t>URBANIZACION LIBANO</t>
    </r>
  </si>
  <si>
    <r>
      <rPr>
        <sz val="4.5"/>
        <rFont val="Arial"/>
        <family val="2"/>
      </rPr>
      <t>URBANIZACION MARICHUELA</t>
    </r>
  </si>
  <si>
    <r>
      <rPr>
        <sz val="4.5"/>
        <rFont val="Arial"/>
        <family val="2"/>
      </rPr>
      <t>USMINIA</t>
    </r>
  </si>
  <si>
    <r>
      <rPr>
        <sz val="4.5"/>
        <rFont val="Arial"/>
        <family val="2"/>
      </rPr>
      <t>VILLA ALEMANIA</t>
    </r>
  </si>
  <si>
    <r>
      <rPr>
        <sz val="4.5"/>
        <rFont val="Arial"/>
        <family val="2"/>
      </rPr>
      <t>VILLA ALEMANIA II SECTOR</t>
    </r>
  </si>
  <si>
    <r>
      <rPr>
        <sz val="4.5"/>
        <rFont val="Arial"/>
        <family val="2"/>
      </rPr>
      <t>VILLA ANITA SUR</t>
    </r>
  </si>
  <si>
    <r>
      <rPr>
        <sz val="4.5"/>
        <rFont val="Arial"/>
        <family val="2"/>
      </rPr>
      <t>VILLA ISRAEL</t>
    </r>
  </si>
  <si>
    <r>
      <rPr>
        <sz val="4.5"/>
        <rFont val="Arial"/>
        <family val="2"/>
      </rPr>
      <t>VILLA ISRAEL II</t>
    </r>
  </si>
  <si>
    <r>
      <rPr>
        <sz val="4.5"/>
        <rFont val="Arial"/>
        <family val="2"/>
      </rPr>
      <t>ALFONSO LOPEZ SECTOR BUENOS AIRES</t>
    </r>
  </si>
  <si>
    <r>
      <rPr>
        <sz val="4.5"/>
        <rFont val="Arial"/>
        <family val="2"/>
      </rPr>
      <t>ALFONSO LOPEZ SECTOR EL PROGRESO</t>
    </r>
  </si>
  <si>
    <r>
      <rPr>
        <sz val="4.5"/>
        <rFont val="Arial"/>
        <family val="2"/>
      </rPr>
      <t>BRISAS DEL LLANO</t>
    </r>
  </si>
  <si>
    <r>
      <rPr>
        <sz val="4.5"/>
        <rFont val="Arial"/>
        <family val="2"/>
      </rPr>
      <t>EL NUEVO PORTAL</t>
    </r>
  </si>
  <si>
    <r>
      <rPr>
        <sz val="4.5"/>
        <rFont val="Arial"/>
        <family val="2"/>
      </rPr>
      <t>EL PARAISO</t>
    </r>
  </si>
  <si>
    <r>
      <rPr>
        <sz val="4.5"/>
        <rFont val="Arial"/>
        <family val="2"/>
      </rPr>
      <t>EL PORTAL DEL DIVINO</t>
    </r>
  </si>
  <si>
    <r>
      <rPr>
        <sz val="4.5"/>
        <rFont val="Arial"/>
        <family val="2"/>
      </rPr>
      <t>EL PORTAL II ETAPA</t>
    </r>
  </si>
  <si>
    <r>
      <rPr>
        <sz val="4.5"/>
        <rFont val="Arial"/>
        <family val="2"/>
      </rPr>
      <t>EL PROGRESO USME</t>
    </r>
  </si>
  <si>
    <r>
      <rPr>
        <sz val="4.5"/>
        <rFont val="Arial"/>
        <family val="2"/>
      </rPr>
      <t>EL REFUGIO I Y II</t>
    </r>
  </si>
  <si>
    <r>
      <rPr>
        <sz val="4.5"/>
        <rFont val="Arial"/>
        <family val="2"/>
      </rPr>
      <t>EL TRIANGULO</t>
    </r>
  </si>
  <si>
    <r>
      <rPr>
        <sz val="4.5"/>
        <rFont val="Arial"/>
        <family val="2"/>
      </rPr>
      <t>EL UVAL II SECTOR</t>
    </r>
  </si>
  <si>
    <r>
      <rPr>
        <sz val="4.5"/>
        <rFont val="Arial"/>
        <family val="2"/>
      </rPr>
      <t>LA HUERTA</t>
    </r>
  </si>
  <si>
    <r>
      <rPr>
        <sz val="4.5"/>
        <rFont val="Arial"/>
        <family val="2"/>
      </rPr>
      <t>LA ORQUIDEA USME</t>
    </r>
  </si>
  <si>
    <r>
      <rPr>
        <sz val="4.5"/>
        <rFont val="Arial"/>
        <family val="2"/>
      </rPr>
      <t>LA REFORMA</t>
    </r>
  </si>
  <si>
    <r>
      <rPr>
        <sz val="4.5"/>
        <rFont val="Arial"/>
        <family val="2"/>
      </rPr>
      <t>NUEVO PORVENIR (59)</t>
    </r>
  </si>
  <si>
    <r>
      <rPr>
        <sz val="4.5"/>
        <rFont val="Arial"/>
        <family val="2"/>
      </rPr>
      <t>NUEVO PROGRESO-EL PROGRESO II SECTOR</t>
    </r>
  </si>
  <si>
    <r>
      <rPr>
        <sz val="4.5"/>
        <rFont val="Arial"/>
        <family val="2"/>
      </rPr>
      <t>PORTAL DE LA VEGA</t>
    </r>
  </si>
  <si>
    <r>
      <rPr>
        <sz val="4.5"/>
        <rFont val="Arial"/>
        <family val="2"/>
      </rPr>
      <t>PORTAL DE ORIENTE</t>
    </r>
  </si>
  <si>
    <r>
      <rPr>
        <sz val="4.5"/>
        <rFont val="Arial"/>
        <family val="2"/>
      </rPr>
      <t>PORTAL DEL DIVINO</t>
    </r>
  </si>
  <si>
    <r>
      <rPr>
        <sz val="4.5"/>
        <rFont val="Arial"/>
        <family val="2"/>
      </rPr>
      <t>PUERTA AL LLANO</t>
    </r>
  </si>
  <si>
    <r>
      <rPr>
        <sz val="4.5"/>
        <rFont val="Arial"/>
        <family val="2"/>
      </rPr>
      <t>PUERTA AL LLANO II</t>
    </r>
  </si>
  <si>
    <r>
      <rPr>
        <sz val="4.5"/>
        <rFont val="Arial"/>
        <family val="2"/>
      </rPr>
      <t>REFUGIO I</t>
    </r>
  </si>
  <si>
    <r>
      <rPr>
        <sz val="4.5"/>
        <rFont val="Arial"/>
        <family val="2"/>
      </rPr>
      <t>VILLA HERMOSA</t>
    </r>
  </si>
  <si>
    <r>
      <rPr>
        <sz val="4.5"/>
        <rFont val="Arial"/>
        <family val="2"/>
      </rPr>
      <t>BOLONIA</t>
    </r>
  </si>
  <si>
    <r>
      <rPr>
        <sz val="4.5"/>
        <rFont val="Arial"/>
        <family val="2"/>
      </rPr>
      <t>EL BOSQUE CENTRAL</t>
    </r>
  </si>
  <si>
    <r>
      <rPr>
        <sz val="4.5"/>
        <rFont val="Arial"/>
        <family val="2"/>
      </rPr>
      <t>EL NUEVO PORTAL II</t>
    </r>
  </si>
  <si>
    <r>
      <rPr>
        <sz val="4.5"/>
        <rFont val="Arial"/>
        <family val="2"/>
      </rPr>
      <t>EL REFUGIO I</t>
    </r>
  </si>
  <si>
    <r>
      <rPr>
        <sz val="4.5"/>
        <rFont val="Arial"/>
        <family val="2"/>
      </rPr>
      <t>LA ESPERANZA SUR</t>
    </r>
  </si>
  <si>
    <r>
      <rPr>
        <sz val="4.5"/>
        <rFont val="Arial"/>
        <family val="2"/>
      </rPr>
      <t>LOS OLIVARES</t>
    </r>
  </si>
  <si>
    <r>
      <rPr>
        <sz val="4.5"/>
        <rFont val="Arial"/>
        <family val="2"/>
      </rPr>
      <t>PEPINITOS</t>
    </r>
  </si>
  <si>
    <r>
      <rPr>
        <sz val="4.5"/>
        <rFont val="Arial"/>
        <family val="2"/>
      </rPr>
      <t>TOCAIMITA ORIENTAL</t>
    </r>
  </si>
  <si>
    <r>
      <rPr>
        <sz val="4.5"/>
        <rFont val="Arial"/>
        <family val="2"/>
      </rPr>
      <t>TOCAIMITA SUR</t>
    </r>
  </si>
  <si>
    <r>
      <rPr>
        <sz val="4.5"/>
        <rFont val="Arial"/>
        <family val="2"/>
      </rPr>
      <t>CIUDADELA EL OASIS</t>
    </r>
  </si>
  <si>
    <r>
      <rPr>
        <sz val="4.5"/>
        <rFont val="Arial"/>
        <family val="2"/>
      </rPr>
      <t>CENTRO USME</t>
    </r>
  </si>
  <si>
    <r>
      <rPr>
        <sz val="4.5"/>
        <rFont val="Arial"/>
        <family val="2"/>
      </rPr>
      <t>EL BOSQUE KM 11</t>
    </r>
  </si>
  <si>
    <r>
      <rPr>
        <sz val="4.5"/>
        <rFont val="Arial"/>
        <family val="2"/>
      </rPr>
      <t>EL OASIS</t>
    </r>
  </si>
  <si>
    <r>
      <rPr>
        <sz val="4.5"/>
        <rFont val="Arial"/>
        <family val="2"/>
      </rPr>
      <t>EL PEDREGAL LA LIRA</t>
    </r>
  </si>
  <si>
    <r>
      <rPr>
        <sz val="4.5"/>
        <rFont val="Arial"/>
        <family val="2"/>
      </rPr>
      <t>EL SALTEADOR</t>
    </r>
  </si>
  <si>
    <r>
      <rPr>
        <sz val="4.5"/>
        <rFont val="Arial"/>
        <family val="2"/>
      </rPr>
      <t>LA MARIA</t>
    </r>
  </si>
  <si>
    <r>
      <rPr>
        <sz val="8"/>
        <rFont val="Arial"/>
        <family val="2"/>
      </rPr>
      <t>CONDADO DE SANTA LUCIA</t>
    </r>
  </si>
  <si>
    <r>
      <rPr>
        <sz val="8"/>
        <rFont val="Arial"/>
        <family val="2"/>
      </rPr>
      <t>CONJUNTO RESIDENCIAL NUEVO MUZU</t>
    </r>
  </si>
  <si>
    <r>
      <rPr>
        <sz val="8"/>
        <rFont val="Arial"/>
        <family val="2"/>
      </rPr>
      <t>EL CARMEN</t>
    </r>
  </si>
  <si>
    <r>
      <rPr>
        <sz val="8"/>
        <rFont val="Arial"/>
        <family val="2"/>
      </rPr>
      <t>ESCUELA DE POLICIA GENERAL SANTANDER</t>
    </r>
  </si>
  <si>
    <r>
      <rPr>
        <sz val="8"/>
        <rFont val="Arial"/>
        <family val="2"/>
      </rPr>
      <t>FATIMA</t>
    </r>
  </si>
  <si>
    <r>
      <rPr>
        <sz val="8"/>
        <rFont val="Arial"/>
        <family val="2"/>
      </rPr>
      <t>ISLA DEL SOL</t>
    </r>
  </si>
  <si>
    <r>
      <rPr>
        <sz val="8"/>
        <rFont val="Arial"/>
        <family val="2"/>
      </rPr>
      <t>LAGUNETA</t>
    </r>
  </si>
  <si>
    <r>
      <rPr>
        <sz val="8"/>
        <rFont val="Arial"/>
        <family val="2"/>
      </rPr>
      <t>NUEVO MUZU</t>
    </r>
  </si>
  <si>
    <r>
      <rPr>
        <sz val="8"/>
        <rFont val="Tahoma"/>
        <family val="2"/>
      </rPr>
      <t>ONTARIO</t>
    </r>
  </si>
  <si>
    <r>
      <rPr>
        <sz val="8"/>
        <rFont val="Arial"/>
        <family val="2"/>
      </rPr>
      <t>PARQUE METROPOLITANO EL TUNAL</t>
    </r>
  </si>
  <si>
    <r>
      <rPr>
        <sz val="8"/>
        <rFont val="Arial"/>
        <family val="2"/>
      </rPr>
      <t>PARQUE REAL I,II</t>
    </r>
  </si>
  <si>
    <r>
      <rPr>
        <sz val="8"/>
        <rFont val="Arial"/>
        <family val="2"/>
      </rPr>
      <t>RINCON DE MUZU</t>
    </r>
  </si>
  <si>
    <r>
      <rPr>
        <sz val="8"/>
        <rFont val="Arial"/>
        <family val="2"/>
      </rPr>
      <t>RINCON DE NUEVO MUZU</t>
    </r>
  </si>
  <si>
    <r>
      <rPr>
        <sz val="8"/>
        <rFont val="Arial"/>
        <family val="2"/>
      </rPr>
      <t>RINCON DE VENECIA</t>
    </r>
  </si>
  <si>
    <r>
      <rPr>
        <sz val="8"/>
        <rFont val="Arial"/>
        <family val="2"/>
      </rPr>
      <t>SAMORE</t>
    </r>
  </si>
  <si>
    <r>
      <rPr>
        <sz val="8"/>
        <rFont val="Tahoma"/>
        <family val="2"/>
      </rPr>
      <t>SAN VICENTE</t>
    </r>
  </si>
  <si>
    <r>
      <rPr>
        <sz val="8"/>
        <rFont val="Arial"/>
        <family val="2"/>
      </rPr>
      <t>SAN VICENTE DE FERRER</t>
    </r>
  </si>
  <si>
    <r>
      <rPr>
        <sz val="8"/>
        <rFont val="Tahoma"/>
        <family val="2"/>
      </rPr>
      <t>SANTA LUCIA</t>
    </r>
  </si>
  <si>
    <r>
      <rPr>
        <sz val="8"/>
        <rFont val="Arial"/>
        <family val="2"/>
      </rPr>
      <t>TEJAR DE ONTARIO</t>
    </r>
  </si>
  <si>
    <r>
      <rPr>
        <sz val="8"/>
        <rFont val="Arial"/>
        <family val="2"/>
      </rPr>
      <t>CIUDAD TUNAL</t>
    </r>
  </si>
  <si>
    <r>
      <rPr>
        <sz val="8"/>
        <rFont val="Arial"/>
        <family val="2"/>
      </rPr>
      <t>VENECIA</t>
    </r>
  </si>
  <si>
    <r>
      <rPr>
        <sz val="8"/>
        <rFont val="Arial"/>
        <family val="2"/>
      </rPr>
      <t>VENECIA OCCIDENTAL</t>
    </r>
  </si>
  <si>
    <r>
      <rPr>
        <sz val="8"/>
        <rFont val="Arial"/>
        <family val="2"/>
      </rPr>
      <t>VILLA XIMENA</t>
    </r>
  </si>
  <si>
    <r>
      <rPr>
        <sz val="8"/>
        <rFont val="Arial"/>
        <family val="2"/>
      </rPr>
      <t>ABRAHAM LINCON</t>
    </r>
  </si>
  <si>
    <r>
      <rPr>
        <sz val="8"/>
        <rFont val="Arial"/>
        <family val="2"/>
      </rPr>
      <t>SAN BENITO</t>
    </r>
  </si>
  <si>
    <r>
      <rPr>
        <sz val="8"/>
        <rFont val="Arial"/>
        <family val="2"/>
      </rPr>
      <t>SAN CARLOS</t>
    </r>
  </si>
  <si>
    <r>
      <rPr>
        <sz val="8"/>
        <rFont val="Arial"/>
        <family val="2"/>
      </rPr>
      <t>TUNALITO</t>
    </r>
  </si>
  <si>
    <r>
      <rPr>
        <sz val="8"/>
        <rFont val="Arial"/>
        <family val="2"/>
      </rPr>
      <t>TUNJUELITO</t>
    </r>
  </si>
  <si>
    <r>
      <rPr>
        <sz val="4.5"/>
        <rFont val="Arial"/>
        <family val="2"/>
      </rPr>
      <t>JARDINES DEL APOGEO</t>
    </r>
  </si>
  <si>
    <r>
      <rPr>
        <sz val="4.5"/>
        <rFont val="Arial"/>
        <family val="2"/>
      </rPr>
      <t>EL MOTORISTA</t>
    </r>
  </si>
  <si>
    <r>
      <rPr>
        <sz val="4.5"/>
        <rFont val="Arial"/>
        <family val="2"/>
      </rPr>
      <t>INDUSTRIAL</t>
    </r>
  </si>
  <si>
    <r>
      <rPr>
        <sz val="4.5"/>
        <rFont val="Arial"/>
        <family val="2"/>
      </rPr>
      <t>LA ILUSION</t>
    </r>
  </si>
  <si>
    <r>
      <rPr>
        <sz val="4.5"/>
        <rFont val="Arial"/>
        <family val="2"/>
      </rPr>
      <t>NUEVO CHILE</t>
    </r>
  </si>
  <si>
    <r>
      <rPr>
        <sz val="4.5"/>
        <rFont val="Arial"/>
        <family val="2"/>
      </rPr>
      <t>OLARTE</t>
    </r>
  </si>
  <si>
    <r>
      <rPr>
        <sz val="4.5"/>
        <rFont val="Arial"/>
        <family val="2"/>
      </rPr>
      <t>VILLAS DEL RIO</t>
    </r>
  </si>
  <si>
    <r>
      <rPr>
        <sz val="4.5"/>
        <rFont val="Arial"/>
        <family val="2"/>
      </rPr>
      <t>AMARUC</t>
    </r>
  </si>
  <si>
    <r>
      <rPr>
        <sz val="4.5"/>
        <rFont val="Arial"/>
        <family val="2"/>
      </rPr>
      <t>BERLIN</t>
    </r>
  </si>
  <si>
    <r>
      <rPr>
        <sz val="4.5"/>
        <rFont val="Arial"/>
        <family val="2"/>
      </rPr>
      <t>BERLIN DE BOSA LA LIBERTAD III</t>
    </r>
  </si>
  <si>
    <r>
      <rPr>
        <sz val="4.5"/>
        <rFont val="Arial"/>
        <family val="2"/>
      </rPr>
      <t>BOSA NOVA</t>
    </r>
  </si>
  <si>
    <r>
      <rPr>
        <sz val="4.5"/>
        <rFont val="Arial"/>
        <family val="2"/>
      </rPr>
      <t>BOSA NOVA II SECTOR</t>
    </r>
  </si>
  <si>
    <r>
      <rPr>
        <sz val="4.5"/>
        <rFont val="Arial"/>
        <family val="2"/>
      </rPr>
      <t>BOSALINDA (HILDEBRANDO OLARTE)</t>
    </r>
  </si>
  <si>
    <r>
      <rPr>
        <sz val="4.5"/>
        <rFont val="Arial"/>
        <family val="2"/>
      </rPr>
      <t>BRASIL II SECTOR</t>
    </r>
  </si>
  <si>
    <r>
      <rPr>
        <sz val="4.5"/>
        <rFont val="Arial"/>
        <family val="2"/>
      </rPr>
      <t>BRASIL II SEGUNDA ETAPA</t>
    </r>
  </si>
  <si>
    <r>
      <rPr>
        <sz val="4.5"/>
        <rFont val="Arial"/>
        <family val="2"/>
      </rPr>
      <t>BRASIL LOPEZ Y PIÑEROS</t>
    </r>
  </si>
  <si>
    <r>
      <rPr>
        <sz val="4.5"/>
        <rFont val="Arial"/>
        <family val="2"/>
      </rPr>
      <t>BRASIL MATERAS ACACIAS S.JORGE</t>
    </r>
  </si>
  <si>
    <r>
      <rPr>
        <sz val="4.5"/>
        <rFont val="Arial"/>
        <family val="2"/>
      </rPr>
      <t>BRASIL SECTOR BARRETO</t>
    </r>
  </si>
  <si>
    <r>
      <rPr>
        <sz val="4.5"/>
        <rFont val="Arial"/>
        <family val="2"/>
      </rPr>
      <t>BRASIL SECTOR PORTAL Y CASTILLO</t>
    </r>
  </si>
  <si>
    <r>
      <rPr>
        <sz val="4.5"/>
        <rFont val="Arial"/>
        <family val="2"/>
      </rPr>
      <t>BRASILIA I SECTOR</t>
    </r>
  </si>
  <si>
    <r>
      <rPr>
        <sz val="4.5"/>
        <rFont val="Arial"/>
        <family val="2"/>
      </rPr>
      <t>CAMPO HERMOSO</t>
    </r>
  </si>
  <si>
    <r>
      <rPr>
        <sz val="4.5"/>
        <rFont val="Arial"/>
        <family val="2"/>
      </rPr>
      <t>CASA NUEVA</t>
    </r>
  </si>
  <si>
    <r>
      <rPr>
        <sz val="4.5"/>
        <rFont val="Arial"/>
        <family val="2"/>
      </rPr>
      <t>CHIICALA</t>
    </r>
  </si>
  <si>
    <r>
      <rPr>
        <sz val="4.5"/>
        <rFont val="Arial"/>
        <family val="2"/>
      </rPr>
      <t>CIUDADELA LA LIBERTAD II</t>
    </r>
  </si>
  <si>
    <r>
      <rPr>
        <sz val="4.5"/>
        <rFont val="Arial"/>
        <family val="2"/>
      </rPr>
      <t>DANUBIO</t>
    </r>
  </si>
  <si>
    <r>
      <rPr>
        <sz val="4.5"/>
        <rFont val="Arial"/>
        <family val="2"/>
      </rPr>
      <t>DANUBIO AZUL I</t>
    </r>
  </si>
  <si>
    <r>
      <rPr>
        <sz val="4.5"/>
        <rFont val="Arial"/>
        <family val="2"/>
      </rPr>
      <t>DANUBIO II</t>
    </r>
  </si>
  <si>
    <r>
      <rPr>
        <sz val="4.5"/>
        <rFont val="Arial"/>
        <family val="2"/>
      </rPr>
      <t>DANUBIO III</t>
    </r>
  </si>
  <si>
    <r>
      <rPr>
        <sz val="4.5"/>
        <rFont val="Arial"/>
        <family val="2"/>
      </rPr>
      <t>DIAMANTE SUR</t>
    </r>
  </si>
  <si>
    <r>
      <rPr>
        <sz val="4.5"/>
        <rFont val="Arial"/>
        <family val="2"/>
      </rPr>
      <t>DIVINO NIÑO</t>
    </r>
  </si>
  <si>
    <r>
      <rPr>
        <sz val="4.5"/>
        <rFont val="Arial"/>
        <family val="2"/>
      </rPr>
      <t>EL BOSQUE DE BOSA</t>
    </r>
  </si>
  <si>
    <r>
      <rPr>
        <sz val="4.5"/>
        <rFont val="Arial"/>
        <family val="2"/>
      </rPr>
      <t>EL CAUCE</t>
    </r>
  </si>
  <si>
    <r>
      <rPr>
        <sz val="4.5"/>
        <rFont val="Arial"/>
        <family val="2"/>
      </rPr>
      <t>EL DIAMANTE</t>
    </r>
  </si>
  <si>
    <r>
      <rPr>
        <sz val="4.5"/>
        <rFont val="Arial"/>
        <family val="2"/>
      </rPr>
      <t>EL JAZMIN SECTOR EL TRIANGULO</t>
    </r>
  </si>
  <si>
    <r>
      <rPr>
        <sz val="4.5"/>
        <rFont val="Arial"/>
        <family val="2"/>
      </rPr>
      <t>EL LIBERTADOR</t>
    </r>
  </si>
  <si>
    <r>
      <rPr>
        <sz val="4.5"/>
        <rFont val="Arial"/>
        <family val="2"/>
      </rPr>
      <t>EL LIBERTADOR II</t>
    </r>
  </si>
  <si>
    <r>
      <rPr>
        <sz val="4.5"/>
        <rFont val="Arial"/>
        <family val="2"/>
      </rPr>
      <t>EL PARADERO</t>
    </r>
  </si>
  <si>
    <r>
      <rPr>
        <sz val="4.5"/>
        <rFont val="Arial"/>
        <family val="2"/>
      </rPr>
      <t>EL PORTAL DE LA LIBERTAD</t>
    </r>
  </si>
  <si>
    <r>
      <rPr>
        <sz val="4.5"/>
        <rFont val="Arial"/>
        <family val="2"/>
      </rPr>
      <t>EL PORTAL I y II SECTOR</t>
    </r>
  </si>
  <si>
    <r>
      <rPr>
        <sz val="4.5"/>
        <rFont val="Arial"/>
        <family val="2"/>
      </rPr>
      <t>EL PORVENIR III</t>
    </r>
  </si>
  <si>
    <r>
      <rPr>
        <sz val="4.5"/>
        <rFont val="Arial"/>
        <family val="2"/>
      </rPr>
      <t>EL PORVENIR SECTOR BRASIL</t>
    </r>
  </si>
  <si>
    <r>
      <rPr>
        <sz val="4.5"/>
        <rFont val="Arial"/>
        <family val="2"/>
      </rPr>
      <t>EL PROGRESO II SECTOR</t>
    </r>
  </si>
  <si>
    <r>
      <rPr>
        <sz val="4.5"/>
        <rFont val="Arial"/>
        <family val="2"/>
      </rPr>
      <t>EL RECUERDO 4 A , 5, 6, 7</t>
    </r>
  </si>
  <si>
    <r>
      <rPr>
        <sz val="4.5"/>
        <rFont val="Arial"/>
        <family val="2"/>
      </rPr>
      <t>EL RECUERDO II</t>
    </r>
  </si>
  <si>
    <r>
      <rPr>
        <sz val="4.5"/>
        <rFont val="Arial"/>
        <family val="2"/>
      </rPr>
      <t>EL RECUERDO SAN BERNARDINO</t>
    </r>
  </si>
  <si>
    <r>
      <rPr>
        <sz val="4.5"/>
        <rFont val="Arial"/>
        <family val="2"/>
      </rPr>
      <t>EL RINCON DE BOSA</t>
    </r>
  </si>
  <si>
    <r>
      <rPr>
        <sz val="4.5"/>
        <rFont val="Arial"/>
        <family val="2"/>
      </rPr>
      <t>EL RODEO</t>
    </r>
  </si>
  <si>
    <r>
      <rPr>
        <sz val="4.5"/>
        <rFont val="Arial"/>
        <family val="2"/>
      </rPr>
      <t>EL SAUCE</t>
    </r>
  </si>
  <si>
    <r>
      <rPr>
        <sz val="4.5"/>
        <rFont val="Arial"/>
        <family val="2"/>
      </rPr>
      <t>ESCOCIA IX</t>
    </r>
  </si>
  <si>
    <r>
      <rPr>
        <sz val="4.5"/>
        <rFont val="Arial"/>
        <family val="2"/>
      </rPr>
      <t>ESCOCIA V</t>
    </r>
  </si>
  <si>
    <r>
      <rPr>
        <sz val="4.5"/>
        <rFont val="Arial"/>
        <family val="2"/>
      </rPr>
      <t>ESCOCIA VI SECTORES I, II, III</t>
    </r>
  </si>
  <si>
    <r>
      <rPr>
        <sz val="4.5"/>
        <rFont val="Arial"/>
        <family val="2"/>
      </rPr>
      <t>ESCOCIA VII</t>
    </r>
  </si>
  <si>
    <r>
      <rPr>
        <sz val="4.5"/>
        <rFont val="Arial"/>
        <family val="2"/>
      </rPr>
      <t>HOLANDA</t>
    </r>
  </si>
  <si>
    <r>
      <rPr>
        <sz val="4.5"/>
        <rFont val="Arial"/>
        <family val="2"/>
      </rPr>
      <t>HOLANDA I SECTOR</t>
    </r>
  </si>
  <si>
    <r>
      <rPr>
        <sz val="4.5"/>
        <rFont val="Arial"/>
        <family val="2"/>
      </rPr>
      <t>HOLANDA II SECTOR</t>
    </r>
  </si>
  <si>
    <r>
      <rPr>
        <sz val="4.5"/>
        <rFont val="Arial"/>
        <family val="2"/>
      </rPr>
      <t>HOLANDA III SECTOR</t>
    </r>
  </si>
  <si>
    <r>
      <rPr>
        <sz val="4.5"/>
        <rFont val="Arial"/>
        <family val="2"/>
      </rPr>
      <t>HOLANDA SECTOR CAMINITO</t>
    </r>
  </si>
  <si>
    <r>
      <rPr>
        <sz val="4.5"/>
        <rFont val="Arial"/>
        <family val="2"/>
      </rPr>
      <t>HORTELANOS DE ESCOCIA</t>
    </r>
  </si>
  <si>
    <r>
      <rPr>
        <sz val="4.5"/>
        <rFont val="Arial"/>
        <family val="2"/>
      </rPr>
      <t>JORGE URIBE BOTERO</t>
    </r>
  </si>
  <si>
    <r>
      <rPr>
        <sz val="4.5"/>
        <rFont val="Arial"/>
        <family val="2"/>
      </rPr>
      <t>LA CONCEPCION</t>
    </r>
  </si>
  <si>
    <r>
      <rPr>
        <sz val="4.5"/>
        <rFont val="Arial"/>
        <family val="2"/>
      </rPr>
      <t>LA CONCEPCION II SECTOR</t>
    </r>
  </si>
  <si>
    <r>
      <rPr>
        <sz val="4.5"/>
        <rFont val="Arial"/>
        <family val="2"/>
      </rPr>
      <t>LA DULCINEA</t>
    </r>
  </si>
  <si>
    <r>
      <rPr>
        <sz val="4.5"/>
        <rFont val="Arial"/>
        <family val="2"/>
      </rPr>
      <t>LA ESMERALDA</t>
    </r>
  </si>
  <si>
    <r>
      <rPr>
        <sz val="4.5"/>
        <rFont val="Arial"/>
        <family val="2"/>
      </rPr>
      <t>LA ESPERANZA I</t>
    </r>
  </si>
  <si>
    <r>
      <rPr>
        <sz val="4.5"/>
        <rFont val="Arial"/>
        <family val="2"/>
      </rPr>
      <t>LA ESPERANZA II SECTOR</t>
    </r>
  </si>
  <si>
    <r>
      <rPr>
        <sz val="4.5"/>
        <rFont val="Arial"/>
        <family val="2"/>
      </rPr>
      <t>LA ESTANZUELA</t>
    </r>
  </si>
  <si>
    <r>
      <rPr>
        <sz val="4.5"/>
        <rFont val="Arial"/>
        <family val="2"/>
      </rPr>
      <t>LA ESTANZUELA II</t>
    </r>
  </si>
  <si>
    <r>
      <rPr>
        <sz val="4.5"/>
        <rFont val="Arial"/>
        <family val="2"/>
      </rPr>
      <t>LA FLORIDA IV SECTOR</t>
    </r>
  </si>
  <si>
    <r>
      <rPr>
        <sz val="4.5"/>
        <rFont val="Arial"/>
        <family val="2"/>
      </rPr>
      <t>LA FONTANA DE BOSA LA LIBERTAD</t>
    </r>
  </si>
  <si>
    <r>
      <rPr>
        <sz val="4.5"/>
        <rFont val="Arial"/>
        <family val="2"/>
      </rPr>
      <t>LA INDEPENDENCIA</t>
    </r>
  </si>
  <si>
    <r>
      <rPr>
        <sz val="4.5"/>
        <rFont val="Arial"/>
        <family val="2"/>
      </rPr>
      <t>LA INDEPENDENCIA II SECTOR</t>
    </r>
  </si>
  <si>
    <r>
      <rPr>
        <sz val="4.5"/>
        <rFont val="Arial"/>
        <family val="2"/>
      </rPr>
      <t>LA LIBERTAD</t>
    </r>
  </si>
  <si>
    <r>
      <rPr>
        <sz val="4.5"/>
        <rFont val="Arial"/>
        <family val="2"/>
      </rPr>
      <t>LA LIBERTAD II</t>
    </r>
  </si>
  <si>
    <r>
      <rPr>
        <sz val="4.5"/>
        <rFont val="Arial"/>
        <family val="2"/>
      </rPr>
      <t>LA LIBERTAD III</t>
    </r>
  </si>
  <si>
    <r>
      <rPr>
        <sz val="4.5"/>
        <rFont val="Arial"/>
        <family val="2"/>
      </rPr>
      <t>LA LIBERTAD IV</t>
    </r>
  </si>
  <si>
    <r>
      <rPr>
        <sz val="4.5"/>
        <rFont val="Arial"/>
        <family val="2"/>
      </rPr>
      <t>LA LIBERTAD SECTOR MAGNOLIA</t>
    </r>
  </si>
  <si>
    <r>
      <rPr>
        <sz val="4.5"/>
        <rFont val="Arial"/>
        <family val="2"/>
      </rPr>
      <t>LA MAGNOLIA II</t>
    </r>
  </si>
  <si>
    <r>
      <rPr>
        <sz val="4.5"/>
        <rFont val="Arial"/>
        <family val="2"/>
      </rPr>
      <t>LA PALMA</t>
    </r>
  </si>
  <si>
    <r>
      <rPr>
        <sz val="4.5"/>
        <rFont val="Arial"/>
        <family val="2"/>
      </rPr>
      <t>LA PAZ</t>
    </r>
  </si>
  <si>
    <r>
      <rPr>
        <sz val="4.5"/>
        <rFont val="Arial"/>
        <family val="2"/>
      </rPr>
      <t>LA PAZ II SECTOR</t>
    </r>
  </si>
  <si>
    <r>
      <rPr>
        <sz val="4.5"/>
        <rFont val="Arial"/>
        <family val="2"/>
      </rPr>
      <t>LA PAZ III</t>
    </r>
  </si>
  <si>
    <r>
      <rPr>
        <sz val="4.5"/>
        <rFont val="Arial"/>
        <family val="2"/>
      </rPr>
      <t>LA PAZ SAN IGNACIO LAS VEGAS</t>
    </r>
  </si>
  <si>
    <r>
      <rPr>
        <sz val="4.5"/>
        <rFont val="Arial"/>
        <family val="2"/>
      </rPr>
      <t>LA PAZ SAN IGNACIO SEC LA ESPERANZA</t>
    </r>
  </si>
  <si>
    <r>
      <rPr>
        <sz val="4.5"/>
        <rFont val="Arial"/>
        <family val="2"/>
      </rPr>
      <t>LA PORTADA</t>
    </r>
  </si>
  <si>
    <r>
      <rPr>
        <sz val="4.5"/>
        <rFont val="Arial"/>
        <family val="2"/>
      </rPr>
      <t>LA PORTADA II</t>
    </r>
  </si>
  <si>
    <r>
      <rPr>
        <sz val="4.5"/>
        <rFont val="Arial"/>
        <family val="2"/>
      </rPr>
      <t>LA PORTADA III SECTOR</t>
    </r>
  </si>
  <si>
    <r>
      <rPr>
        <sz val="4.5"/>
        <rFont val="Arial"/>
        <family val="2"/>
      </rPr>
      <t>LA PORTADITA</t>
    </r>
  </si>
  <si>
    <r>
      <rPr>
        <sz val="4.5"/>
        <rFont val="Arial"/>
        <family val="2"/>
      </rPr>
      <t>LA VEGUITA</t>
    </r>
  </si>
  <si>
    <r>
      <rPr>
        <sz val="4.5"/>
        <rFont val="Arial"/>
        <family val="2"/>
      </rPr>
      <t>LA VEGUITA II</t>
    </r>
  </si>
  <si>
    <r>
      <rPr>
        <sz val="4.5"/>
        <rFont val="Arial"/>
        <family val="2"/>
      </rPr>
      <t>LA VEGUITA IV SECTOR</t>
    </r>
  </si>
  <si>
    <r>
      <rPr>
        <sz val="4.5"/>
        <rFont val="Arial"/>
        <family val="2"/>
      </rPr>
      <t>LAS MARGARITAS III</t>
    </r>
  </si>
  <si>
    <r>
      <rPr>
        <sz val="4.5"/>
        <rFont val="Arial"/>
        <family val="2"/>
      </rPr>
      <t>LAS MARGARITAS SECT I y II</t>
    </r>
  </si>
  <si>
    <r>
      <rPr>
        <sz val="4.5"/>
        <rFont val="Arial"/>
        <family val="2"/>
      </rPr>
      <t>LAS VEGAS</t>
    </r>
  </si>
  <si>
    <r>
      <rPr>
        <sz val="4.5"/>
        <rFont val="Arial"/>
        <family val="2"/>
      </rPr>
      <t>LOS HEROES</t>
    </r>
  </si>
  <si>
    <r>
      <rPr>
        <sz val="4.5"/>
        <rFont val="Arial"/>
        <family val="2"/>
      </rPr>
      <t>LOS OCALES</t>
    </r>
  </si>
  <si>
    <r>
      <rPr>
        <sz val="4.5"/>
        <rFont val="Arial"/>
        <family val="2"/>
      </rPr>
      <t>LOS SAUCES</t>
    </r>
  </si>
  <si>
    <r>
      <rPr>
        <sz val="4.5"/>
        <rFont val="Arial"/>
        <family val="2"/>
      </rPr>
      <t>LOS SAUCES SECTOR CEDRO</t>
    </r>
  </si>
  <si>
    <r>
      <rPr>
        <sz val="4.5"/>
        <rFont val="Arial"/>
        <family val="2"/>
      </rPr>
      <t>MIAMI</t>
    </r>
  </si>
  <si>
    <r>
      <rPr>
        <sz val="4.5"/>
        <rFont val="Arial"/>
        <family val="2"/>
      </rPr>
      <t>NEW JERSEY</t>
    </r>
  </si>
  <si>
    <r>
      <rPr>
        <sz val="4.5"/>
        <rFont val="Arial"/>
        <family val="2"/>
      </rPr>
      <t>NTA SRA DE LA PAZ - LA ESPERANZA</t>
    </r>
  </si>
  <si>
    <r>
      <rPr>
        <sz val="4.5"/>
        <rFont val="Arial"/>
        <family val="2"/>
      </rPr>
      <t>NTRA. SEÑORA DE LA PAZ IV SEC.</t>
    </r>
  </si>
  <si>
    <r>
      <rPr>
        <sz val="4.5"/>
        <rFont val="Arial"/>
        <family val="2"/>
      </rPr>
      <t>NTRA.SRA. DE LA PAZA VILLA ESMERALDA</t>
    </r>
  </si>
  <si>
    <r>
      <rPr>
        <sz val="4.5"/>
        <rFont val="Arial"/>
        <family val="2"/>
      </rPr>
      <t>NUESTRA SEÑORA DE LA PAZ y OTROS</t>
    </r>
  </si>
  <si>
    <r>
      <rPr>
        <sz val="4.5"/>
        <rFont val="Arial"/>
        <family val="2"/>
      </rPr>
      <t>NUEVA ESCOCIA</t>
    </r>
  </si>
  <si>
    <r>
      <rPr>
        <sz val="4.5"/>
        <rFont val="Arial"/>
        <family val="2"/>
      </rPr>
      <t>PORVENIR LA CONCEPCION</t>
    </r>
  </si>
  <si>
    <r>
      <rPr>
        <sz val="4.5"/>
        <rFont val="Arial"/>
        <family val="2"/>
      </rPr>
      <t>PORVENIR PAR.33</t>
    </r>
  </si>
  <si>
    <r>
      <rPr>
        <sz val="4.5"/>
        <rFont val="Arial"/>
        <family val="2"/>
      </rPr>
      <t>PORVENIR PARC.17A Y 17B</t>
    </r>
  </si>
  <si>
    <r>
      <rPr>
        <sz val="4.5"/>
        <rFont val="Arial"/>
        <family val="2"/>
      </rPr>
      <t>POTRERITOS</t>
    </r>
  </si>
  <si>
    <r>
      <rPr>
        <sz val="4.5"/>
        <rFont val="Arial"/>
        <family val="2"/>
      </rPr>
      <t>SAN ANTONIO</t>
    </r>
  </si>
  <si>
    <r>
      <rPr>
        <sz val="4.5"/>
        <rFont val="Arial"/>
        <family val="2"/>
      </rPr>
      <t>SAN ANTONIO DE BOSA</t>
    </r>
  </si>
  <si>
    <r>
      <rPr>
        <sz val="4.5"/>
        <rFont val="Arial"/>
        <family val="2"/>
      </rPr>
      <t>SAN ANTONIO DE ESCOCIA</t>
    </r>
  </si>
  <si>
    <r>
      <rPr>
        <sz val="4.5"/>
        <rFont val="Arial"/>
        <family val="2"/>
      </rPr>
      <t>SAN ANTONIO DE ESCOCIA II</t>
    </r>
  </si>
  <si>
    <r>
      <rPr>
        <sz val="4.5"/>
        <rFont val="Arial"/>
        <family val="2"/>
      </rPr>
      <t>SAN BERNARDINO</t>
    </r>
  </si>
  <si>
    <r>
      <rPr>
        <sz val="4.5"/>
        <rFont val="Arial"/>
        <family val="2"/>
      </rPr>
      <t>SAN BERNARDINO SECTOR II</t>
    </r>
  </si>
  <si>
    <r>
      <rPr>
        <sz val="4.5"/>
        <rFont val="Arial"/>
        <family val="2"/>
      </rPr>
      <t>SAN BERNARDINO SECTOR PROTRERITO</t>
    </r>
  </si>
  <si>
    <r>
      <rPr>
        <sz val="4.5"/>
        <rFont val="Arial"/>
        <family val="2"/>
      </rPr>
      <t>SAN BERNARDINO SECTOR VILLA EMMA</t>
    </r>
  </si>
  <si>
    <r>
      <rPr>
        <sz val="4.5"/>
        <rFont val="Arial"/>
        <family val="2"/>
      </rPr>
      <t>SAN DIEGO LA PAZ IV SECTOR</t>
    </r>
  </si>
  <si>
    <r>
      <rPr>
        <sz val="4.5"/>
        <rFont val="Arial"/>
        <family val="2"/>
      </rPr>
      <t>SAN FERNANDO N.S. DE LA PAZ</t>
    </r>
  </si>
  <si>
    <r>
      <rPr>
        <sz val="4.5"/>
        <rFont val="Arial"/>
        <family val="2"/>
      </rPr>
      <t>SAN JAVIER</t>
    </r>
  </si>
  <si>
    <r>
      <rPr>
        <sz val="4.5"/>
        <rFont val="Arial"/>
        <family val="2"/>
      </rPr>
      <t>SAN JOAQUIN</t>
    </r>
  </si>
  <si>
    <r>
      <rPr>
        <sz val="4.5"/>
        <rFont val="Arial"/>
        <family val="2"/>
      </rPr>
      <t>SAN JORGE</t>
    </r>
  </si>
  <si>
    <r>
      <rPr>
        <sz val="4.5"/>
        <rFont val="Arial"/>
        <family val="2"/>
      </rPr>
      <t>SAN JORGE II</t>
    </r>
  </si>
  <si>
    <r>
      <rPr>
        <sz val="4.5"/>
        <rFont val="Arial"/>
        <family val="2"/>
      </rPr>
      <t>SAN JUANITO</t>
    </r>
  </si>
  <si>
    <r>
      <rPr>
        <sz val="4.5"/>
        <rFont val="Arial"/>
        <family val="2"/>
      </rPr>
      <t>SAN LUIS II</t>
    </r>
  </si>
  <si>
    <r>
      <rPr>
        <sz val="4.5"/>
        <rFont val="Arial"/>
        <family val="2"/>
      </rPr>
      <t>SAN PEDRO</t>
    </r>
  </si>
  <si>
    <r>
      <rPr>
        <sz val="4.5"/>
        <rFont val="Arial"/>
        <family val="2"/>
      </rPr>
      <t>SAN PEDRO II</t>
    </r>
  </si>
  <si>
    <r>
      <rPr>
        <sz val="4.5"/>
        <rFont val="Arial"/>
        <family val="2"/>
      </rPr>
      <t>SAN PEDRO II SECTOR A</t>
    </r>
  </si>
  <si>
    <r>
      <rPr>
        <sz val="4.5"/>
        <rFont val="Arial"/>
        <family val="2"/>
      </rPr>
      <t>SAN PEDRO SECTOR "C"</t>
    </r>
  </si>
  <si>
    <r>
      <rPr>
        <sz val="4.5"/>
        <rFont val="Arial"/>
        <family val="2"/>
      </rPr>
      <t>SANTA INES</t>
    </r>
  </si>
  <si>
    <r>
      <rPr>
        <sz val="4.5"/>
        <rFont val="Arial"/>
        <family val="2"/>
      </rPr>
      <t>SAUCES II</t>
    </r>
  </si>
  <si>
    <r>
      <rPr>
        <sz val="4.5"/>
        <rFont val="Arial"/>
        <family val="2"/>
      </rPr>
      <t>SIRACUZA</t>
    </r>
  </si>
  <si>
    <r>
      <rPr>
        <sz val="4.5"/>
        <rFont val="Arial"/>
        <family val="2"/>
      </rPr>
      <t>SIRACUZA II</t>
    </r>
  </si>
  <si>
    <r>
      <rPr>
        <sz val="4.5"/>
        <rFont val="Arial"/>
        <family val="2"/>
      </rPr>
      <t>TOKIO</t>
    </r>
  </si>
  <si>
    <r>
      <rPr>
        <sz val="4.5"/>
        <rFont val="Arial"/>
        <family val="2"/>
      </rPr>
      <t>VEGAS DE SANTANA</t>
    </r>
  </si>
  <si>
    <r>
      <rPr>
        <sz val="4.5"/>
        <rFont val="Arial"/>
        <family val="2"/>
      </rPr>
      <t>VEREDA EL PORVENIR SECTOR BRASIL</t>
    </r>
  </si>
  <si>
    <r>
      <rPr>
        <sz val="4.5"/>
        <rFont val="Arial"/>
        <family val="2"/>
      </rPr>
      <t>VILLA CAROLINA</t>
    </r>
  </si>
  <si>
    <r>
      <rPr>
        <sz val="4.5"/>
        <rFont val="Arial"/>
        <family val="2"/>
      </rPr>
      <t>VILLA CLEMENCIA</t>
    </r>
  </si>
  <si>
    <r>
      <rPr>
        <sz val="4.5"/>
        <rFont val="Arial"/>
        <family val="2"/>
      </rPr>
      <t>VILLA CLEMENCIA SECTOR TIERRA GRATA</t>
    </r>
  </si>
  <si>
    <r>
      <rPr>
        <sz val="4.5"/>
        <rFont val="Arial"/>
        <family val="2"/>
      </rPr>
      <t>VILLA COLOMBIA</t>
    </r>
  </si>
  <si>
    <r>
      <rPr>
        <sz val="4.5"/>
        <rFont val="Arial"/>
        <family val="2"/>
      </rPr>
      <t>VILLA COLOMBIA II</t>
    </r>
  </si>
  <si>
    <r>
      <rPr>
        <sz val="4.5"/>
        <rFont val="Arial"/>
        <family val="2"/>
      </rPr>
      <t>VILLA DE LOS COMUNEROS</t>
    </r>
  </si>
  <si>
    <r>
      <rPr>
        <sz val="4.5"/>
        <rFont val="Arial"/>
        <family val="2"/>
      </rPr>
      <t>VILLA DE SUAITA</t>
    </r>
  </si>
  <si>
    <r>
      <rPr>
        <sz val="4.5"/>
        <rFont val="Arial"/>
        <family val="2"/>
      </rPr>
      <t>VILLA MAGDA</t>
    </r>
  </si>
  <si>
    <r>
      <rPr>
        <sz val="4.5"/>
        <rFont val="Arial"/>
        <family val="2"/>
      </rPr>
      <t>VILLA MAGNOLIA</t>
    </r>
  </si>
  <si>
    <r>
      <rPr>
        <sz val="4.5"/>
        <rFont val="Arial"/>
        <family val="2"/>
      </rPr>
      <t>VILLA NATALIA</t>
    </r>
  </si>
  <si>
    <r>
      <rPr>
        <sz val="4.5"/>
        <rFont val="Arial"/>
        <family val="2"/>
      </rPr>
      <t>VILLA NOHORA</t>
    </r>
  </si>
  <si>
    <r>
      <rPr>
        <sz val="4.5"/>
        <rFont val="Arial"/>
        <family val="2"/>
      </rPr>
      <t>VILLA NOHORA II</t>
    </r>
  </si>
  <si>
    <r>
      <rPr>
        <sz val="4.5"/>
        <rFont val="Arial"/>
        <family val="2"/>
      </rPr>
      <t>VILLA NOHORA III</t>
    </r>
  </si>
  <si>
    <r>
      <rPr>
        <sz val="4.5"/>
        <rFont val="Arial"/>
        <family val="2"/>
      </rPr>
      <t>VILLA SONIA I</t>
    </r>
  </si>
  <si>
    <r>
      <rPr>
        <sz val="4.5"/>
        <rFont val="Arial"/>
        <family val="2"/>
      </rPr>
      <t>VILLA SONIA II</t>
    </r>
  </si>
  <si>
    <r>
      <rPr>
        <sz val="4.5"/>
        <rFont val="Arial"/>
        <family val="2"/>
      </rPr>
      <t>VILLAS DEL PROGRESO</t>
    </r>
  </si>
  <si>
    <r>
      <rPr>
        <sz val="4.5"/>
        <rFont val="Arial"/>
        <family val="2"/>
      </rPr>
      <t>VILLAS DEL VELERO</t>
    </r>
  </si>
  <si>
    <r>
      <rPr>
        <sz val="4.5"/>
        <rFont val="Arial"/>
        <family val="2"/>
      </rPr>
      <t>ANDALUCIA</t>
    </r>
  </si>
  <si>
    <r>
      <rPr>
        <sz val="4.5"/>
        <rFont val="Arial"/>
        <family val="2"/>
      </rPr>
      <t>ANDALUCIA II</t>
    </r>
  </si>
  <si>
    <r>
      <rPr>
        <sz val="4.5"/>
        <rFont val="Arial"/>
        <family val="2"/>
      </rPr>
      <t>ANTONIA SANTOS</t>
    </r>
  </si>
  <si>
    <r>
      <rPr>
        <sz val="4.5"/>
        <rFont val="Arial"/>
        <family val="2"/>
      </rPr>
      <t>ARGELIA</t>
    </r>
  </si>
  <si>
    <r>
      <rPr>
        <sz val="4.5"/>
        <rFont val="Arial"/>
        <family val="2"/>
      </rPr>
      <t>ARGELIA II</t>
    </r>
  </si>
  <si>
    <r>
      <rPr>
        <sz val="4.5"/>
        <rFont val="Arial"/>
        <family val="2"/>
      </rPr>
      <t>BOSA</t>
    </r>
  </si>
  <si>
    <r>
      <rPr>
        <sz val="4.5"/>
        <rFont val="Arial"/>
        <family val="2"/>
      </rPr>
      <t>BOSQUES DE MERYLAND</t>
    </r>
  </si>
  <si>
    <r>
      <rPr>
        <sz val="4.5"/>
        <rFont val="Arial"/>
        <family val="2"/>
      </rPr>
      <t>BRASILIA LA ESTACION</t>
    </r>
  </si>
  <si>
    <r>
      <rPr>
        <sz val="4.5"/>
        <rFont val="Arial"/>
        <family val="2"/>
      </rPr>
      <t>CARLOS ALBAN HOLGUIN NUEVA GRANADA</t>
    </r>
  </si>
  <si>
    <r>
      <rPr>
        <sz val="4.5"/>
        <rFont val="Arial"/>
        <family val="2"/>
      </rPr>
      <t>CARLOS ALBAN SECTOR ISRAELITA</t>
    </r>
  </si>
  <si>
    <r>
      <rPr>
        <sz val="4.5"/>
        <rFont val="Arial"/>
        <family val="2"/>
      </rPr>
      <t>CARLOS ALBAN SECTOR MIRAFLORES</t>
    </r>
  </si>
  <si>
    <r>
      <rPr>
        <sz val="4.5"/>
        <rFont val="Arial"/>
        <family val="2"/>
      </rPr>
      <t>CARLOS GALBÁN</t>
    </r>
  </si>
  <si>
    <r>
      <rPr>
        <sz val="4.5"/>
        <rFont val="Arial"/>
        <family val="2"/>
      </rPr>
      <t>CHARLES DE GAULLE</t>
    </r>
  </si>
  <si>
    <r>
      <rPr>
        <sz val="4.5"/>
        <rFont val="Arial"/>
        <family val="2"/>
      </rPr>
      <t>CHARLES DE GAULLE II</t>
    </r>
  </si>
  <si>
    <r>
      <rPr>
        <sz val="4.5"/>
        <rFont val="Arial"/>
        <family val="2"/>
      </rPr>
      <t>CLARETIANO</t>
    </r>
  </si>
  <si>
    <r>
      <rPr>
        <sz val="4.5"/>
        <rFont val="Arial"/>
        <family val="2"/>
      </rPr>
      <t>EL JARDIN</t>
    </r>
  </si>
  <si>
    <r>
      <rPr>
        <sz val="4.5"/>
        <rFont val="Arial"/>
        <family val="2"/>
      </rPr>
      <t>EL JARDÍN SAN EUGENIO</t>
    </r>
  </si>
  <si>
    <r>
      <rPr>
        <sz val="4.5"/>
        <rFont val="Arial"/>
        <family val="2"/>
      </rPr>
      <t>EL LLANITO</t>
    </r>
  </si>
  <si>
    <r>
      <rPr>
        <sz val="4.5"/>
        <rFont val="Arial"/>
        <family val="2"/>
      </rPr>
      <t>EL LLANO (SECTOR GUZMAN)</t>
    </r>
  </si>
  <si>
    <r>
      <rPr>
        <sz val="4.5"/>
        <rFont val="Arial"/>
        <family val="2"/>
      </rPr>
      <t>EL LLANO MZ A</t>
    </r>
  </si>
  <si>
    <r>
      <rPr>
        <sz val="4.5"/>
        <rFont val="Arial"/>
        <family val="2"/>
      </rPr>
      <t>EL LLANO SECTOR FANDINO</t>
    </r>
  </si>
  <si>
    <r>
      <rPr>
        <sz val="4.5"/>
        <rFont val="Arial"/>
        <family val="2"/>
      </rPr>
      <t>EL PALMAR</t>
    </r>
  </si>
  <si>
    <r>
      <rPr>
        <sz val="4.5"/>
        <rFont val="Arial"/>
        <family val="2"/>
      </rPr>
      <t>EL PORTAL DE BOSA</t>
    </r>
  </si>
  <si>
    <r>
      <rPr>
        <sz val="4.5"/>
        <rFont val="Arial"/>
        <family val="2"/>
      </rPr>
      <t>EL PROGRESO</t>
    </r>
  </si>
  <si>
    <r>
      <rPr>
        <sz val="4.5"/>
        <rFont val="Arial"/>
        <family val="2"/>
      </rPr>
      <t>EL RETAZO</t>
    </r>
  </si>
  <si>
    <r>
      <rPr>
        <sz val="4.5"/>
        <rFont val="Arial"/>
        <family val="2"/>
      </rPr>
      <t>EL TOCHE</t>
    </r>
  </si>
  <si>
    <r>
      <rPr>
        <sz val="4.5"/>
        <rFont val="Arial"/>
        <family val="2"/>
      </rPr>
      <t>EL TRIANGULO SECTOR MATERAS</t>
    </r>
  </si>
  <si>
    <r>
      <rPr>
        <sz val="4.5"/>
        <rFont val="Arial"/>
        <family val="2"/>
      </rPr>
      <t>GETSEMANI</t>
    </r>
  </si>
  <si>
    <r>
      <rPr>
        <sz val="4.5"/>
        <rFont val="Arial"/>
        <family val="2"/>
      </rPr>
      <t>GRANCOLOMBIANO I</t>
    </r>
  </si>
  <si>
    <r>
      <rPr>
        <sz val="4.5"/>
        <rFont val="Arial"/>
        <family val="2"/>
      </rPr>
      <t>GRANCOLOMBIANO II LAURES MZ L3,M,N,P,Q</t>
    </r>
  </si>
  <si>
    <r>
      <rPr>
        <sz val="4.5"/>
        <rFont val="Arial"/>
        <family val="2"/>
      </rPr>
      <t>GRANCOLOMBIANO II SECTOR</t>
    </r>
  </si>
  <si>
    <r>
      <rPr>
        <sz val="4.5"/>
        <rFont val="Arial"/>
        <family val="2"/>
      </rPr>
      <t>GUALOCHE</t>
    </r>
  </si>
  <si>
    <r>
      <rPr>
        <sz val="4.5"/>
        <rFont val="Arial"/>
        <family val="2"/>
      </rPr>
      <t>HERMANOS BARRAGAN</t>
    </r>
  </si>
  <si>
    <r>
      <rPr>
        <sz val="4.5"/>
        <rFont val="Arial"/>
        <family val="2"/>
      </rPr>
      <t>HUMBERTO VALENCIA</t>
    </r>
  </si>
  <si>
    <r>
      <rPr>
        <sz val="4.5"/>
        <rFont val="Arial"/>
        <family val="2"/>
      </rPr>
      <t>HUMBERTO VALENCIA II</t>
    </r>
  </si>
  <si>
    <r>
      <rPr>
        <sz val="4.5"/>
        <rFont val="Arial"/>
        <family val="2"/>
      </rPr>
      <t>ISLANDIA</t>
    </r>
  </si>
  <si>
    <r>
      <rPr>
        <sz val="4.5"/>
        <rFont val="Arial"/>
        <family val="2"/>
      </rPr>
      <t>ISLANDIA II</t>
    </r>
  </si>
  <si>
    <r>
      <rPr>
        <sz val="4.5"/>
        <rFont val="Arial"/>
        <family val="2"/>
      </rPr>
      <t>ISLANDIA III</t>
    </r>
  </si>
  <si>
    <r>
      <rPr>
        <sz val="4.5"/>
        <rFont val="Arial"/>
        <family val="2"/>
      </rPr>
      <t>ISLANDIA IV</t>
    </r>
  </si>
  <si>
    <r>
      <rPr>
        <sz val="4.5"/>
        <rFont val="Arial"/>
        <family val="2"/>
      </rPr>
      <t>ISRAELITA</t>
    </r>
  </si>
  <si>
    <r>
      <rPr>
        <sz val="4.5"/>
        <rFont val="Arial"/>
        <family val="2"/>
      </rPr>
      <t>JIMENEZ DE QUESADA</t>
    </r>
  </si>
  <si>
    <r>
      <rPr>
        <sz val="4.5"/>
        <rFont val="Arial"/>
        <family val="2"/>
      </rPr>
      <t>JIMENEZ DE QUESADA II SECTOR</t>
    </r>
  </si>
  <si>
    <r>
      <rPr>
        <sz val="4.5"/>
        <rFont val="Arial"/>
        <family val="2"/>
      </rPr>
      <t>JOSE ANTONIO GALAN</t>
    </r>
  </si>
  <si>
    <r>
      <rPr>
        <sz val="4.5"/>
        <rFont val="Arial"/>
        <family val="2"/>
      </rPr>
      <t>JOSE MARIA CARBONEL I Y II SECTOR</t>
    </r>
  </si>
  <si>
    <r>
      <rPr>
        <sz val="4.5"/>
        <rFont val="Arial"/>
        <family val="2"/>
      </rPr>
      <t>LA AMISTAD</t>
    </r>
  </si>
  <si>
    <r>
      <rPr>
        <sz val="4.5"/>
        <rFont val="Arial"/>
        <family val="2"/>
      </rPr>
      <t>LA AZUCENA</t>
    </r>
  </si>
  <si>
    <r>
      <rPr>
        <sz val="4.5"/>
        <rFont val="Arial"/>
        <family val="2"/>
      </rPr>
      <t>LA AZUCENA MZ.A</t>
    </r>
  </si>
  <si>
    <r>
      <rPr>
        <sz val="4.5"/>
        <rFont val="Arial"/>
        <family val="2"/>
      </rPr>
      <t>LA AZUCENA MZ.B</t>
    </r>
  </si>
  <si>
    <r>
      <rPr>
        <sz val="4.5"/>
        <rFont val="Arial"/>
        <family val="2"/>
      </rPr>
      <t>LA AZUCENA SECTOR EL TRIANGULO</t>
    </r>
  </si>
  <si>
    <r>
      <rPr>
        <sz val="4.5"/>
        <rFont val="Arial"/>
        <family val="2"/>
      </rPr>
      <t>LA CRUZ DE TERREROS</t>
    </r>
  </si>
  <si>
    <r>
      <rPr>
        <sz val="4.5"/>
        <rFont val="Arial"/>
        <family val="2"/>
      </rPr>
      <t>LA ELE II SECTOR LOS LAURELES</t>
    </r>
  </si>
  <si>
    <r>
      <rPr>
        <sz val="4.5"/>
        <rFont val="Arial"/>
        <family val="2"/>
      </rPr>
      <t>LA ESPERANZA DE TIBANICA</t>
    </r>
  </si>
  <si>
    <r>
      <rPr>
        <sz val="4.5"/>
        <rFont val="Arial"/>
        <family val="2"/>
      </rPr>
      <t>LA ESTACION</t>
    </r>
  </si>
  <si>
    <r>
      <rPr>
        <sz val="4.5"/>
        <rFont val="Arial"/>
        <family val="2"/>
      </rPr>
      <t>LA ESTACION ARENERAS</t>
    </r>
  </si>
  <si>
    <r>
      <rPr>
        <sz val="4.5"/>
        <rFont val="Arial"/>
        <family val="2"/>
      </rPr>
      <t>LA ESTACION DISTRITAL FCA RAIZ</t>
    </r>
  </si>
  <si>
    <r>
      <rPr>
        <sz val="4.5"/>
        <rFont val="Arial"/>
        <family val="2"/>
      </rPr>
      <t>LA PALESTINA I</t>
    </r>
  </si>
  <si>
    <r>
      <rPr>
        <sz val="4.5"/>
        <rFont val="Arial"/>
        <family val="2"/>
      </rPr>
      <t>LA PRIMAVERA</t>
    </r>
  </si>
  <si>
    <r>
      <rPr>
        <sz val="4.5"/>
        <rFont val="Arial"/>
        <family val="2"/>
      </rPr>
      <t>LA RIVIERA II</t>
    </r>
  </si>
  <si>
    <r>
      <rPr>
        <sz val="4.5"/>
        <rFont val="Arial"/>
        <family val="2"/>
      </rPr>
      <t>LA SULTANA</t>
    </r>
  </si>
  <si>
    <r>
      <rPr>
        <sz val="4.5"/>
        <rFont val="Arial"/>
        <family val="2"/>
      </rPr>
      <t>LAS MARGARITAS</t>
    </r>
  </si>
  <si>
    <r>
      <rPr>
        <sz val="4.5"/>
        <rFont val="Arial"/>
        <family val="2"/>
      </rPr>
      <t>LAS SOLTANAS</t>
    </r>
  </si>
  <si>
    <r>
      <rPr>
        <sz val="4.5"/>
        <rFont val="Arial"/>
        <family val="2"/>
      </rPr>
      <t>LAURELES III</t>
    </r>
  </si>
  <si>
    <r>
      <rPr>
        <sz val="4.5"/>
        <rFont val="Arial"/>
        <family val="2"/>
      </rPr>
      <t>LAURELES LA ESTACION</t>
    </r>
  </si>
  <si>
    <r>
      <rPr>
        <sz val="4.5"/>
        <rFont val="Arial"/>
        <family val="2"/>
      </rPr>
      <t>LLANO ORIENTAL</t>
    </r>
  </si>
  <si>
    <r>
      <rPr>
        <sz val="4.5"/>
        <rFont val="Arial"/>
        <family val="2"/>
      </rPr>
      <t>LLANOS DE BOSA</t>
    </r>
  </si>
  <si>
    <r>
      <rPr>
        <sz val="4.5"/>
        <rFont val="Arial"/>
        <family val="2"/>
      </rPr>
      <t>MANZANARES</t>
    </r>
  </si>
  <si>
    <r>
      <rPr>
        <sz val="4.5"/>
        <rFont val="Arial"/>
        <family val="2"/>
      </rPr>
      <t>MIRAFLORES II SECTOR</t>
    </r>
  </si>
  <si>
    <r>
      <rPr>
        <sz val="4.5"/>
        <rFont val="Arial"/>
        <family val="2"/>
      </rPr>
      <t>MITRANI</t>
    </r>
  </si>
  <si>
    <r>
      <rPr>
        <sz val="4.5"/>
        <rFont val="Arial"/>
        <family val="2"/>
      </rPr>
      <t>NARANJOS EL RETAZO</t>
    </r>
  </si>
  <si>
    <r>
      <rPr>
        <sz val="4.5"/>
        <rFont val="Arial"/>
        <family val="2"/>
      </rPr>
      <t>NICOLAS ESCOBAR</t>
    </r>
  </si>
  <si>
    <r>
      <rPr>
        <sz val="4.5"/>
        <rFont val="Arial"/>
        <family val="2"/>
      </rPr>
      <t>NUEVA GRANADA</t>
    </r>
  </si>
  <si>
    <r>
      <rPr>
        <sz val="4.5"/>
        <rFont val="Arial"/>
        <family val="2"/>
      </rPr>
      <t>NUEVA GRANADA II SEC.(Tiboli)</t>
    </r>
  </si>
  <si>
    <r>
      <rPr>
        <sz val="4.5"/>
        <rFont val="Arial"/>
        <family val="2"/>
      </rPr>
      <t>NUEVA GRANADA II SECTOR</t>
    </r>
  </si>
  <si>
    <r>
      <rPr>
        <sz val="4.5"/>
        <rFont val="Arial"/>
        <family val="2"/>
      </rPr>
      <t>NUEVA GRANADA V SECTOR</t>
    </r>
  </si>
  <si>
    <r>
      <rPr>
        <sz val="4.5"/>
        <rFont val="Arial"/>
        <family val="2"/>
      </rPr>
      <t>PABLO VI</t>
    </r>
  </si>
  <si>
    <r>
      <rPr>
        <sz val="4.5"/>
        <rFont val="Arial"/>
        <family val="2"/>
      </rPr>
      <t>PALESTINA</t>
    </r>
  </si>
  <si>
    <r>
      <rPr>
        <sz val="4.5"/>
        <rFont val="Arial"/>
        <family val="2"/>
      </rPr>
      <t>PASO ANCHO</t>
    </r>
  </si>
  <si>
    <r>
      <rPr>
        <sz val="4.5"/>
        <rFont val="Arial"/>
        <family val="2"/>
      </rPr>
      <t>PIAMONTE I ETAPA</t>
    </r>
  </si>
  <si>
    <r>
      <rPr>
        <sz val="4.5"/>
        <rFont val="Arial"/>
        <family val="2"/>
      </rPr>
      <t>PRIMAVERA SUR</t>
    </r>
  </si>
  <si>
    <r>
      <rPr>
        <sz val="4.5"/>
        <rFont val="Arial"/>
        <family val="2"/>
      </rPr>
      <t>PROVIDENCIA</t>
    </r>
  </si>
  <si>
    <r>
      <rPr>
        <sz val="4.5"/>
        <rFont val="Arial"/>
        <family val="2"/>
      </rPr>
      <t>SAN EUGENIO</t>
    </r>
  </si>
  <si>
    <r>
      <rPr>
        <sz val="4.5"/>
        <rFont val="Arial"/>
        <family val="2"/>
      </rPr>
      <t>SAN EUGENIO II</t>
    </r>
  </si>
  <si>
    <r>
      <rPr>
        <sz val="4.5"/>
        <rFont val="Arial"/>
        <family val="2"/>
      </rPr>
      <t>SAN JOSÉ LOS NARANJOS</t>
    </r>
  </si>
  <si>
    <r>
      <rPr>
        <sz val="4.5"/>
        <rFont val="Arial"/>
        <family val="2"/>
      </rPr>
      <t>SAN JUDAS (B.LA ESTACION)</t>
    </r>
  </si>
  <si>
    <r>
      <rPr>
        <sz val="4.5"/>
        <rFont val="Arial"/>
        <family val="2"/>
      </rPr>
      <t>SAN PABLO I SECTOR</t>
    </r>
  </si>
  <si>
    <r>
      <rPr>
        <sz val="4.5"/>
        <rFont val="Arial"/>
        <family val="2"/>
      </rPr>
      <t>SAN PABLO II SECTOR</t>
    </r>
  </si>
  <si>
    <r>
      <rPr>
        <sz val="4.5"/>
        <rFont val="Arial"/>
        <family val="2"/>
      </rPr>
      <t>SANTA LUCIA</t>
    </r>
  </si>
  <si>
    <r>
      <rPr>
        <sz val="4.5"/>
        <rFont val="Arial"/>
        <family val="2"/>
      </rPr>
      <t>SUB STA LUCIA</t>
    </r>
  </si>
  <si>
    <r>
      <rPr>
        <sz val="4.5"/>
        <rFont val="Arial"/>
        <family val="2"/>
      </rPr>
      <t>SUB TRIANGULO LAS MATERAS</t>
    </r>
  </si>
  <si>
    <r>
      <rPr>
        <sz val="4.5"/>
        <rFont val="Arial"/>
        <family val="2"/>
      </rPr>
      <t>SUB URB. CLARETIANA</t>
    </r>
  </si>
  <si>
    <r>
      <rPr>
        <sz val="4.5"/>
        <rFont val="Arial"/>
        <family val="2"/>
      </rPr>
      <t>TIERRA GRATIS</t>
    </r>
  </si>
  <si>
    <r>
      <rPr>
        <sz val="4.5"/>
        <rFont val="Arial"/>
        <family val="2"/>
      </rPr>
      <t>URB ACUARELA I Y II</t>
    </r>
  </si>
  <si>
    <r>
      <rPr>
        <sz val="4.5"/>
        <rFont val="Arial"/>
        <family val="2"/>
      </rPr>
      <t>URB. TANQUE DE BOSA</t>
    </r>
  </si>
  <si>
    <r>
      <rPr>
        <sz val="4.5"/>
        <rFont val="Arial"/>
        <family val="2"/>
      </rPr>
      <t>VERD. SECTOR SAN JOSÉ</t>
    </r>
  </si>
  <si>
    <r>
      <rPr>
        <sz val="4.5"/>
        <rFont val="Arial"/>
        <family val="2"/>
      </rPr>
      <t>VILLA ANAY</t>
    </r>
  </si>
  <si>
    <r>
      <rPr>
        <sz val="4.5"/>
        <rFont val="Arial"/>
        <family val="2"/>
      </rPr>
      <t>VILLA ANNI (BOSA NARANJOS)</t>
    </r>
  </si>
  <si>
    <r>
      <rPr>
        <sz val="4.5"/>
        <rFont val="Arial"/>
        <family val="2"/>
      </rPr>
      <t>VILLA BOSA</t>
    </r>
  </si>
  <si>
    <r>
      <rPr>
        <sz val="4.5"/>
        <rFont val="Arial"/>
        <family val="2"/>
      </rPr>
      <t>XOCHIMILCO</t>
    </r>
  </si>
  <si>
    <r>
      <rPr>
        <sz val="4.5"/>
        <rFont val="Arial"/>
        <family val="2"/>
      </rPr>
      <t>CALDAS</t>
    </r>
  </si>
  <si>
    <r>
      <rPr>
        <sz val="4.5"/>
        <rFont val="Arial"/>
        <family val="2"/>
      </rPr>
      <t>ANTONIO NARIÑO</t>
    </r>
  </si>
  <si>
    <r>
      <rPr>
        <sz val="4.5"/>
        <rFont val="Arial"/>
        <family val="2"/>
      </rPr>
      <t>CAÑAVERALEJO</t>
    </r>
  </si>
  <si>
    <r>
      <rPr>
        <sz val="4.5"/>
        <rFont val="Arial"/>
        <family val="2"/>
      </rPr>
      <t>EL ANHELO</t>
    </r>
  </si>
  <si>
    <r>
      <rPr>
        <sz val="4.5"/>
        <rFont val="Arial"/>
        <family val="2"/>
      </rPr>
      <t>EL CORZO</t>
    </r>
  </si>
  <si>
    <r>
      <rPr>
        <sz val="4.5"/>
        <rFont val="Arial"/>
        <family val="2"/>
      </rPr>
      <t>EL PORVENIR PARCELA 23</t>
    </r>
  </si>
  <si>
    <r>
      <rPr>
        <sz val="4.5"/>
        <rFont val="Arial"/>
        <family val="2"/>
      </rPr>
      <t>EL PORVENIR SAN LUIS</t>
    </r>
  </si>
  <si>
    <r>
      <rPr>
        <sz val="4.5"/>
        <rFont val="Arial"/>
        <family val="2"/>
      </rPr>
      <t>EL PORVENIR SECTOR INDUCAS</t>
    </r>
  </si>
  <si>
    <r>
      <rPr>
        <sz val="4.5"/>
        <rFont val="Arial"/>
        <family val="2"/>
      </rPr>
      <t>EL RECUERDO</t>
    </r>
  </si>
  <si>
    <r>
      <rPr>
        <sz val="4.5"/>
        <rFont val="Arial"/>
        <family val="2"/>
      </rPr>
      <t>EL RECUERDO DE SANTA FE</t>
    </r>
  </si>
  <si>
    <r>
      <rPr>
        <sz val="4.5"/>
        <rFont val="Arial"/>
        <family val="2"/>
      </rPr>
      <t>EL REGALO</t>
    </r>
  </si>
  <si>
    <r>
      <rPr>
        <sz val="4.5"/>
        <rFont val="Arial"/>
        <family val="2"/>
      </rPr>
      <t>EL REGALO II</t>
    </r>
  </si>
  <si>
    <r>
      <rPr>
        <sz val="4.5"/>
        <rFont val="Arial"/>
        <family val="2"/>
      </rPr>
      <t>LA ARBOLEDA</t>
    </r>
  </si>
  <si>
    <r>
      <rPr>
        <sz val="4.5"/>
        <rFont val="Arial"/>
        <family val="2"/>
      </rPr>
      <t>LA GRANJITA</t>
    </r>
  </si>
  <si>
    <r>
      <rPr>
        <sz val="4.5"/>
        <rFont val="Arial"/>
        <family val="2"/>
      </rPr>
      <t>LA SUERTE</t>
    </r>
  </si>
  <si>
    <r>
      <rPr>
        <sz val="4.5"/>
        <rFont val="Arial"/>
        <family val="2"/>
      </rPr>
      <t>LA UNION</t>
    </r>
  </si>
  <si>
    <r>
      <rPr>
        <sz val="4.5"/>
        <rFont val="Arial"/>
        <family val="2"/>
      </rPr>
      <t>LOS CENTAUROS</t>
    </r>
  </si>
  <si>
    <r>
      <rPr>
        <sz val="4.5"/>
        <rFont val="Arial"/>
        <family val="2"/>
      </rPr>
      <t>OSORIO X</t>
    </r>
  </si>
  <si>
    <r>
      <rPr>
        <sz val="4.5"/>
        <rFont val="Arial"/>
        <family val="2"/>
      </rPr>
      <t>OSORIO XIII</t>
    </r>
  </si>
  <si>
    <r>
      <rPr>
        <sz val="4.5"/>
        <rFont val="Arial"/>
        <family val="2"/>
      </rPr>
      <t>PARCELA EL PORVENIR</t>
    </r>
  </si>
  <si>
    <r>
      <rPr>
        <sz val="4.5"/>
        <rFont val="Arial"/>
        <family val="2"/>
      </rPr>
      <t>SAN BERNARDINO II</t>
    </r>
  </si>
  <si>
    <r>
      <rPr>
        <sz val="4.5"/>
        <rFont val="Arial"/>
        <family val="2"/>
      </rPr>
      <t>SAN MIGUEL</t>
    </r>
  </si>
  <si>
    <r>
      <rPr>
        <sz val="4.5"/>
        <rFont val="Arial"/>
        <family val="2"/>
      </rPr>
      <t>SANTA BARBARA</t>
    </r>
  </si>
  <si>
    <r>
      <rPr>
        <sz val="4.5"/>
        <rFont val="Arial"/>
        <family val="2"/>
      </rPr>
      <t>SANTA FE</t>
    </r>
  </si>
  <si>
    <r>
      <rPr>
        <sz val="4.5"/>
        <rFont val="Arial"/>
        <family val="2"/>
      </rPr>
      <t>SANTA FE I y II</t>
    </r>
  </si>
  <si>
    <r>
      <rPr>
        <sz val="4.5"/>
        <rFont val="Arial"/>
        <family val="2"/>
      </rPr>
      <t>SANTA FE III SECTOR</t>
    </r>
  </si>
  <si>
    <r>
      <rPr>
        <sz val="4.5"/>
        <rFont val="Arial"/>
        <family val="2"/>
      </rPr>
      <t>SANTA ISABEL</t>
    </r>
  </si>
  <si>
    <r>
      <rPr>
        <sz val="4.5"/>
        <rFont val="Arial"/>
        <family val="2"/>
      </rPr>
      <t>SANTAFE DE BOSA</t>
    </r>
  </si>
  <si>
    <r>
      <rPr>
        <sz val="4.5"/>
        <rFont val="Arial"/>
        <family val="2"/>
      </rPr>
      <t>URBANIZACION CALDAS</t>
    </r>
  </si>
  <si>
    <r>
      <rPr>
        <sz val="4.5"/>
        <rFont val="Arial"/>
        <family val="2"/>
      </rPr>
      <t>VILLA ALEGRE</t>
    </r>
  </si>
  <si>
    <r>
      <rPr>
        <sz val="4.5"/>
        <rFont val="Arial"/>
        <family val="2"/>
      </rPr>
      <t>VILLA ALEGRIA</t>
    </r>
  </si>
  <si>
    <r>
      <rPr>
        <sz val="4.5"/>
        <rFont val="Arial"/>
        <family val="2"/>
      </rPr>
      <t>VILLA ESMERALDA</t>
    </r>
  </si>
  <si>
    <r>
      <rPr>
        <sz val="4.5"/>
        <rFont val="Arial"/>
        <family val="2"/>
      </rPr>
      <t>VILLA KAREN</t>
    </r>
  </si>
  <si>
    <r>
      <rPr>
        <sz val="4.5"/>
        <rFont val="Arial"/>
        <family val="2"/>
      </rPr>
      <t>EL MATORRAL</t>
    </r>
  </si>
  <si>
    <r>
      <rPr>
        <sz val="4.5"/>
        <rFont val="Arial"/>
        <family val="2"/>
      </rPr>
      <t>EL MATORRAL DE SAN BERNARDINO</t>
    </r>
  </si>
  <si>
    <r>
      <rPr>
        <sz val="4.5"/>
        <rFont val="Arial"/>
        <family val="2"/>
      </rPr>
      <t>EL TRIUNFO</t>
    </r>
  </si>
  <si>
    <r>
      <rPr>
        <sz val="4.5"/>
        <rFont val="Arial"/>
        <family val="2"/>
      </rPr>
      <t>EL TRIUNFO DE SAN BERNARDINO</t>
    </r>
  </si>
  <si>
    <r>
      <rPr>
        <sz val="4.5"/>
        <rFont val="Arial"/>
        <family val="2"/>
      </rPr>
      <t>LA VEGA DE SAN BERNARDINO BAJO</t>
    </r>
  </si>
  <si>
    <r>
      <rPr>
        <sz val="4.5"/>
        <rFont val="Arial"/>
        <family val="2"/>
      </rPr>
      <t>SAN BERNARDINO SECTOR POTRERITO</t>
    </r>
  </si>
  <si>
    <r>
      <rPr>
        <sz val="4.5"/>
        <rFont val="Arial"/>
        <family val="2"/>
      </rPr>
      <t>SAN BERNARDINO XIX</t>
    </r>
  </si>
  <si>
    <r>
      <rPr>
        <sz val="4.5"/>
        <rFont val="Arial"/>
        <family val="2"/>
      </rPr>
      <t>SAN BERNARDINO XVI</t>
    </r>
  </si>
  <si>
    <r>
      <rPr>
        <sz val="4.5"/>
        <rFont val="Arial"/>
        <family val="2"/>
      </rPr>
      <t>SAN BERNARDINO XVII</t>
    </r>
  </si>
  <si>
    <r>
      <rPr>
        <sz val="4.5"/>
        <rFont val="Arial"/>
        <family val="2"/>
      </rPr>
      <t>SAN BERNARDINO XVIII</t>
    </r>
  </si>
  <si>
    <r>
      <rPr>
        <sz val="4.5"/>
        <rFont val="Arial"/>
        <family val="2"/>
      </rPr>
      <t>SAN BERNARDINO XXII</t>
    </r>
  </si>
  <si>
    <r>
      <rPr>
        <sz val="4.5"/>
        <rFont val="Arial"/>
        <family val="2"/>
      </rPr>
      <t>SAN BERNARDINO XXV</t>
    </r>
  </si>
  <si>
    <r>
      <rPr>
        <sz val="5"/>
        <rFont val="Arial"/>
        <family val="2"/>
      </rPr>
      <t>AGRUPACION PIO X</t>
    </r>
  </si>
  <si>
    <r>
      <rPr>
        <sz val="5"/>
        <rFont val="Arial"/>
        <family val="2"/>
      </rPr>
      <t>AGRUPACION MULTIFAMILIAR VILLA EMILIA</t>
    </r>
  </si>
  <si>
    <r>
      <rPr>
        <sz val="5"/>
        <rFont val="Arial"/>
        <family val="2"/>
      </rPr>
      <t>ALFEREZ REAL</t>
    </r>
  </si>
  <si>
    <r>
      <rPr>
        <sz val="5"/>
        <rFont val="Arial"/>
        <family val="2"/>
      </rPr>
      <t>AMERICAS CENTRAL</t>
    </r>
  </si>
  <si>
    <r>
      <rPr>
        <sz val="5"/>
        <rFont val="Arial"/>
        <family val="2"/>
      </rPr>
      <t>AMERICAS OCCIDENTAL I, II Y III ETAPA</t>
    </r>
  </si>
  <si>
    <r>
      <rPr>
        <sz val="5"/>
        <rFont val="Arial"/>
        <family val="2"/>
      </rPr>
      <t>ANTIGUO HIPODROMO DE TECHO II ETAPA</t>
    </r>
  </si>
  <si>
    <r>
      <rPr>
        <sz val="5"/>
        <rFont val="Arial"/>
        <family val="2"/>
      </rPr>
      <t>CARVAJAL II SECTOR</t>
    </r>
  </si>
  <si>
    <r>
      <rPr>
        <sz val="5"/>
        <rFont val="Arial"/>
        <family val="2"/>
      </rPr>
      <t>CENTROAMERICAS</t>
    </r>
  </si>
  <si>
    <r>
      <rPr>
        <sz val="5"/>
        <rFont val="Arial"/>
        <family val="2"/>
      </rPr>
      <t>CIUDAD KENNEDY</t>
    </r>
  </si>
  <si>
    <r>
      <rPr>
        <sz val="5"/>
        <rFont val="Arial"/>
        <family val="2"/>
      </rPr>
      <t>CONJUNTO RES. EL RINCON DE MANDALAY</t>
    </r>
  </si>
  <si>
    <r>
      <rPr>
        <sz val="5"/>
        <rFont val="Arial"/>
        <family val="2"/>
      </rPr>
      <t>FLORESTA SUR</t>
    </r>
  </si>
  <si>
    <r>
      <rPr>
        <sz val="5"/>
        <rFont val="Arial"/>
        <family val="2"/>
      </rPr>
      <t>FUNDADORES</t>
    </r>
  </si>
  <si>
    <r>
      <rPr>
        <sz val="5"/>
        <rFont val="Arial"/>
        <family val="2"/>
      </rPr>
      <t>GLORIETA DE LAS AMERICAS</t>
    </r>
  </si>
  <si>
    <r>
      <rPr>
        <sz val="5"/>
        <rFont val="Arial"/>
        <family val="2"/>
      </rPr>
      <t>HIPOTECHO</t>
    </r>
  </si>
  <si>
    <r>
      <rPr>
        <sz val="5"/>
        <rFont val="Arial"/>
        <family val="2"/>
      </rPr>
      <t>IGUALDAD I SECTOR</t>
    </r>
  </si>
  <si>
    <r>
      <rPr>
        <sz val="5"/>
        <rFont val="Arial"/>
        <family val="2"/>
      </rPr>
      <t>IGUALDAD II SECTOR</t>
    </r>
  </si>
  <si>
    <r>
      <rPr>
        <sz val="5"/>
        <rFont val="Arial"/>
        <family val="2"/>
      </rPr>
      <t>LA FLORESTA</t>
    </r>
  </si>
  <si>
    <r>
      <rPr>
        <sz val="5"/>
        <rFont val="Arial"/>
        <family val="2"/>
      </rPr>
      <t>LA IGUALDAD</t>
    </r>
  </si>
  <si>
    <r>
      <rPr>
        <sz val="5"/>
        <rFont val="Arial"/>
        <family val="2"/>
      </rPr>
      <t>LA LLANURA</t>
    </r>
  </si>
  <si>
    <r>
      <rPr>
        <sz val="5"/>
        <rFont val="Arial"/>
        <family val="2"/>
      </rPr>
      <t>LA LLANURA MANZANA P</t>
    </r>
  </si>
  <si>
    <r>
      <rPr>
        <sz val="5"/>
        <rFont val="Arial"/>
        <family val="2"/>
      </rPr>
      <t>LAS AMERICAS</t>
    </r>
  </si>
  <si>
    <r>
      <rPr>
        <sz val="5"/>
        <rFont val="Arial"/>
        <family val="2"/>
      </rPr>
      <t>LAS AMERICAS SECTOR GALAN</t>
    </r>
  </si>
  <si>
    <r>
      <rPr>
        <sz val="5"/>
        <rFont val="Arial"/>
        <family val="2"/>
      </rPr>
      <t>LOS SAUCES</t>
    </r>
  </si>
  <si>
    <r>
      <rPr>
        <sz val="5"/>
        <rFont val="Arial"/>
        <family val="2"/>
      </rPr>
      <t>MANDALAY ETAPA A SECTOR II</t>
    </r>
  </si>
  <si>
    <r>
      <rPr>
        <sz val="5"/>
        <rFont val="Arial"/>
        <family val="2"/>
      </rPr>
      <t>MANDALAY I SECTOR</t>
    </r>
  </si>
  <si>
    <r>
      <rPr>
        <sz val="5"/>
        <rFont val="Arial"/>
        <family val="2"/>
      </rPr>
      <t>MARSELLA III SECTOR</t>
    </r>
  </si>
  <si>
    <r>
      <rPr>
        <sz val="5"/>
        <rFont val="Arial"/>
        <family val="2"/>
      </rPr>
      <t>MULTIFAMILIARES VILLA ADRIANA MZ. H</t>
    </r>
  </si>
  <si>
    <r>
      <rPr>
        <sz val="5"/>
        <rFont val="Arial"/>
        <family val="2"/>
      </rPr>
      <t>NUEVA MARSELLA I, II Y III SECTOR</t>
    </r>
  </si>
  <si>
    <r>
      <rPr>
        <sz val="5"/>
        <rFont val="Arial"/>
        <family val="2"/>
      </rPr>
      <t>PROVIVIENDA ORIENTAL</t>
    </r>
  </si>
  <si>
    <r>
      <rPr>
        <sz val="5"/>
        <rFont val="Arial"/>
        <family val="2"/>
      </rPr>
      <t>SANTA ROSA DE CARVAJAL</t>
    </r>
  </si>
  <si>
    <r>
      <rPr>
        <sz val="5"/>
        <rFont val="Arial"/>
        <family val="2"/>
      </rPr>
      <t>URB. LOS LAURELES (SAUCES-ROBLES)</t>
    </r>
  </si>
  <si>
    <r>
      <rPr>
        <sz val="5"/>
        <rFont val="Arial"/>
        <family val="2"/>
      </rPr>
      <t>VILLA ADRIANA</t>
    </r>
  </si>
  <si>
    <r>
      <rPr>
        <sz val="5"/>
        <rFont val="Arial"/>
        <family val="2"/>
      </rPr>
      <t>VILLA CLAUDIA</t>
    </r>
  </si>
  <si>
    <r>
      <rPr>
        <sz val="5"/>
        <rFont val="Arial"/>
        <family val="2"/>
      </rPr>
      <t>AGRUPACION DE VIVIENDA TALAVERA (TALAVERA DE LA REINA)</t>
    </r>
  </si>
  <si>
    <r>
      <rPr>
        <sz val="5"/>
        <rFont val="Arial"/>
        <family val="2"/>
      </rPr>
      <t>ALQ. DE LA FRAGUA SECT. EL PARAISO</t>
    </r>
  </si>
  <si>
    <r>
      <rPr>
        <sz val="5"/>
        <rFont val="Arial"/>
        <family val="2"/>
      </rPr>
      <t>ALQUERIAS DE LA FRAGUA</t>
    </r>
  </si>
  <si>
    <r>
      <rPr>
        <sz val="5"/>
        <rFont val="Arial"/>
        <family val="2"/>
      </rPr>
      <t>ALQUERIAS DE LA FRAGUA VILLA NUEVA</t>
    </r>
  </si>
  <si>
    <r>
      <rPr>
        <sz val="5"/>
        <rFont val="Arial"/>
        <family val="2"/>
      </rPr>
      <t>ALQUERIAS de la FRAGUA, SEC. SANTA YOLANDA</t>
    </r>
  </si>
  <si>
    <r>
      <rPr>
        <sz val="5"/>
        <rFont val="Arial"/>
        <family val="2"/>
      </rPr>
      <t>BOMBAY</t>
    </r>
  </si>
  <si>
    <r>
      <rPr>
        <sz val="5"/>
        <rFont val="Arial"/>
        <family val="2"/>
      </rPr>
      <t>CARIMAGUA I SECTOR</t>
    </r>
  </si>
  <si>
    <r>
      <rPr>
        <sz val="5"/>
        <rFont val="Arial"/>
        <family val="2"/>
      </rPr>
      <t>CARVAJAL</t>
    </r>
  </si>
  <si>
    <r>
      <rPr>
        <sz val="5"/>
        <rFont val="Arial"/>
        <family val="2"/>
      </rPr>
      <t>CARVAJAL OSORIO</t>
    </r>
  </si>
  <si>
    <r>
      <rPr>
        <sz val="5"/>
        <rFont val="Arial"/>
        <family val="2"/>
      </rPr>
      <t>CARVAJAL TECHO I SECTOR</t>
    </r>
  </si>
  <si>
    <r>
      <rPr>
        <sz val="5"/>
        <rFont val="Arial"/>
        <family val="2"/>
      </rPr>
      <t>CONDADO EL REY</t>
    </r>
  </si>
  <si>
    <r>
      <rPr>
        <sz val="5"/>
        <rFont val="Arial"/>
        <family val="2"/>
      </rPr>
      <t>DELICIAS</t>
    </r>
  </si>
  <si>
    <r>
      <rPr>
        <sz val="5"/>
        <rFont val="Arial"/>
        <family val="2"/>
      </rPr>
      <t>DESARROLLO NUEVA YORK</t>
    </r>
  </si>
  <si>
    <r>
      <rPr>
        <sz val="5"/>
        <rFont val="Arial"/>
        <family val="2"/>
      </rPr>
      <t>EL PENCIL</t>
    </r>
  </si>
  <si>
    <r>
      <rPr>
        <sz val="5"/>
        <rFont val="Arial"/>
        <family val="2"/>
      </rPr>
      <t>EL PROGRESO I Y II SECTOR</t>
    </r>
  </si>
  <si>
    <r>
      <rPr>
        <sz val="5"/>
        <rFont val="Arial"/>
        <family val="2"/>
      </rPr>
      <t>EL TRIANGULO</t>
    </r>
  </si>
  <si>
    <r>
      <rPr>
        <sz val="5"/>
        <rFont val="Arial"/>
        <family val="2"/>
      </rPr>
      <t>FLORALIA I Y II SECTOR</t>
    </r>
  </si>
  <si>
    <r>
      <rPr>
        <sz val="5"/>
        <rFont val="Arial"/>
        <family val="2"/>
      </rPr>
      <t>GERONA</t>
    </r>
  </si>
  <si>
    <r>
      <rPr>
        <sz val="5"/>
        <rFont val="Arial"/>
        <family val="2"/>
      </rPr>
      <t>GUADALUPE</t>
    </r>
  </si>
  <si>
    <r>
      <rPr>
        <sz val="5"/>
        <rFont val="Arial"/>
        <family val="2"/>
      </rPr>
      <t>LA CAMPIÑA</t>
    </r>
  </si>
  <si>
    <r>
      <rPr>
        <sz val="5"/>
        <rFont val="Arial"/>
        <family val="2"/>
      </rPr>
      <t>LA CHUCUA</t>
    </r>
  </si>
  <si>
    <r>
      <rPr>
        <sz val="5"/>
        <rFont val="Arial"/>
        <family val="2"/>
      </rPr>
      <t>LAS TORRES</t>
    </r>
  </si>
  <si>
    <r>
      <rPr>
        <sz val="5"/>
        <rFont val="Arial"/>
        <family val="2"/>
      </rPr>
      <t>LOS CRISTALES</t>
    </r>
  </si>
  <si>
    <r>
      <rPr>
        <sz val="5"/>
        <rFont val="Arial"/>
        <family val="2"/>
      </rPr>
      <t>LUCERNA</t>
    </r>
  </si>
  <si>
    <r>
      <rPr>
        <sz val="5"/>
        <rFont val="Arial"/>
        <family val="2"/>
      </rPr>
      <t>MILENTA II Y III SECTOR</t>
    </r>
  </si>
  <si>
    <r>
      <rPr>
        <sz val="5"/>
        <rFont val="Arial"/>
        <family val="2"/>
      </rPr>
      <t>MULTIFAMILIAR CARIMAGUA</t>
    </r>
  </si>
  <si>
    <r>
      <rPr>
        <sz val="5"/>
        <rFont val="Arial"/>
        <family val="2"/>
      </rPr>
      <t>NUEVA YORK</t>
    </r>
  </si>
  <si>
    <r>
      <rPr>
        <sz val="5"/>
        <rFont val="Arial"/>
        <family val="2"/>
      </rPr>
      <t>PROVIVIENDA</t>
    </r>
  </si>
  <si>
    <r>
      <rPr>
        <sz val="5"/>
        <rFont val="Arial"/>
        <family val="2"/>
      </rPr>
      <t>PROVIVIENDA OCCIDENTAL</t>
    </r>
  </si>
  <si>
    <r>
      <rPr>
        <sz val="5"/>
        <rFont val="Arial"/>
        <family val="2"/>
      </rPr>
      <t>SALVADOR ALLENDE</t>
    </r>
  </si>
  <si>
    <r>
      <rPr>
        <sz val="5"/>
        <rFont val="Arial"/>
        <family val="2"/>
      </rPr>
      <t>SAN ANDRES</t>
    </r>
  </si>
  <si>
    <r>
      <rPr>
        <sz val="5"/>
        <rFont val="Arial"/>
        <family val="2"/>
      </rPr>
      <t>SAN ANDRES II SECTOR</t>
    </r>
  </si>
  <si>
    <r>
      <rPr>
        <sz val="5"/>
        <rFont val="Arial"/>
        <family val="2"/>
      </rPr>
      <t>SUPER MANZANA 6A</t>
    </r>
  </si>
  <si>
    <r>
      <rPr>
        <sz val="5"/>
        <rFont val="Arial"/>
        <family val="2"/>
      </rPr>
      <t>TAYRONA COMERCIAL</t>
    </r>
  </si>
  <si>
    <r>
      <rPr>
        <sz val="5"/>
        <rFont val="Arial"/>
        <family val="2"/>
      </rPr>
      <t>URB. NUEVA DELICIAS</t>
    </r>
  </si>
  <si>
    <r>
      <rPr>
        <sz val="5"/>
        <rFont val="Arial"/>
        <family val="2"/>
      </rPr>
      <t>URB. RENANIA (ANTES LA CHUCUA)</t>
    </r>
  </si>
  <si>
    <r>
      <rPr>
        <sz val="5"/>
        <rFont val="Arial"/>
        <family val="2"/>
      </rPr>
      <t>URBANIZACION CARVAJAL</t>
    </r>
  </si>
  <si>
    <r>
      <rPr>
        <sz val="5"/>
        <rFont val="Arial"/>
        <family val="2"/>
      </rPr>
      <t>URBANIZACION LAS DELICIAS</t>
    </r>
  </si>
  <si>
    <r>
      <rPr>
        <sz val="5"/>
        <rFont val="Arial"/>
        <family val="2"/>
      </rPr>
      <t>VALENCIA LA CHUCUA</t>
    </r>
  </si>
  <si>
    <r>
      <rPr>
        <sz val="5"/>
        <rFont val="Arial"/>
        <family val="2"/>
      </rPr>
      <t>VILLA NUEVA</t>
    </r>
  </si>
  <si>
    <r>
      <rPr>
        <sz val="5"/>
        <rFont val="Arial"/>
        <family val="2"/>
      </rPr>
      <t>ALOHA SECTOR NORTE</t>
    </r>
  </si>
  <si>
    <r>
      <rPr>
        <sz val="5"/>
        <rFont val="Arial"/>
        <family val="2"/>
      </rPr>
      <t>AGRUPACION DE VIVIENDA PIO XII</t>
    </r>
  </si>
  <si>
    <r>
      <rPr>
        <sz val="5"/>
        <rFont val="Arial"/>
        <family val="2"/>
      </rPr>
      <t>ANDALUCIA</t>
    </r>
  </si>
  <si>
    <r>
      <rPr>
        <sz val="5"/>
        <rFont val="Arial"/>
        <family val="2"/>
      </rPr>
      <t>ANDALUCIA II SECTOR</t>
    </r>
  </si>
  <si>
    <r>
      <rPr>
        <sz val="5"/>
        <rFont val="Arial"/>
        <family val="2"/>
      </rPr>
      <t>BAVARIA TECHO II SECTOR ,I Y II ETAPA</t>
    </r>
  </si>
  <si>
    <r>
      <rPr>
        <sz val="5"/>
        <rFont val="Arial"/>
        <family val="2"/>
      </rPr>
      <t>BOSQUES DE CASTILLA</t>
    </r>
  </si>
  <si>
    <r>
      <rPr>
        <sz val="5"/>
        <rFont val="Arial"/>
        <family val="2"/>
      </rPr>
      <t>CIUDAD DON BOSCO</t>
    </r>
  </si>
  <si>
    <r>
      <rPr>
        <sz val="5"/>
        <rFont val="Arial"/>
        <family val="2"/>
      </rPr>
      <t>CIUDAD FAVIDI</t>
    </r>
  </si>
  <si>
    <r>
      <rPr>
        <sz val="5"/>
        <rFont val="Arial"/>
        <family val="2"/>
      </rPr>
      <t>CIUDAD TECHO 1</t>
    </r>
  </si>
  <si>
    <r>
      <rPr>
        <sz val="5"/>
        <rFont val="Arial"/>
        <family val="2"/>
      </rPr>
      <t>EL CASTILLO</t>
    </r>
  </si>
  <si>
    <r>
      <rPr>
        <sz val="5"/>
        <rFont val="Arial"/>
        <family val="2"/>
      </rPr>
      <t>EL CONDADO DE LA PAZ</t>
    </r>
  </si>
  <si>
    <r>
      <rPr>
        <sz val="5"/>
        <rFont val="Arial"/>
        <family val="2"/>
      </rPr>
      <t>EL PORTAL DE LAS AMERICAS</t>
    </r>
  </si>
  <si>
    <r>
      <rPr>
        <sz val="5"/>
        <rFont val="Arial"/>
        <family val="2"/>
      </rPr>
      <t>EL RINCON DE CASTILLA</t>
    </r>
  </si>
  <si>
    <r>
      <rPr>
        <sz val="5"/>
        <rFont val="Arial"/>
        <family val="2"/>
      </rPr>
      <t>EL RINCON DE LOS ANGELES</t>
    </r>
  </si>
  <si>
    <r>
      <rPr>
        <sz val="5"/>
        <rFont val="Arial"/>
        <family val="2"/>
      </rPr>
      <t>EL TINTAL</t>
    </r>
  </si>
  <si>
    <r>
      <rPr>
        <sz val="5"/>
        <rFont val="Arial"/>
        <family val="2"/>
      </rPr>
      <t>EL VERGEL</t>
    </r>
  </si>
  <si>
    <r>
      <rPr>
        <sz val="5"/>
        <rFont val="Arial"/>
        <family val="2"/>
      </rPr>
      <t>EL VERGEL LOTE 4</t>
    </r>
  </si>
  <si>
    <r>
      <rPr>
        <sz val="5"/>
        <rFont val="Arial"/>
        <family val="2"/>
      </rPr>
      <t>EL VERGEL OCCIDENTAL</t>
    </r>
  </si>
  <si>
    <r>
      <rPr>
        <sz val="5"/>
        <rFont val="Arial"/>
        <family val="2"/>
      </rPr>
      <t>LAGOS DE CASTILLA</t>
    </r>
  </si>
  <si>
    <r>
      <rPr>
        <sz val="5"/>
        <rFont val="Arial"/>
        <family val="2"/>
      </rPr>
      <t>LAS DOS AVENIDAS I ETAPA</t>
    </r>
  </si>
  <si>
    <r>
      <rPr>
        <sz val="5"/>
        <rFont val="Arial"/>
        <family val="2"/>
      </rPr>
      <t>LAS DOS AVENIDAS II ETAPA</t>
    </r>
  </si>
  <si>
    <r>
      <rPr>
        <sz val="5"/>
        <rFont val="Arial"/>
        <family val="2"/>
      </rPr>
      <t>MONTERREY</t>
    </r>
  </si>
  <si>
    <r>
      <rPr>
        <sz val="5"/>
        <rFont val="Arial"/>
        <family val="2"/>
      </rPr>
      <t>MULTIFAMILIARES EL FERROL</t>
    </r>
  </si>
  <si>
    <r>
      <rPr>
        <sz val="5"/>
        <rFont val="Arial"/>
        <family val="2"/>
      </rPr>
      <t>NUESTRA SEÑORA DE LA PAZ</t>
    </r>
  </si>
  <si>
    <r>
      <rPr>
        <sz val="5"/>
        <rFont val="Arial"/>
        <family val="2"/>
      </rPr>
      <t>OSORIO</t>
    </r>
  </si>
  <si>
    <r>
      <rPr>
        <sz val="5"/>
        <rFont val="Arial"/>
        <family val="2"/>
      </rPr>
      <t>OVIEDO</t>
    </r>
  </si>
  <si>
    <r>
      <rPr>
        <sz val="5"/>
        <rFont val="Arial"/>
        <family val="2"/>
      </rPr>
      <t>PIO XII</t>
    </r>
  </si>
  <si>
    <r>
      <rPr>
        <sz val="5"/>
        <rFont val="Arial"/>
        <family val="2"/>
      </rPr>
      <t>SAN JOSE OCCIDENTAL</t>
    </r>
  </si>
  <si>
    <r>
      <rPr>
        <sz val="5"/>
        <rFont val="Arial"/>
        <family val="2"/>
      </rPr>
      <t>SAN JUAN DEL CASTILLO</t>
    </r>
  </si>
  <si>
    <r>
      <rPr>
        <sz val="5"/>
        <rFont val="Arial"/>
        <family val="2"/>
      </rPr>
      <t>SANTA CATALINA SECTOR I Y II</t>
    </r>
  </si>
  <si>
    <r>
      <rPr>
        <sz val="5"/>
        <rFont val="Arial"/>
        <family val="2"/>
      </rPr>
      <t>SANTA CECILIA</t>
    </r>
  </si>
  <si>
    <r>
      <rPr>
        <sz val="5"/>
        <rFont val="Arial"/>
        <family val="2"/>
      </rPr>
      <t>URB. CASTILLA</t>
    </r>
  </si>
  <si>
    <r>
      <rPr>
        <sz val="5"/>
        <rFont val="Arial"/>
        <family val="2"/>
      </rPr>
      <t>URB. CASTILLA LOS MADRILES</t>
    </r>
  </si>
  <si>
    <r>
      <rPr>
        <sz val="5"/>
        <rFont val="Arial"/>
        <family val="2"/>
      </rPr>
      <t>URBANIZACION BAVARIA</t>
    </r>
  </si>
  <si>
    <r>
      <rPr>
        <sz val="5"/>
        <rFont val="Arial"/>
        <family val="2"/>
      </rPr>
      <t>URBANIZACION CASTILLA LA NUEVA</t>
    </r>
  </si>
  <si>
    <r>
      <rPr>
        <sz val="5"/>
        <rFont val="Arial"/>
        <family val="2"/>
      </rPr>
      <t>URBANIZACION CASTILLA LOS MANDRILES</t>
    </r>
  </si>
  <si>
    <r>
      <rPr>
        <sz val="5"/>
        <rFont val="Arial"/>
        <family val="2"/>
      </rPr>
      <t>URBANIZACION CASTILLA REAL</t>
    </r>
  </si>
  <si>
    <r>
      <rPr>
        <sz val="5"/>
        <rFont val="Arial"/>
        <family val="2"/>
      </rPr>
      <t>SANTA PAZ-SANTA ELVIRA</t>
    </r>
  </si>
  <si>
    <r>
      <rPr>
        <sz val="5"/>
        <rFont val="Arial"/>
        <family val="2"/>
      </rPr>
      <t>VEREDA EL TINTAL</t>
    </r>
  </si>
  <si>
    <r>
      <rPr>
        <sz val="5"/>
        <rFont val="Arial"/>
        <family val="2"/>
      </rPr>
      <t>URBANIZACION UNIR UNO (PREDIO CALANDAIMA)</t>
    </r>
  </si>
  <si>
    <r>
      <rPr>
        <sz val="5"/>
        <rFont val="Arial"/>
        <family val="2"/>
      </rPr>
      <t>CALANDAIMA</t>
    </r>
  </si>
  <si>
    <r>
      <rPr>
        <sz val="5"/>
        <rFont val="Arial"/>
        <family val="2"/>
      </rPr>
      <t>CONJUNTO RESIDENCIAL PRADOS DE CASTILLA I, II Y</t>
    </r>
  </si>
  <si>
    <r>
      <rPr>
        <sz val="5"/>
        <rFont val="Arial"/>
        <family val="2"/>
      </rPr>
      <t>GALAN</t>
    </r>
  </si>
  <si>
    <r>
      <rPr>
        <sz val="5"/>
        <rFont val="Arial"/>
        <family val="2"/>
      </rPr>
      <t>SANTA FE DEL TINTAL</t>
    </r>
  </si>
  <si>
    <r>
      <rPr>
        <sz val="5"/>
        <rFont val="Arial"/>
        <family val="2"/>
      </rPr>
      <t>TINTALA</t>
    </r>
  </si>
  <si>
    <r>
      <rPr>
        <sz val="5"/>
        <rFont val="Arial"/>
        <family val="2"/>
      </rPr>
      <t>AMPARO CAÑIZARES</t>
    </r>
  </si>
  <si>
    <r>
      <rPr>
        <sz val="5"/>
        <rFont val="Arial"/>
        <family val="2"/>
      </rPr>
      <t>CHUCUA DE LA VACA</t>
    </r>
  </si>
  <si>
    <r>
      <rPr>
        <sz val="5"/>
        <rFont val="Arial"/>
        <family val="2"/>
      </rPr>
      <t>EL AMPARO</t>
    </r>
  </si>
  <si>
    <r>
      <rPr>
        <sz val="5"/>
        <rFont val="Arial"/>
        <family val="2"/>
      </rPr>
      <t>EL LLANITO</t>
    </r>
  </si>
  <si>
    <r>
      <rPr>
        <sz val="5"/>
        <rFont val="Arial"/>
        <family val="2"/>
      </rPr>
      <t>EL OLIVO</t>
    </r>
  </si>
  <si>
    <r>
      <rPr>
        <sz val="5"/>
        <rFont val="Arial"/>
        <family val="2"/>
      </rPr>
      <t>EL PORTAL DE PATIO BONITO</t>
    </r>
  </si>
  <si>
    <r>
      <rPr>
        <sz val="5"/>
        <rFont val="Arial"/>
        <family val="2"/>
      </rPr>
      <t>EL SAUCEDAL</t>
    </r>
  </si>
  <si>
    <r>
      <rPr>
        <sz val="5"/>
        <rFont val="Arial"/>
        <family val="2"/>
      </rPr>
      <t>LA CONCORDIA</t>
    </r>
  </si>
  <si>
    <r>
      <rPr>
        <sz val="5"/>
        <rFont val="Arial"/>
        <family val="2"/>
      </rPr>
      <t>LA ESPERANZA</t>
    </r>
  </si>
  <si>
    <r>
      <rPr>
        <sz val="5"/>
        <rFont val="Arial"/>
        <family val="2"/>
      </rPr>
      <t>LLANO GRANDE</t>
    </r>
  </si>
  <si>
    <r>
      <rPr>
        <sz val="5"/>
        <rFont val="Arial"/>
        <family val="2"/>
      </rPr>
      <t>MARIA PAZ</t>
    </r>
  </si>
  <si>
    <r>
      <rPr>
        <sz val="5"/>
        <rFont val="Arial"/>
        <family val="2"/>
      </rPr>
      <t>PINAR DEL RIO</t>
    </r>
  </si>
  <si>
    <r>
      <rPr>
        <sz val="5"/>
        <rFont val="Arial"/>
        <family val="2"/>
      </rPr>
      <t>PINAR DEL RIO II</t>
    </r>
  </si>
  <si>
    <r>
      <rPr>
        <sz val="5"/>
        <rFont val="Arial"/>
        <family val="2"/>
      </rPr>
      <t>SAN CARLOS</t>
    </r>
  </si>
  <si>
    <r>
      <rPr>
        <sz val="5"/>
        <rFont val="Arial"/>
        <family val="2"/>
      </rPr>
      <t>VILLA DE LA LOMA</t>
    </r>
  </si>
  <si>
    <r>
      <rPr>
        <sz val="5"/>
        <rFont val="Arial"/>
        <family val="2"/>
      </rPr>
      <t>VILLA DE LA LOMA II SECTOR MZ.31 y 32</t>
    </r>
  </si>
  <si>
    <r>
      <rPr>
        <sz val="5"/>
        <rFont val="Arial"/>
        <family val="2"/>
      </rPr>
      <t>VILLA DE LA TORRE</t>
    </r>
  </si>
  <si>
    <r>
      <rPr>
        <sz val="5"/>
        <rFont val="Arial"/>
        <family val="2"/>
      </rPr>
      <t>VILLA EMILIA, AMPARO II SECTOR</t>
    </r>
  </si>
  <si>
    <r>
      <rPr>
        <sz val="5"/>
        <rFont val="Arial"/>
        <family val="2"/>
      </rPr>
      <t>VILLA NELLY</t>
    </r>
  </si>
  <si>
    <r>
      <rPr>
        <sz val="5"/>
        <rFont val="Arial"/>
        <family val="2"/>
      </rPr>
      <t>VILLA NELLY - LOS ALISOS</t>
    </r>
  </si>
  <si>
    <r>
      <rPr>
        <sz val="5"/>
        <rFont val="Arial"/>
        <family val="2"/>
      </rPr>
      <t>VISTA HERMOSA (PORTAL PATIO BONITO)</t>
    </r>
  </si>
  <si>
    <r>
      <rPr>
        <sz val="5"/>
        <rFont val="Arial"/>
        <family val="2"/>
      </rPr>
      <t>ALFONSO LOPEZ MICHELSEN</t>
    </r>
  </si>
  <si>
    <r>
      <rPr>
        <sz val="5"/>
        <rFont val="Arial"/>
        <family val="2"/>
      </rPr>
      <t>BRITALITA</t>
    </r>
  </si>
  <si>
    <r>
      <rPr>
        <sz val="5"/>
        <rFont val="Arial"/>
        <family val="2"/>
      </rPr>
      <t>CALARCA</t>
    </r>
  </si>
  <si>
    <r>
      <rPr>
        <sz val="5"/>
        <rFont val="Arial"/>
        <family val="2"/>
      </rPr>
      <t>CALARCA II</t>
    </r>
  </si>
  <si>
    <r>
      <rPr>
        <sz val="5"/>
        <rFont val="Arial"/>
        <family val="2"/>
      </rPr>
      <t>CASA BLANCA SUR</t>
    </r>
  </si>
  <si>
    <r>
      <rPr>
        <sz val="5"/>
        <rFont val="Arial"/>
        <family val="2"/>
      </rPr>
      <t>CLASS</t>
    </r>
  </si>
  <si>
    <r>
      <rPr>
        <sz val="5"/>
        <rFont val="Arial"/>
        <family val="2"/>
      </rPr>
      <t>EL ALMENAR</t>
    </r>
  </si>
  <si>
    <r>
      <rPr>
        <sz val="5"/>
        <rFont val="Arial"/>
        <family val="2"/>
      </rPr>
      <t>EL CARMELO</t>
    </r>
  </si>
  <si>
    <r>
      <rPr>
        <sz val="5"/>
        <rFont val="Arial"/>
        <family val="2"/>
      </rPr>
      <t>GRAN BRITALIA</t>
    </r>
  </si>
  <si>
    <r>
      <rPr>
        <sz val="5"/>
        <rFont val="Arial"/>
        <family val="2"/>
      </rPr>
      <t>PASTRANITA I SECTOR</t>
    </r>
  </si>
  <si>
    <r>
      <rPr>
        <sz val="5"/>
        <rFont val="Arial"/>
        <family val="2"/>
      </rPr>
      <t>SANTA MARIA DE KENNEDY</t>
    </r>
  </si>
  <si>
    <r>
      <rPr>
        <sz val="5"/>
        <rFont val="Arial"/>
        <family val="2"/>
      </rPr>
      <t>VEGAS DE SANTA ANA</t>
    </r>
  </si>
  <si>
    <r>
      <rPr>
        <sz val="5"/>
        <rFont val="Arial"/>
        <family val="2"/>
      </rPr>
      <t>VILLA ANDREA</t>
    </r>
  </si>
  <si>
    <r>
      <rPr>
        <sz val="5"/>
        <rFont val="Arial"/>
        <family val="2"/>
      </rPr>
      <t>VILLA ANITA</t>
    </r>
  </si>
  <si>
    <r>
      <rPr>
        <sz val="5"/>
        <rFont val="Arial"/>
        <family val="2"/>
      </rPr>
      <t>VILLA CLEMENCIA SECTOR VILLA GRATA</t>
    </r>
  </si>
  <si>
    <r>
      <rPr>
        <sz val="5"/>
        <rFont val="Arial"/>
        <family val="2"/>
      </rPr>
      <t>VILLA ZARZAMORA</t>
    </r>
  </si>
  <si>
    <r>
      <rPr>
        <sz val="5"/>
        <rFont val="Arial"/>
        <family val="2"/>
      </rPr>
      <t>VILLAS DE KENNEDY</t>
    </r>
  </si>
  <si>
    <r>
      <rPr>
        <sz val="5"/>
        <rFont val="Arial"/>
        <family val="2"/>
      </rPr>
      <t>ALTAMAR</t>
    </r>
  </si>
  <si>
    <r>
      <rPr>
        <sz val="5"/>
        <rFont val="Arial"/>
        <family val="2"/>
      </rPr>
      <t>AVENIDA CUNDINAMARCA</t>
    </r>
  </si>
  <si>
    <r>
      <rPr>
        <sz val="5"/>
        <rFont val="Arial"/>
        <family val="2"/>
      </rPr>
      <t>BARRANQUILLITA</t>
    </r>
  </si>
  <si>
    <r>
      <rPr>
        <sz val="5"/>
        <rFont val="Arial"/>
        <family val="2"/>
      </rPr>
      <t>BELLAVISTA</t>
    </r>
  </si>
  <si>
    <r>
      <rPr>
        <sz val="5"/>
        <rFont val="Arial"/>
        <family val="2"/>
      </rPr>
      <t>CAMPO HERMOSO</t>
    </r>
  </si>
  <si>
    <r>
      <rPr>
        <sz val="5"/>
        <rFont val="Arial"/>
        <family val="2"/>
      </rPr>
      <t>CIUDAD DE CALI</t>
    </r>
  </si>
  <si>
    <r>
      <rPr>
        <sz val="5"/>
        <rFont val="Arial"/>
        <family val="2"/>
      </rPr>
      <t>CIUDAD GALAN</t>
    </r>
  </si>
  <si>
    <r>
      <rPr>
        <sz val="5"/>
        <rFont val="Arial"/>
        <family val="2"/>
      </rPr>
      <t>CIUDAD GRANADA</t>
    </r>
  </si>
  <si>
    <r>
      <rPr>
        <sz val="5"/>
        <rFont val="Arial"/>
        <family val="2"/>
      </rPr>
      <t>DINDALITO</t>
    </r>
  </si>
  <si>
    <r>
      <rPr>
        <sz val="5"/>
        <rFont val="Arial"/>
        <family val="2"/>
      </rPr>
      <t>EL PATIO III SECTOR</t>
    </r>
  </si>
  <si>
    <r>
      <rPr>
        <sz val="5"/>
        <rFont val="Arial"/>
        <family val="2"/>
      </rPr>
      <t>EL ROSARIO</t>
    </r>
  </si>
  <si>
    <r>
      <rPr>
        <sz val="5"/>
        <rFont val="Arial"/>
        <family val="2"/>
      </rPr>
      <t>EL ROSARIO III</t>
    </r>
  </si>
  <si>
    <r>
      <rPr>
        <sz val="5"/>
        <rFont val="Arial"/>
        <family val="2"/>
      </rPr>
      <t>HORIZONTE OCCIDENTE</t>
    </r>
  </si>
  <si>
    <r>
      <rPr>
        <sz val="5"/>
        <rFont val="Arial"/>
        <family val="2"/>
      </rPr>
      <t>JAZMIN OCCIDENTAL</t>
    </r>
  </si>
  <si>
    <r>
      <rPr>
        <sz val="5"/>
        <rFont val="Arial"/>
        <family val="2"/>
      </rPr>
      <t>LA RIVERA</t>
    </r>
  </si>
  <si>
    <r>
      <rPr>
        <sz val="5"/>
        <rFont val="Arial"/>
        <family val="2"/>
      </rPr>
      <t>LA RIVERA II SECTOR</t>
    </r>
  </si>
  <si>
    <r>
      <rPr>
        <sz val="5"/>
        <rFont val="Arial"/>
        <family val="2"/>
      </rPr>
      <t>LAS PALMERAS</t>
    </r>
  </si>
  <si>
    <r>
      <rPr>
        <sz val="5"/>
        <rFont val="Arial"/>
        <family val="2"/>
      </rPr>
      <t>LAS PALMITAS</t>
    </r>
  </si>
  <si>
    <r>
      <rPr>
        <sz val="5"/>
        <rFont val="Arial"/>
        <family val="2"/>
      </rPr>
      <t>LAS VEGAS</t>
    </r>
  </si>
  <si>
    <r>
      <rPr>
        <sz val="5"/>
        <rFont val="Arial"/>
        <family val="2"/>
      </rPr>
      <t>LOS ALMENDROS</t>
    </r>
  </si>
  <si>
    <r>
      <rPr>
        <sz val="5"/>
        <rFont val="Arial"/>
        <family val="2"/>
      </rPr>
      <t>NUEVA ESPERANZA</t>
    </r>
  </si>
  <si>
    <r>
      <rPr>
        <sz val="5"/>
        <rFont val="Arial"/>
        <family val="2"/>
      </rPr>
      <t>PARQUES DEL TINTAL (CAMPO ALEGRE LONDOÑO)</t>
    </r>
  </si>
  <si>
    <r>
      <rPr>
        <sz val="5"/>
        <rFont val="Arial"/>
        <family val="2"/>
      </rPr>
      <t>PATIO BONITO I</t>
    </r>
  </si>
  <si>
    <r>
      <rPr>
        <sz val="5"/>
        <rFont val="Arial"/>
        <family val="2"/>
      </rPr>
      <t>PATIO BONITO II SECTOR</t>
    </r>
  </si>
  <si>
    <r>
      <rPr>
        <sz val="5"/>
        <rFont val="Arial"/>
        <family val="2"/>
      </rPr>
      <t>PUENTE LA VEGA</t>
    </r>
  </si>
  <si>
    <r>
      <rPr>
        <sz val="5"/>
        <rFont val="Arial"/>
        <family val="2"/>
      </rPr>
      <t>SAN DIONISIO</t>
    </r>
  </si>
  <si>
    <r>
      <rPr>
        <sz val="5"/>
        <rFont val="Arial"/>
        <family val="2"/>
      </rPr>
      <t>SAN MARINO</t>
    </r>
  </si>
  <si>
    <r>
      <rPr>
        <sz val="5"/>
        <rFont val="Arial"/>
        <family val="2"/>
      </rPr>
      <t>SANTA MONICA</t>
    </r>
  </si>
  <si>
    <r>
      <rPr>
        <sz val="5"/>
        <rFont val="Arial"/>
        <family val="2"/>
      </rPr>
      <t>SECTOR II ALTAMAR</t>
    </r>
  </si>
  <si>
    <r>
      <rPr>
        <sz val="5"/>
        <rFont val="Arial"/>
        <family val="2"/>
      </rPr>
      <t>SUMAPAZ</t>
    </r>
  </si>
  <si>
    <r>
      <rPr>
        <sz val="5"/>
        <rFont val="Arial"/>
        <family val="2"/>
      </rPr>
      <t>TAYRONA</t>
    </r>
  </si>
  <si>
    <r>
      <rPr>
        <sz val="5"/>
        <rFont val="Arial"/>
        <family val="2"/>
      </rPr>
      <t>TINTALITO</t>
    </r>
  </si>
  <si>
    <r>
      <rPr>
        <sz val="5"/>
        <rFont val="Arial"/>
        <family val="2"/>
      </rPr>
      <t>TINTALITO II</t>
    </r>
  </si>
  <si>
    <r>
      <rPr>
        <sz val="5"/>
        <rFont val="Arial"/>
        <family val="2"/>
      </rPr>
      <t>TOCAREMA</t>
    </r>
  </si>
  <si>
    <r>
      <rPr>
        <sz val="5"/>
        <rFont val="Arial"/>
        <family val="2"/>
      </rPr>
      <t>URBANIZACION DINDALITO I ETAPA</t>
    </r>
  </si>
  <si>
    <r>
      <rPr>
        <sz val="5"/>
        <rFont val="Arial"/>
        <family val="2"/>
      </rPr>
      <t>VILLA ALEXANDRA</t>
    </r>
  </si>
  <si>
    <r>
      <rPr>
        <sz val="5"/>
        <rFont val="Arial"/>
        <family val="2"/>
      </rPr>
      <t>VILLA ANDRES</t>
    </r>
  </si>
  <si>
    <r>
      <rPr>
        <sz val="5"/>
        <rFont val="Arial"/>
        <family val="2"/>
      </rPr>
      <t>VILLA HERMOSA</t>
    </r>
  </si>
  <si>
    <r>
      <rPr>
        <sz val="5"/>
        <rFont val="Arial"/>
        <family val="2"/>
      </rPr>
      <t>VILLA MENDOZA</t>
    </r>
  </si>
  <si>
    <r>
      <rPr>
        <sz val="5"/>
        <rFont val="Arial"/>
        <family val="2"/>
      </rPr>
      <t>LAS MARGARITAS</t>
    </r>
  </si>
  <si>
    <r>
      <rPr>
        <sz val="5"/>
        <rFont val="Arial"/>
        <family val="2"/>
      </rPr>
      <t>OSORIO XI</t>
    </r>
  </si>
  <si>
    <r>
      <rPr>
        <sz val="5"/>
        <rFont val="Arial"/>
        <family val="2"/>
      </rPr>
      <t>OSORIO XII</t>
    </r>
  </si>
  <si>
    <r>
      <rPr>
        <sz val="5"/>
        <rFont val="Arial"/>
        <family val="2"/>
      </rPr>
      <t>ALOHA</t>
    </r>
  </si>
  <si>
    <r>
      <rPr>
        <sz val="5"/>
        <rFont val="Arial"/>
        <family val="2"/>
      </rPr>
      <t>ALSACIA</t>
    </r>
  </si>
  <si>
    <t>URBANIZACION CASTILLA RESERVADO</t>
  </si>
  <si>
    <t>URBANIZACION CATANIA</t>
  </si>
  <si>
    <t>URBANIZACION CATANIA CASTILLA</t>
  </si>
  <si>
    <t>URBANIZACION PIO XII</t>
  </si>
  <si>
    <t>VALLADOLID</t>
  </si>
  <si>
    <t>VILLA ALSACIA</t>
  </si>
  <si>
    <t>VILLA CASTILLA</t>
  </si>
  <si>
    <t>VILLA GALANTE</t>
  </si>
  <si>
    <t>VILLA LILIANA</t>
  </si>
  <si>
    <t>VILLA MARIANA</t>
  </si>
  <si>
    <t>VISION DE COLOMBIA</t>
  </si>
  <si>
    <t>ABRAHAM LINCOLN</t>
  </si>
  <si>
    <t>AGRUP. FRANCISCO JOSE DE CALDAS.</t>
  </si>
  <si>
    <t>AGRUPACION DE VIVIENDA EL PARAISO</t>
  </si>
  <si>
    <t>CASA BLANCA I ETAPA</t>
  </si>
  <si>
    <t>CASA BLANCA II ETAPA</t>
  </si>
  <si>
    <t>CENTRO CIVICO CIUDAD KENNEDY</t>
  </si>
  <si>
    <t>CIUDAD KENNEDY CENTRAL</t>
  </si>
  <si>
    <t>CIUDAD KENNEDY NORTE</t>
  </si>
  <si>
    <t>CIUDAD KENNEDY OCCIDENTAL</t>
  </si>
  <si>
    <t>CIUDAD KENNEDY ORIENTAL</t>
  </si>
  <si>
    <t>CIUDAD KENNEDY SUPER MZ. 10</t>
  </si>
  <si>
    <t>CIUDAD KENNEDY SUPER MZ. 13</t>
  </si>
  <si>
    <t>CIUDAD KENNEDY SUR</t>
  </si>
  <si>
    <t>CONJUNTO RESIDENCIA MANUEL MEJIA</t>
  </si>
  <si>
    <t>EL DESCANSO</t>
  </si>
  <si>
    <t>KENNEDY NORTE SUPER MZ.11</t>
  </si>
  <si>
    <t>KENNEDY OCCIDENTAL MZ. 14</t>
  </si>
  <si>
    <t>KENNEDY OCCIDENTAL MZ.15</t>
  </si>
  <si>
    <t>KENNEDY ORIENTAL SUPER MZ. 3</t>
  </si>
  <si>
    <t>KENNEDY ORIENTAL SUPER MZ. 6</t>
  </si>
  <si>
    <t>KENNEDY ORIENTAL SUPER MZ.2</t>
  </si>
  <si>
    <t>KENNEDY ORIENTAL SUPER MZ.5</t>
  </si>
  <si>
    <t>KENNEDY SUPERMANZANA I</t>
  </si>
  <si>
    <t>LA GIRALDILLA</t>
  </si>
  <si>
    <t>LA GIRALDILLA II</t>
  </si>
  <si>
    <t>MIRAFLORES KENNEDY</t>
  </si>
  <si>
    <t>MULTIFAMILIAR TECHO</t>
  </si>
  <si>
    <t>NUEVO KENNEDY</t>
  </si>
  <si>
    <t>NVO. KENNEDY EL DESCANSO</t>
  </si>
  <si>
    <t>ONASIS</t>
  </si>
  <si>
    <t>PASTRANA</t>
  </si>
  <si>
    <t>SUPERMANZANA 16</t>
  </si>
  <si>
    <t>SUPERMANZANA 9B</t>
  </si>
  <si>
    <t>TECHO</t>
  </si>
  <si>
    <t>UNIDAD RESIDENCIAL AYACUCHO 2 S.MZ</t>
  </si>
  <si>
    <t>URB. KENNEDY SUPER MZ.8</t>
  </si>
  <si>
    <t>URB. MANDALAY ETAPA C ZONA 73</t>
  </si>
  <si>
    <t>URBANIZACION ARBOLETE CASABLANCA</t>
  </si>
  <si>
    <t>URBANIZACION BANDERAS</t>
  </si>
  <si>
    <t>URBANIZACION EXPERIMENTAL KENNEDY</t>
  </si>
  <si>
    <t>URBANIZACION SINAI</t>
  </si>
  <si>
    <t>ACIP</t>
  </si>
  <si>
    <t>ALAMEDA DE TIMIZA</t>
  </si>
  <si>
    <t>ALFONSO MONTAÑA</t>
  </si>
  <si>
    <t>BERLIN</t>
  </si>
  <si>
    <t>BOITA</t>
  </si>
  <si>
    <t>BOITA I SECTOR</t>
  </si>
  <si>
    <t>BOITA II SECTOR</t>
  </si>
  <si>
    <t>CASA LOMA</t>
  </si>
  <si>
    <t>CATALINA</t>
  </si>
  <si>
    <t>CATALINA II</t>
  </si>
  <si>
    <t>EL COMITÉ</t>
  </si>
  <si>
    <t>EL JORDAN</t>
  </si>
  <si>
    <t>EL JORDAN II Y III</t>
  </si>
  <si>
    <t>EL PALENQUE</t>
  </si>
  <si>
    <t>EL PORVENIR II SECTOR</t>
  </si>
  <si>
    <t>EL PORVENIR MZ. A</t>
  </si>
  <si>
    <t>EL RUBI</t>
  </si>
  <si>
    <t>JACQUELINE</t>
  </si>
  <si>
    <t>JUAN PABLO I</t>
  </si>
  <si>
    <t>LA CECILIA</t>
  </si>
  <si>
    <t>LA UNIDAD</t>
  </si>
  <si>
    <t>LAGO TIMIZA I Y II ETAPA</t>
  </si>
  <si>
    <t>LAS LUCES</t>
  </si>
  <si>
    <t>MORABIA II</t>
  </si>
  <si>
    <t>NUEVA TIMIZA</t>
  </si>
  <si>
    <t>NUEVO TIMIZA</t>
  </si>
  <si>
    <t>ONASSIS</t>
  </si>
  <si>
    <t>PASTRANITA II SECTOR</t>
  </si>
  <si>
    <t>PERPETUO SOCORRO</t>
  </si>
  <si>
    <t>PERPETUO SOCORRO II</t>
  </si>
  <si>
    <t>PRADOS DE KENNEDY</t>
  </si>
  <si>
    <t>RENANIA URAPANES</t>
  </si>
  <si>
    <t>ROMA</t>
  </si>
  <si>
    <t>ROMA II (URB. BERTHA HERNANDEZ DE OSPINA)</t>
  </si>
  <si>
    <t>SAGRADO CORAZON</t>
  </si>
  <si>
    <t>SAN MARTIN DE PORRES</t>
  </si>
  <si>
    <t>SANTA CATALINA</t>
  </si>
  <si>
    <t>TIMIZA</t>
  </si>
  <si>
    <t>TONOLI</t>
  </si>
  <si>
    <t>TUNDAMA</t>
  </si>
  <si>
    <t>URB. BERTHA HERNANDEZ DE OSPINA</t>
  </si>
  <si>
    <t>URB. CATALINA</t>
  </si>
  <si>
    <t>URBANIZACION EL PARQUE</t>
  </si>
  <si>
    <t>URBANIZACION SANTA LUISA</t>
  </si>
  <si>
    <t>VASCONIA II</t>
  </si>
  <si>
    <t>VILLA DE LOS SAUCES</t>
  </si>
  <si>
    <t>VILLA RICA</t>
  </si>
  <si>
    <t>ATICOS DE LAS AMERICAS</t>
  </si>
  <si>
    <t>COOPERATIVA DE SUBOFICIALES</t>
  </si>
  <si>
    <t>LOS PINOS DE MARSELLA</t>
  </si>
  <si>
    <t>LUCITANIA</t>
  </si>
  <si>
    <t>MARSELLA</t>
  </si>
  <si>
    <t>MARSELLA SECTOR NORTE I Y II ETAPA</t>
  </si>
  <si>
    <t>MULTIFAMILIARES LA PAZ EL FERROL</t>
  </si>
  <si>
    <t>UNIDAD OVIEDO</t>
  </si>
  <si>
    <r>
      <rPr>
        <sz val="5.5"/>
        <rFont val="Arial"/>
        <family val="2"/>
      </rPr>
      <t>ARABIA</t>
    </r>
  </si>
  <si>
    <r>
      <rPr>
        <sz val="5.5"/>
        <rFont val="Arial"/>
        <family val="2"/>
      </rPr>
      <t>ATAHUALPA</t>
    </r>
  </si>
  <si>
    <r>
      <rPr>
        <sz val="5.5"/>
        <rFont val="Arial"/>
        <family val="2"/>
      </rPr>
      <t>BAHIA SOLANO</t>
    </r>
  </si>
  <si>
    <r>
      <rPr>
        <sz val="5.5"/>
        <rFont val="Arial"/>
        <family val="2"/>
      </rPr>
      <t>BATAVIA</t>
    </r>
  </si>
  <si>
    <r>
      <rPr>
        <sz val="5.5"/>
        <rFont val="Arial"/>
        <family val="2"/>
      </rPr>
      <t>BELEN</t>
    </r>
  </si>
  <si>
    <r>
      <rPr>
        <sz val="5.5"/>
        <rFont val="Arial"/>
        <family val="2"/>
      </rPr>
      <t>BETANIA</t>
    </r>
  </si>
  <si>
    <r>
      <rPr>
        <sz val="5.5"/>
        <rFont val="Arial"/>
        <family val="2"/>
      </rPr>
      <t>CENTENARIO</t>
    </r>
  </si>
  <si>
    <r>
      <rPr>
        <sz val="5.5"/>
        <rFont val="Arial"/>
        <family val="2"/>
      </rPr>
      <t>COFRADIA</t>
    </r>
  </si>
  <si>
    <r>
      <rPr>
        <sz val="5.5"/>
        <rFont val="Arial"/>
        <family val="2"/>
      </rPr>
      <t>EL CARMEN</t>
    </r>
  </si>
  <si>
    <r>
      <rPr>
        <sz val="5.5"/>
        <rFont val="Arial"/>
        <family val="2"/>
      </rPr>
      <t>EL CUCO</t>
    </r>
  </si>
  <si>
    <r>
      <rPr>
        <sz val="5.5"/>
        <rFont val="Arial"/>
        <family val="2"/>
      </rPr>
      <t>EL CUCO (LA ESTANCIA)</t>
    </r>
  </si>
  <si>
    <r>
      <rPr>
        <sz val="5.5"/>
        <rFont val="Arial"/>
        <family val="2"/>
      </rPr>
      <t>EL GUADUAL</t>
    </r>
  </si>
  <si>
    <r>
      <rPr>
        <sz val="5.5"/>
        <rFont val="Arial"/>
        <family val="2"/>
      </rPr>
      <t>EL JORDAN</t>
    </r>
  </si>
  <si>
    <r>
      <rPr>
        <sz val="5.5"/>
        <rFont val="Arial"/>
        <family val="2"/>
      </rPr>
      <t>EL PEDREGAL</t>
    </r>
  </si>
  <si>
    <r>
      <rPr>
        <sz val="5.5"/>
        <rFont val="Arial"/>
        <family val="2"/>
      </rPr>
      <t>EL RUBI</t>
    </r>
  </si>
  <si>
    <r>
      <rPr>
        <sz val="5.5"/>
        <rFont val="Arial"/>
        <family val="2"/>
      </rPr>
      <t>EL TAPETE</t>
    </r>
  </si>
  <si>
    <r>
      <rPr>
        <sz val="5.5"/>
        <rFont val="Arial"/>
        <family val="2"/>
      </rPr>
      <t>FERROCAJA</t>
    </r>
  </si>
  <si>
    <r>
      <rPr>
        <sz val="5.5"/>
        <rFont val="Arial"/>
        <family val="2"/>
      </rPr>
      <t>FLANDES</t>
    </r>
  </si>
  <si>
    <r>
      <rPr>
        <sz val="5.5"/>
        <rFont val="Arial"/>
        <family val="2"/>
      </rPr>
      <t>FONTIBON CENTRO</t>
    </r>
  </si>
  <si>
    <r>
      <rPr>
        <sz val="5.5"/>
        <rFont val="Arial"/>
        <family val="2"/>
      </rPr>
      <t>LA CABANA</t>
    </r>
  </si>
  <si>
    <r>
      <rPr>
        <sz val="5.5"/>
        <rFont val="Arial"/>
        <family val="2"/>
      </rPr>
      <t>LA GIRALDA</t>
    </r>
  </si>
  <si>
    <r>
      <rPr>
        <sz val="5.5"/>
        <rFont val="Arial"/>
        <family val="2"/>
      </rPr>
      <t>LA LAGUNA</t>
    </r>
  </si>
  <si>
    <r>
      <rPr>
        <sz val="5.5"/>
        <rFont val="Arial"/>
        <family val="2"/>
      </rPr>
      <t>LAS FLORES</t>
    </r>
  </si>
  <si>
    <r>
      <rPr>
        <sz val="5.5"/>
        <rFont val="Arial"/>
        <family val="2"/>
      </rPr>
      <t>PALESTINA</t>
    </r>
  </si>
  <si>
    <r>
      <rPr>
        <sz val="5.5"/>
        <rFont val="Arial"/>
        <family val="2"/>
      </rPr>
      <t>RINCON SANTO</t>
    </r>
  </si>
  <si>
    <r>
      <rPr>
        <sz val="5.5"/>
        <rFont val="Arial"/>
        <family val="2"/>
      </rPr>
      <t>SALAMANCA</t>
    </r>
  </si>
  <si>
    <r>
      <rPr>
        <sz val="5.5"/>
        <rFont val="Arial"/>
        <family val="2"/>
      </rPr>
      <t>SAN PEDRO LOS ROBLES</t>
    </r>
  </si>
  <si>
    <r>
      <rPr>
        <sz val="5.5"/>
        <rFont val="Arial"/>
        <family val="2"/>
      </rPr>
      <t>TORCOROMA</t>
    </r>
  </si>
  <si>
    <r>
      <rPr>
        <sz val="5.5"/>
        <rFont val="Arial"/>
        <family val="2"/>
      </rPr>
      <t>UNIDAD RESIDENCIAL MONTECARLO</t>
    </r>
  </si>
  <si>
    <r>
      <rPr>
        <sz val="5.5"/>
        <rFont val="Arial"/>
        <family val="2"/>
      </rPr>
      <t>VALLE VERDE</t>
    </r>
  </si>
  <si>
    <r>
      <rPr>
        <sz val="5.5"/>
        <rFont val="Arial"/>
        <family val="2"/>
      </rPr>
      <t>VERACRUZ</t>
    </r>
  </si>
  <si>
    <r>
      <rPr>
        <sz val="5.5"/>
        <rFont val="Arial"/>
        <family val="2"/>
      </rPr>
      <t>VERSALLES</t>
    </r>
  </si>
  <si>
    <r>
      <rPr>
        <sz val="5.5"/>
        <rFont val="Arial"/>
        <family val="2"/>
      </rPr>
      <t>VILLA BEATRIZ</t>
    </r>
  </si>
  <si>
    <r>
      <rPr>
        <sz val="5.5"/>
        <rFont val="Arial"/>
        <family val="2"/>
      </rPr>
      <t>VILLA CARMENZA</t>
    </r>
  </si>
  <si>
    <r>
      <rPr>
        <sz val="5.5"/>
        <rFont val="Arial"/>
        <family val="2"/>
      </rPr>
      <t>VILLEMAR</t>
    </r>
  </si>
  <si>
    <r>
      <rPr>
        <sz val="5.5"/>
        <rFont val="Arial"/>
        <family val="2"/>
      </rPr>
      <t>AMBALEMA</t>
    </r>
  </si>
  <si>
    <r>
      <rPr>
        <sz val="5.5"/>
        <rFont val="Arial"/>
        <family val="2"/>
      </rPr>
      <t>BOHIOS</t>
    </r>
  </si>
  <si>
    <r>
      <rPr>
        <sz val="5.5"/>
        <rFont val="Arial"/>
        <family val="2"/>
      </rPr>
      <t>EL PORTAL</t>
    </r>
  </si>
  <si>
    <r>
      <rPr>
        <sz val="5.5"/>
        <rFont val="Arial"/>
        <family val="2"/>
      </rPr>
      <t>EL REFUGIO</t>
    </r>
  </si>
  <si>
    <r>
      <rPr>
        <sz val="5.5"/>
        <rFont val="Arial"/>
        <family val="2"/>
      </rPr>
      <t>EL TRIANGULO</t>
    </r>
  </si>
  <si>
    <r>
      <rPr>
        <sz val="5.5"/>
        <rFont val="Arial"/>
        <family val="2"/>
      </rPr>
      <t>FLORENCIA</t>
    </r>
  </si>
  <si>
    <r>
      <rPr>
        <sz val="5.5"/>
        <rFont val="Arial"/>
        <family val="2"/>
      </rPr>
      <t>JERICO</t>
    </r>
  </si>
  <si>
    <r>
      <rPr>
        <sz val="5.5"/>
        <rFont val="Arial"/>
        <family val="2"/>
      </rPr>
      <t>LA ALDEA</t>
    </r>
  </si>
  <si>
    <r>
      <rPr>
        <sz val="5.5"/>
        <rFont val="Arial"/>
        <family val="2"/>
      </rPr>
      <t>LA ESTACION</t>
    </r>
  </si>
  <si>
    <r>
      <rPr>
        <sz val="5.5"/>
        <rFont val="Arial"/>
        <family val="2"/>
      </rPr>
      <t>LA PERLA</t>
    </r>
  </si>
  <si>
    <r>
      <rPr>
        <sz val="5.5"/>
        <rFont val="Arial"/>
        <family val="2"/>
      </rPr>
      <t>LA ZELFITA</t>
    </r>
  </si>
  <si>
    <r>
      <rPr>
        <sz val="5.5"/>
        <rFont val="Arial"/>
        <family val="2"/>
      </rPr>
      <t>LAS BRISAS</t>
    </r>
  </si>
  <si>
    <r>
      <rPr>
        <sz val="5.5"/>
        <rFont val="Arial"/>
        <family val="2"/>
      </rPr>
      <t>PRADOS DE LA ALAMEDA</t>
    </r>
  </si>
  <si>
    <r>
      <rPr>
        <sz val="5.5"/>
        <rFont val="Arial"/>
        <family val="2"/>
      </rPr>
      <t>PUENTE GRANDE</t>
    </r>
  </si>
  <si>
    <r>
      <rPr>
        <sz val="5.5"/>
        <rFont val="Arial"/>
        <family val="2"/>
      </rPr>
      <t>SAN PABLO</t>
    </r>
  </si>
  <si>
    <r>
      <rPr>
        <sz val="5.5"/>
        <rFont val="Arial"/>
        <family val="2"/>
      </rPr>
      <t>SELVA DORADA</t>
    </r>
  </si>
  <si>
    <r>
      <rPr>
        <sz val="5.5"/>
        <rFont val="Arial"/>
        <family val="2"/>
      </rPr>
      <t>VILLA LILIANA</t>
    </r>
  </si>
  <si>
    <r>
      <rPr>
        <sz val="5.5"/>
        <rFont val="Arial"/>
        <family val="2"/>
      </rPr>
      <t>MORAVIA</t>
    </r>
  </si>
  <si>
    <r>
      <rPr>
        <sz val="5.5"/>
        <rFont val="Arial"/>
        <family val="2"/>
      </rPr>
      <t>KAZANDRA</t>
    </r>
  </si>
  <si>
    <r>
      <rPr>
        <sz val="5.5"/>
        <rFont val="Arial"/>
        <family val="2"/>
      </rPr>
      <t>CARLOS LLERAS</t>
    </r>
  </si>
  <si>
    <r>
      <rPr>
        <sz val="5.5"/>
        <rFont val="Arial"/>
        <family val="2"/>
      </rPr>
      <t>LA ESPERANZA NORTE</t>
    </r>
  </si>
  <si>
    <r>
      <rPr>
        <sz val="5.5"/>
        <rFont val="Arial"/>
        <family val="2"/>
      </rPr>
      <t>SALITRE NOR - OCCIDENTAL</t>
    </r>
  </si>
  <si>
    <r>
      <rPr>
        <sz val="5.5"/>
        <rFont val="Arial"/>
        <family val="2"/>
      </rPr>
      <t>SAUSALITO</t>
    </r>
  </si>
  <si>
    <r>
      <rPr>
        <sz val="5.5"/>
        <rFont val="Arial"/>
        <family val="2"/>
      </rPr>
      <t>EL FRANCO</t>
    </r>
  </si>
  <si>
    <r>
      <rPr>
        <sz val="5.5"/>
        <rFont val="Arial"/>
        <family val="2"/>
      </rPr>
      <t>GRANJAS DE TECHO</t>
    </r>
  </si>
  <si>
    <r>
      <rPr>
        <sz val="5.5"/>
        <rFont val="Arial"/>
        <family val="2"/>
      </rPr>
      <t>MONTEVIDEO</t>
    </r>
  </si>
  <si>
    <r>
      <rPr>
        <sz val="5.5"/>
        <rFont val="Arial"/>
        <family val="2"/>
      </rPr>
      <t>PARAISO BAVARIA</t>
    </r>
  </si>
  <si>
    <r>
      <rPr>
        <sz val="5.5"/>
        <rFont val="Arial"/>
        <family val="2"/>
      </rPr>
      <t>VISION SEMINDUSTRIAL</t>
    </r>
  </si>
  <si>
    <r>
      <rPr>
        <sz val="5.5"/>
        <rFont val="Arial"/>
        <family val="2"/>
      </rPr>
      <t>BOSQUE DE MODELIA</t>
    </r>
  </si>
  <si>
    <r>
      <rPr>
        <sz val="5.5"/>
        <rFont val="Arial"/>
        <family val="2"/>
      </rPr>
      <t>BALEARES</t>
    </r>
  </si>
  <si>
    <r>
      <rPr>
        <sz val="5.5"/>
        <rFont val="Arial"/>
        <family val="2"/>
      </rPr>
      <t>CAPELLANIA</t>
    </r>
  </si>
  <si>
    <r>
      <rPr>
        <sz val="5.5"/>
        <rFont val="Arial"/>
        <family val="2"/>
      </rPr>
      <t>EL RINCON DE MODELIA</t>
    </r>
  </si>
  <si>
    <r>
      <rPr>
        <sz val="5.5"/>
        <rFont val="Arial"/>
        <family val="2"/>
      </rPr>
      <t>FUENTES DEL DORADO</t>
    </r>
  </si>
  <si>
    <r>
      <rPr>
        <sz val="5.5"/>
        <rFont val="Arial"/>
        <family val="2"/>
      </rPr>
      <t>LA ESPERANZA</t>
    </r>
  </si>
  <si>
    <r>
      <rPr>
        <sz val="5.5"/>
        <rFont val="Arial"/>
        <family val="2"/>
      </rPr>
      <t>MALLORCA</t>
    </r>
  </si>
  <si>
    <r>
      <rPr>
        <sz val="5.5"/>
        <rFont val="Arial"/>
        <family val="2"/>
      </rPr>
      <t>MODELIA</t>
    </r>
  </si>
  <si>
    <r>
      <rPr>
        <sz val="5.5"/>
        <rFont val="Arial"/>
        <family val="2"/>
      </rPr>
      <t>MODELIA OCCIDENTAL</t>
    </r>
  </si>
  <si>
    <r>
      <rPr>
        <sz val="5.5"/>
        <rFont val="Arial"/>
        <family val="2"/>
      </rPr>
      <t>SANTA CECILIA</t>
    </r>
  </si>
  <si>
    <r>
      <rPr>
        <sz val="5.5"/>
        <rFont val="Arial"/>
        <family val="2"/>
      </rPr>
      <t>TARRAGONA</t>
    </r>
  </si>
  <si>
    <r>
      <rPr>
        <sz val="5.5"/>
        <rFont val="Arial"/>
        <family val="2"/>
      </rPr>
      <t>EL JARDIN</t>
    </r>
  </si>
  <si>
    <r>
      <rPr>
        <sz val="5.5"/>
        <rFont val="Arial"/>
        <family val="2"/>
      </rPr>
      <t>LA ROSITA</t>
    </r>
  </si>
  <si>
    <r>
      <rPr>
        <sz val="5.5"/>
        <rFont val="Arial"/>
        <family val="2"/>
      </rPr>
      <t>PUERTA DE TEJA</t>
    </r>
  </si>
  <si>
    <r>
      <rPr>
        <sz val="5.5"/>
        <rFont val="Arial"/>
        <family val="2"/>
      </rPr>
      <t>SAN JOSE</t>
    </r>
  </si>
  <si>
    <r>
      <rPr>
        <sz val="5.5"/>
        <rFont val="Arial"/>
        <family val="2"/>
      </rPr>
      <t>EL BOGOTANO</t>
    </r>
  </si>
  <si>
    <r>
      <rPr>
        <sz val="5"/>
        <rFont val="Arial"/>
        <family val="2"/>
      </rPr>
      <t>ACAPULCO</t>
    </r>
  </si>
  <si>
    <r>
      <rPr>
        <sz val="5"/>
        <rFont val="Arial"/>
        <family val="2"/>
      </rPr>
      <t>BELLAVISTA OCCIDENTAL</t>
    </r>
  </si>
  <si>
    <r>
      <rPr>
        <sz val="5"/>
        <rFont val="Arial"/>
        <family val="2"/>
      </rPr>
      <t>BONANZA</t>
    </r>
  </si>
  <si>
    <r>
      <rPr>
        <sz val="5"/>
        <rFont val="Arial"/>
        <family val="2"/>
      </rPr>
      <t>BOSQUE POPULAR</t>
    </r>
  </si>
  <si>
    <r>
      <rPr>
        <sz val="5"/>
        <rFont val="Arial"/>
        <family val="2"/>
      </rPr>
      <t>CATALUÑA</t>
    </r>
  </si>
  <si>
    <r>
      <rPr>
        <sz val="5"/>
        <rFont val="Arial"/>
        <family val="2"/>
      </rPr>
      <t>CIUDAD DE HONDA</t>
    </r>
  </si>
  <si>
    <r>
      <rPr>
        <sz val="5"/>
        <rFont val="Arial"/>
        <family val="2"/>
      </rPr>
      <t>EL DORADO SAN JOAQUIN</t>
    </r>
  </si>
  <si>
    <r>
      <rPr>
        <sz val="5"/>
        <rFont val="Arial"/>
        <family val="2"/>
      </rPr>
      <t>EL GUALI</t>
    </r>
  </si>
  <si>
    <r>
      <rPr>
        <sz val="5"/>
        <rFont val="Arial"/>
        <family val="2"/>
      </rPr>
      <t>EL LAUREL</t>
    </r>
  </si>
  <si>
    <r>
      <rPr>
        <sz val="5"/>
        <rFont val="Arial"/>
        <family val="2"/>
      </rPr>
      <t>EL PASEO</t>
    </r>
  </si>
  <si>
    <r>
      <rPr>
        <sz val="5"/>
        <rFont val="Arial"/>
        <family val="2"/>
      </rPr>
      <t>ESTRADA</t>
    </r>
  </si>
  <si>
    <r>
      <rPr>
        <sz val="5"/>
        <rFont val="Arial"/>
        <family val="2"/>
      </rPr>
      <t>LA CABAÑA</t>
    </r>
  </si>
  <si>
    <r>
      <rPr>
        <sz val="5"/>
        <rFont val="Arial"/>
        <family val="2"/>
      </rPr>
      <t>LA ESTRADITA</t>
    </r>
  </si>
  <si>
    <r>
      <rPr>
        <sz val="5"/>
        <rFont val="Arial"/>
        <family val="2"/>
      </rPr>
      <t>LA EUROPA</t>
    </r>
  </si>
  <si>
    <r>
      <rPr>
        <sz val="5"/>
        <rFont val="Arial"/>
        <family val="2"/>
      </rPr>
      <t>LA MARCELA</t>
    </r>
  </si>
  <si>
    <r>
      <rPr>
        <sz val="5"/>
        <rFont val="Arial"/>
        <family val="2"/>
      </rPr>
      <t>LA RELIQUIA</t>
    </r>
  </si>
  <si>
    <r>
      <rPr>
        <sz val="5"/>
        <rFont val="Arial"/>
        <family val="2"/>
      </rPr>
      <t>LAS FERIAS</t>
    </r>
  </si>
  <si>
    <r>
      <rPr>
        <sz val="5"/>
        <rFont val="Arial"/>
        <family val="2"/>
      </rPr>
      <t>METROPOLIS</t>
    </r>
  </si>
  <si>
    <r>
      <rPr>
        <sz val="5"/>
        <rFont val="Arial"/>
        <family val="2"/>
      </rPr>
      <t>PALO BLANCO</t>
    </r>
  </si>
  <si>
    <r>
      <rPr>
        <sz val="5"/>
        <rFont val="Arial"/>
        <family val="2"/>
      </rPr>
      <t>SAN JOAQUÍN</t>
    </r>
  </si>
  <si>
    <r>
      <rPr>
        <sz val="5"/>
        <rFont val="Arial"/>
        <family val="2"/>
      </rPr>
      <t>SANTO DOMINGO</t>
    </r>
  </si>
  <si>
    <r>
      <rPr>
        <sz val="5"/>
        <rFont val="Arial"/>
        <family val="2"/>
      </rPr>
      <t>BOCHICA</t>
    </r>
  </si>
  <si>
    <r>
      <rPr>
        <sz val="5"/>
        <rFont val="Arial"/>
        <family val="2"/>
      </rPr>
      <t>CIUDAD BACHUE</t>
    </r>
  </si>
  <si>
    <r>
      <rPr>
        <sz val="5"/>
        <rFont val="Arial"/>
        <family val="2"/>
      </rPr>
      <t>COPETROCO LA TROPICAL</t>
    </r>
  </si>
  <si>
    <r>
      <rPr>
        <sz val="5"/>
        <rFont val="Arial"/>
        <family val="2"/>
      </rPr>
      <t>EL PORTAL DEL RIO</t>
    </r>
  </si>
  <si>
    <r>
      <rPr>
        <sz val="5"/>
        <rFont val="Arial"/>
        <family val="2"/>
      </rPr>
      <t>LA ESPAÑOLA</t>
    </r>
  </si>
  <si>
    <r>
      <rPr>
        <sz val="5"/>
        <rFont val="Arial"/>
        <family val="2"/>
      </rPr>
      <t>LA PALESTINA</t>
    </r>
  </si>
  <si>
    <r>
      <rPr>
        <sz val="5"/>
        <rFont val="Arial"/>
        <family val="2"/>
      </rPr>
      <t>LA SERENA</t>
    </r>
  </si>
  <si>
    <r>
      <rPr>
        <sz val="5"/>
        <rFont val="Arial"/>
        <family val="2"/>
      </rPr>
      <t>LOS CERECITOS</t>
    </r>
  </si>
  <si>
    <r>
      <rPr>
        <sz val="5"/>
        <rFont val="Arial"/>
        <family val="2"/>
      </rPr>
      <t>LOS CEREZOS</t>
    </r>
  </si>
  <si>
    <r>
      <rPr>
        <sz val="5"/>
        <rFont val="Arial"/>
        <family val="2"/>
      </rPr>
      <t>LUIS CARLOS GALAN</t>
    </r>
  </si>
  <si>
    <r>
      <rPr>
        <sz val="5"/>
        <rFont val="Arial"/>
        <family val="2"/>
      </rPr>
      <t>MEISSEN - SIDAUTO</t>
    </r>
  </si>
  <si>
    <r>
      <rPr>
        <sz val="5"/>
        <rFont val="Arial"/>
        <family val="2"/>
      </rPr>
      <t>MINUTO DE DIOS</t>
    </r>
  </si>
  <si>
    <r>
      <rPr>
        <sz val="5"/>
        <rFont val="Arial"/>
        <family val="2"/>
      </rPr>
      <t>MORISCO</t>
    </r>
  </si>
  <si>
    <r>
      <rPr>
        <sz val="5"/>
        <rFont val="Arial"/>
        <family val="2"/>
      </rPr>
      <t>PARIS GAITAN</t>
    </r>
  </si>
  <si>
    <r>
      <rPr>
        <sz val="5"/>
        <rFont val="Arial"/>
        <family val="2"/>
      </rPr>
      <t>PRIMAVERA NORTE</t>
    </r>
  </si>
  <si>
    <r>
      <rPr>
        <sz val="5"/>
        <rFont val="Arial"/>
        <family val="2"/>
      </rPr>
      <t>QUIRIGUA</t>
    </r>
  </si>
  <si>
    <r>
      <rPr>
        <sz val="5"/>
        <rFont val="Arial"/>
        <family val="2"/>
      </rPr>
      <t>BOYACA</t>
    </r>
  </si>
  <si>
    <r>
      <rPr>
        <sz val="5"/>
        <rFont val="Arial"/>
        <family val="2"/>
      </rPr>
      <t>EL REFUGIO</t>
    </r>
  </si>
  <si>
    <r>
      <rPr>
        <sz val="5"/>
        <rFont val="Arial"/>
        <family val="2"/>
      </rPr>
      <t>FLORENCIA</t>
    </r>
  </si>
  <si>
    <r>
      <rPr>
        <sz val="5"/>
        <rFont val="Arial"/>
        <family val="2"/>
      </rPr>
      <t>FLORIDA BLANCA</t>
    </r>
  </si>
  <si>
    <r>
      <rPr>
        <sz val="5"/>
        <rFont val="Arial"/>
        <family val="2"/>
      </rPr>
      <t>LA ALMERIA</t>
    </r>
  </si>
  <si>
    <r>
      <rPr>
        <sz val="5"/>
        <rFont val="Arial"/>
        <family val="2"/>
      </rPr>
      <t>LA GRANJA</t>
    </r>
  </si>
  <si>
    <r>
      <rPr>
        <sz val="5"/>
        <rFont val="Arial"/>
        <family val="2"/>
      </rPr>
      <t>LA SOLEDAD NORTE</t>
    </r>
  </si>
  <si>
    <r>
      <rPr>
        <sz val="5"/>
        <rFont val="Arial"/>
        <family val="2"/>
      </rPr>
      <t>LOS PINOS FLORENCIA</t>
    </r>
  </si>
  <si>
    <r>
      <rPr>
        <sz val="5"/>
        <rFont val="Arial"/>
        <family val="2"/>
      </rPr>
      <t>MARATU</t>
    </r>
  </si>
  <si>
    <r>
      <rPr>
        <sz val="5"/>
        <rFont val="Arial"/>
        <family val="2"/>
      </rPr>
      <t>PARIS</t>
    </r>
  </si>
  <si>
    <r>
      <rPr>
        <sz val="5"/>
        <rFont val="Arial"/>
        <family val="2"/>
      </rPr>
      <t>SANTA HELENITA</t>
    </r>
  </si>
  <si>
    <r>
      <rPr>
        <sz val="5"/>
        <rFont val="Arial"/>
        <family val="2"/>
      </rPr>
      <t>SANTA MARIA DEL LAGO</t>
    </r>
  </si>
  <si>
    <r>
      <rPr>
        <sz val="5"/>
        <rFont val="Arial"/>
        <family val="2"/>
      </rPr>
      <t>SANTA ROSITA</t>
    </r>
  </si>
  <si>
    <r>
      <rPr>
        <sz val="5"/>
        <rFont val="Arial"/>
        <family val="2"/>
      </rPr>
      <t>TABORA</t>
    </r>
  </si>
  <si>
    <r>
      <rPr>
        <sz val="5"/>
        <rFont val="Arial"/>
        <family val="2"/>
      </rPr>
      <t>VERACRUZ</t>
    </r>
  </si>
  <si>
    <r>
      <rPr>
        <sz val="5"/>
        <rFont val="Arial"/>
        <family val="2"/>
      </rPr>
      <t>ZARZAMORA</t>
    </r>
  </si>
  <si>
    <r>
      <rPr>
        <sz val="5"/>
        <rFont val="Arial"/>
        <family val="2"/>
      </rPr>
      <t>EL LUJAN</t>
    </r>
  </si>
  <si>
    <r>
      <rPr>
        <sz val="5"/>
        <rFont val="Arial"/>
        <family val="2"/>
      </rPr>
      <t>EL REAL</t>
    </r>
  </si>
  <si>
    <r>
      <rPr>
        <sz val="5"/>
        <rFont val="Arial"/>
        <family val="2"/>
      </rPr>
      <t>LOS MONJES</t>
    </r>
  </si>
  <si>
    <r>
      <rPr>
        <sz val="5"/>
        <rFont val="Arial"/>
        <family val="2"/>
      </rPr>
      <t>NORMANDIA</t>
    </r>
  </si>
  <si>
    <r>
      <rPr>
        <sz val="5"/>
        <rFont val="Arial"/>
        <family val="2"/>
      </rPr>
      <t>NORMANDIA OCCIDENTAL</t>
    </r>
  </si>
  <si>
    <r>
      <rPr>
        <sz val="5"/>
        <rFont val="Arial"/>
        <family val="2"/>
      </rPr>
      <t>SAN IGNACIO</t>
    </r>
  </si>
  <si>
    <r>
      <rPr>
        <sz val="5"/>
        <rFont val="Arial"/>
        <family val="2"/>
      </rPr>
      <t>SAN MARCOS</t>
    </r>
  </si>
  <si>
    <r>
      <rPr>
        <sz val="5"/>
        <rFont val="Arial"/>
        <family val="2"/>
      </rPr>
      <t>VILLA LUZ</t>
    </r>
  </si>
  <si>
    <r>
      <rPr>
        <sz val="5"/>
        <rFont val="Arial"/>
        <family val="2"/>
      </rPr>
      <t>BOCHICA II</t>
    </r>
  </si>
  <si>
    <r>
      <rPr>
        <sz val="5"/>
        <rFont val="Arial"/>
        <family val="2"/>
      </rPr>
      <t>BOLIVIA</t>
    </r>
  </si>
  <si>
    <r>
      <rPr>
        <sz val="5"/>
        <rFont val="Arial"/>
        <family val="2"/>
      </rPr>
      <t>CIUDADELA COLSUBSIDIO</t>
    </r>
  </si>
  <si>
    <r>
      <rPr>
        <sz val="5"/>
        <rFont val="Arial"/>
        <family val="2"/>
      </rPr>
      <t>EL CORTIJO</t>
    </r>
  </si>
  <si>
    <r>
      <rPr>
        <sz val="5"/>
        <rFont val="Arial"/>
        <family val="2"/>
      </rPr>
      <t>EL DORADO</t>
    </r>
  </si>
  <si>
    <r>
      <rPr>
        <sz val="5"/>
        <rFont val="Arial"/>
        <family val="2"/>
      </rPr>
      <t>BOSQUES DE MARIANA</t>
    </r>
  </si>
  <si>
    <r>
      <rPr>
        <sz val="5"/>
        <rFont val="Arial"/>
        <family val="2"/>
      </rPr>
      <t>ALAMOS</t>
    </r>
  </si>
  <si>
    <r>
      <rPr>
        <sz val="5"/>
        <rFont val="Arial"/>
        <family val="2"/>
      </rPr>
      <t>ALAMOS NORTE</t>
    </r>
  </si>
  <si>
    <r>
      <rPr>
        <sz val="5"/>
        <rFont val="Arial"/>
        <family val="2"/>
      </rPr>
      <t>EL CEDRO</t>
    </r>
  </si>
  <si>
    <r>
      <rPr>
        <sz val="5"/>
        <rFont val="Arial"/>
        <family val="2"/>
      </rPr>
      <t>GARCES NAVAS</t>
    </r>
  </si>
  <si>
    <r>
      <rPr>
        <sz val="5"/>
        <rFont val="Arial"/>
        <family val="2"/>
      </rPr>
      <t>LOS ANGELES</t>
    </r>
  </si>
  <si>
    <r>
      <rPr>
        <sz val="5"/>
        <rFont val="Arial"/>
        <family val="2"/>
      </rPr>
      <t>MOLINOS DE VIENTO</t>
    </r>
  </si>
  <si>
    <r>
      <rPr>
        <sz val="5"/>
        <rFont val="Arial"/>
        <family val="2"/>
      </rPr>
      <t>PLAZUELAS DEL VIRREY</t>
    </r>
  </si>
  <si>
    <r>
      <rPr>
        <sz val="5"/>
        <rFont val="Arial"/>
        <family val="2"/>
      </rPr>
      <t>SAN BASILIO</t>
    </r>
  </si>
  <si>
    <r>
      <rPr>
        <sz val="5"/>
        <rFont val="Arial"/>
        <family val="2"/>
      </rPr>
      <t>VILLA AMALIA</t>
    </r>
  </si>
  <si>
    <r>
      <rPr>
        <sz val="5"/>
        <rFont val="Arial"/>
        <family val="2"/>
      </rPr>
      <t>VILLA SAGRARIO</t>
    </r>
  </si>
  <si>
    <r>
      <rPr>
        <sz val="5"/>
        <rFont val="Arial"/>
        <family val="2"/>
      </rPr>
      <t>VILLAS DE GRANADA</t>
    </r>
  </si>
  <si>
    <r>
      <rPr>
        <sz val="5"/>
        <rFont val="Arial"/>
        <family val="2"/>
      </rPr>
      <t>VILLAS DE MADRIGAL</t>
    </r>
  </si>
  <si>
    <r>
      <rPr>
        <sz val="5"/>
        <rFont val="Arial"/>
        <family val="2"/>
      </rPr>
      <t>VILLAS EL DORADO SAN ANTONIO</t>
    </r>
  </si>
  <si>
    <r>
      <rPr>
        <sz val="5"/>
        <rFont val="Arial"/>
        <family val="2"/>
      </rPr>
      <t>ALAMEDA</t>
    </r>
  </si>
  <si>
    <r>
      <rPr>
        <sz val="5"/>
        <rFont val="Arial"/>
        <family val="2"/>
      </rPr>
      <t>DANUBIO CENTAUROS</t>
    </r>
  </si>
  <si>
    <r>
      <rPr>
        <sz val="5"/>
        <rFont val="Arial"/>
        <family val="2"/>
      </rPr>
      <t>EL MIRADOR</t>
    </r>
  </si>
  <si>
    <r>
      <rPr>
        <sz val="5"/>
        <rFont val="Arial"/>
        <family val="2"/>
      </rPr>
      <t>EL MUELLE</t>
    </r>
  </si>
  <si>
    <r>
      <rPr>
        <sz val="5"/>
        <rFont val="Arial"/>
        <family val="2"/>
      </rPr>
      <t>EL PALMAR</t>
    </r>
  </si>
  <si>
    <r>
      <rPr>
        <sz val="5"/>
        <rFont val="Arial"/>
        <family val="2"/>
      </rPr>
      <t>EL VERDUN</t>
    </r>
  </si>
  <si>
    <r>
      <rPr>
        <sz val="5"/>
        <rFont val="Arial"/>
        <family val="2"/>
      </rPr>
      <t>ENGATIVA CENTRO</t>
    </r>
  </si>
  <si>
    <r>
      <rPr>
        <sz val="5"/>
        <rFont val="Arial"/>
        <family val="2"/>
      </rPr>
      <t>GRANJAS EL DORADO</t>
    </r>
  </si>
  <si>
    <r>
      <rPr>
        <sz val="5"/>
        <rFont val="Arial"/>
        <family val="2"/>
      </rPr>
      <t>LA FAENA</t>
    </r>
  </si>
  <si>
    <r>
      <rPr>
        <sz val="5"/>
        <rFont val="Arial"/>
        <family val="2"/>
      </rPr>
      <t>LA RIVIERA</t>
    </r>
  </si>
  <si>
    <r>
      <rPr>
        <sz val="5"/>
        <rFont val="Arial"/>
        <family val="2"/>
      </rPr>
      <t>LA TORTIGUA</t>
    </r>
  </si>
  <si>
    <r>
      <rPr>
        <sz val="5"/>
        <rFont val="Arial"/>
        <family val="2"/>
      </rPr>
      <t>LAS PALMAS</t>
    </r>
  </si>
  <si>
    <r>
      <rPr>
        <sz val="5"/>
        <rFont val="Arial"/>
        <family val="2"/>
      </rPr>
      <t>LINTERAMA</t>
    </r>
  </si>
  <si>
    <r>
      <rPr>
        <sz val="5"/>
        <rFont val="Arial"/>
        <family val="2"/>
      </rPr>
      <t>LOS LAURELES</t>
    </r>
  </si>
  <si>
    <r>
      <rPr>
        <sz val="5"/>
        <rFont val="Arial"/>
        <family val="2"/>
      </rPr>
      <t>LOS LAURELES SABANAS EL DORADO</t>
    </r>
  </si>
  <si>
    <r>
      <rPr>
        <sz val="5"/>
        <rFont val="Arial"/>
        <family val="2"/>
      </rPr>
      <t>MARANDU</t>
    </r>
  </si>
  <si>
    <r>
      <rPr>
        <sz val="5"/>
        <rFont val="Arial"/>
        <family val="2"/>
      </rPr>
      <t>PORVENIR</t>
    </r>
  </si>
  <si>
    <r>
      <rPr>
        <sz val="5"/>
        <rFont val="Arial"/>
        <family val="2"/>
      </rPr>
      <t>PUERTO AMOR PLAYAS DEL JABOQUE</t>
    </r>
  </si>
  <si>
    <r>
      <rPr>
        <sz val="5"/>
        <rFont val="Arial"/>
        <family val="2"/>
      </rPr>
      <t>SAN ANTONIO NORTE</t>
    </r>
  </si>
  <si>
    <r>
      <rPr>
        <sz val="5"/>
        <rFont val="Arial"/>
        <family val="2"/>
      </rPr>
      <t>SAN JOSE OBRERO</t>
    </r>
  </si>
  <si>
    <r>
      <rPr>
        <sz val="5"/>
        <rFont val="Arial"/>
        <family val="2"/>
      </rPr>
      <t>SANTA LIBRADA</t>
    </r>
  </si>
  <si>
    <r>
      <rPr>
        <sz val="5"/>
        <rFont val="Arial"/>
        <family val="2"/>
      </rPr>
      <t>VILLA CLAVER I y II</t>
    </r>
  </si>
  <si>
    <r>
      <rPr>
        <sz val="5"/>
        <rFont val="Arial"/>
        <family val="2"/>
      </rPr>
      <t>VILLA CONSTANZA</t>
    </r>
  </si>
  <si>
    <r>
      <rPr>
        <sz val="5"/>
        <rFont val="Arial"/>
        <family val="2"/>
      </rPr>
      <t>VILLA EL DORADO NORTE</t>
    </r>
  </si>
  <si>
    <r>
      <rPr>
        <sz val="5"/>
        <rFont val="Arial"/>
        <family val="2"/>
      </rPr>
      <t>VILLA GLADYS</t>
    </r>
  </si>
  <si>
    <r>
      <rPr>
        <sz val="5"/>
        <rFont val="Arial"/>
        <family val="2"/>
      </rPr>
      <t>VILLA MARY</t>
    </r>
  </si>
  <si>
    <r>
      <rPr>
        <sz val="5"/>
        <rFont val="Arial"/>
        <family val="2"/>
      </rPr>
      <t>VILLA SANDRA</t>
    </r>
  </si>
  <si>
    <r>
      <rPr>
        <sz val="5"/>
        <rFont val="Arial"/>
        <family val="2"/>
      </rPr>
      <t>VILLA TERESITA</t>
    </r>
  </si>
  <si>
    <r>
      <rPr>
        <sz val="5"/>
        <rFont val="Arial"/>
        <family val="2"/>
      </rPr>
      <t>VILLAS EL DORADO SAN ANTONIO II SECTOR</t>
    </r>
  </si>
  <si>
    <r>
      <rPr>
        <sz val="5"/>
        <rFont val="Arial"/>
        <family val="2"/>
      </rPr>
      <t>VIÑA DEL MAR</t>
    </r>
  </si>
  <si>
    <r>
      <rPr>
        <sz val="5"/>
        <rFont val="Arial"/>
        <family val="2"/>
      </rPr>
      <t>EL SALITRE LUIS MARIA FERNANDEZ</t>
    </r>
  </si>
  <si>
    <r>
      <rPr>
        <sz val="5"/>
        <rFont val="Arial"/>
        <family val="2"/>
      </rPr>
      <t>LOS ALAMOS</t>
    </r>
  </si>
  <si>
    <r>
      <rPr>
        <sz val="7"/>
        <rFont val="Arial"/>
        <family val="2"/>
      </rPr>
      <t>LA ACADEMIA</t>
    </r>
  </si>
  <si>
    <r>
      <rPr>
        <sz val="7"/>
        <rFont val="Arial"/>
        <family val="2"/>
      </rPr>
      <t>GUAYMARAL</t>
    </r>
  </si>
  <si>
    <r>
      <rPr>
        <sz val="7"/>
        <rFont val="Arial"/>
        <family val="2"/>
      </rPr>
      <t>CONEJERA</t>
    </r>
  </si>
  <si>
    <r>
      <rPr>
        <sz val="7"/>
        <rFont val="Arial"/>
        <family val="2"/>
      </rPr>
      <t>GIBRALTAR</t>
    </r>
  </si>
  <si>
    <r>
      <rPr>
        <sz val="7"/>
        <rFont val="Arial"/>
        <family val="2"/>
      </rPr>
      <t>GUICANI</t>
    </r>
  </si>
  <si>
    <r>
      <rPr>
        <sz val="7"/>
        <rFont val="Arial"/>
        <family val="2"/>
      </rPr>
      <t>MIRANDELA</t>
    </r>
  </si>
  <si>
    <r>
      <rPr>
        <sz val="7"/>
        <rFont val="Arial"/>
        <family val="2"/>
      </rPr>
      <t>NUEVA ZELANDIA</t>
    </r>
  </si>
  <si>
    <r>
      <rPr>
        <sz val="7"/>
        <rFont val="Arial"/>
        <family val="2"/>
      </rPr>
      <t>OIKOS</t>
    </r>
  </si>
  <si>
    <r>
      <rPr>
        <sz val="7"/>
        <rFont val="Arial"/>
        <family val="2"/>
      </rPr>
      <t>SAN FELIPE</t>
    </r>
  </si>
  <si>
    <r>
      <rPr>
        <sz val="7"/>
        <rFont val="Arial"/>
        <family val="2"/>
      </rPr>
      <t>SAN JOSE DE BAVARIA</t>
    </r>
  </si>
  <si>
    <r>
      <rPr>
        <sz val="7"/>
        <rFont val="Arial"/>
        <family val="2"/>
      </rPr>
      <t>SANTA CATALINA</t>
    </r>
  </si>
  <si>
    <r>
      <rPr>
        <sz val="7"/>
        <rFont val="Arial"/>
        <family val="2"/>
      </rPr>
      <t>TEJARES DEL NORTE</t>
    </r>
  </si>
  <si>
    <r>
      <rPr>
        <sz val="7"/>
        <rFont val="Arial"/>
        <family val="2"/>
      </rPr>
      <t>VILLA NOVA</t>
    </r>
  </si>
  <si>
    <r>
      <rPr>
        <sz val="7"/>
        <rFont val="Arial"/>
        <family val="2"/>
      </rPr>
      <t>VILLA DEL PRADO</t>
    </r>
  </si>
  <si>
    <r>
      <rPr>
        <sz val="7"/>
        <rFont val="Arial"/>
        <family val="2"/>
      </rPr>
      <t>VILLA LUCY</t>
    </r>
  </si>
  <si>
    <r>
      <rPr>
        <sz val="7"/>
        <rFont val="Arial"/>
        <family val="2"/>
      </rPr>
      <t>BRITALIA</t>
    </r>
  </si>
  <si>
    <r>
      <rPr>
        <sz val="7"/>
        <rFont val="Arial"/>
        <family val="2"/>
      </rPr>
      <t>BRITALIA SAN DIEGO</t>
    </r>
  </si>
  <si>
    <r>
      <rPr>
        <sz val="7"/>
        <rFont val="Arial"/>
        <family val="2"/>
      </rPr>
      <t>CALIMA NORTE</t>
    </r>
  </si>
  <si>
    <r>
      <rPr>
        <sz val="7"/>
        <rFont val="Arial"/>
        <family val="2"/>
      </rPr>
      <t>CANTAGALLO</t>
    </r>
  </si>
  <si>
    <r>
      <rPr>
        <sz val="7"/>
        <rFont val="Arial"/>
        <family val="2"/>
      </rPr>
      <t>CANTALEJO</t>
    </r>
  </si>
  <si>
    <r>
      <rPr>
        <sz val="7"/>
        <rFont val="Arial"/>
        <family val="2"/>
      </rPr>
      <t>EL PARAISO DE LOS 12 APOSTOLES</t>
    </r>
  </si>
  <si>
    <r>
      <rPr>
        <sz val="7"/>
        <rFont val="Arial"/>
        <family val="2"/>
      </rPr>
      <t>GILMAR</t>
    </r>
  </si>
  <si>
    <r>
      <rPr>
        <sz val="7"/>
        <rFont val="Arial"/>
        <family val="2"/>
      </rPr>
      <t>GRANADA NORTE</t>
    </r>
  </si>
  <si>
    <r>
      <rPr>
        <sz val="7"/>
        <rFont val="Arial"/>
        <family val="2"/>
      </rPr>
      <t>GRANJAS DE NAMUR</t>
    </r>
  </si>
  <si>
    <r>
      <rPr>
        <sz val="7"/>
        <rFont val="Arial"/>
        <family val="2"/>
      </rPr>
      <t>LA CHOCITA</t>
    </r>
  </si>
  <si>
    <r>
      <rPr>
        <sz val="7"/>
        <rFont val="Arial"/>
        <family val="2"/>
      </rPr>
      <t>LOS ELISEOS</t>
    </r>
  </si>
  <si>
    <r>
      <rPr>
        <sz val="7"/>
        <rFont val="Arial"/>
        <family val="2"/>
      </rPr>
      <t>PIJAO DE ORO</t>
    </r>
  </si>
  <si>
    <r>
      <rPr>
        <sz val="7"/>
        <rFont val="Arial"/>
        <family val="2"/>
      </rPr>
      <t>PORTALES DEL NORTE</t>
    </r>
  </si>
  <si>
    <r>
      <rPr>
        <sz val="7"/>
        <rFont val="Arial"/>
        <family val="2"/>
      </rPr>
      <t>SAN CIPRANO</t>
    </r>
  </si>
  <si>
    <r>
      <rPr>
        <sz val="7"/>
        <rFont val="Arial"/>
        <family val="2"/>
      </rPr>
      <t>VILLA DELIA</t>
    </r>
  </si>
  <si>
    <r>
      <rPr>
        <sz val="7"/>
        <rFont val="Arial"/>
        <family val="2"/>
      </rPr>
      <t>VILLA DELIA-BRITALIA NORTE</t>
    </r>
  </si>
  <si>
    <r>
      <rPr>
        <sz val="7"/>
        <rFont val="Arial"/>
        <family val="2"/>
      </rPr>
      <t>VISTA BELLA</t>
    </r>
  </si>
  <si>
    <r>
      <rPr>
        <sz val="7"/>
        <rFont val="Arial"/>
        <family val="2"/>
      </rPr>
      <t>ALCALA</t>
    </r>
  </si>
  <si>
    <r>
      <rPr>
        <sz val="7"/>
        <rFont val="Arial"/>
        <family val="2"/>
      </rPr>
      <t>ATABANZA</t>
    </r>
  </si>
  <si>
    <r>
      <rPr>
        <sz val="7"/>
        <rFont val="Arial"/>
        <family val="2"/>
      </rPr>
      <t>BERNAL Y FORERO</t>
    </r>
  </si>
  <si>
    <r>
      <rPr>
        <sz val="7"/>
        <rFont val="Arial"/>
        <family val="2"/>
      </rPr>
      <t>CACIGUA</t>
    </r>
  </si>
  <si>
    <r>
      <rPr>
        <sz val="7"/>
        <rFont val="Arial"/>
        <family val="2"/>
      </rPr>
      <t>CANODROMO</t>
    </r>
  </si>
  <si>
    <r>
      <rPr>
        <sz val="7"/>
        <rFont val="Arial"/>
        <family val="2"/>
      </rPr>
      <t>LA SULTANA</t>
    </r>
  </si>
  <si>
    <r>
      <rPr>
        <sz val="7"/>
        <rFont val="Arial"/>
        <family val="2"/>
      </rPr>
      <t>LIBERTADORES</t>
    </r>
  </si>
  <si>
    <r>
      <rPr>
        <sz val="7"/>
        <rFont val="Arial"/>
        <family val="2"/>
      </rPr>
      <t>LOS PRADOS DE LA SULTANA</t>
    </r>
  </si>
  <si>
    <r>
      <rPr>
        <sz val="7"/>
        <rFont val="Arial"/>
        <family val="2"/>
      </rPr>
      <t>MADEIRA</t>
    </r>
  </si>
  <si>
    <r>
      <rPr>
        <sz val="7"/>
        <rFont val="Arial"/>
        <family val="2"/>
      </rPr>
      <t>MANUELA ARLUZ</t>
    </r>
  </si>
  <si>
    <r>
      <rPr>
        <sz val="7"/>
        <rFont val="Arial"/>
        <family val="2"/>
      </rPr>
      <t>MAZUREN</t>
    </r>
  </si>
  <si>
    <r>
      <rPr>
        <sz val="7"/>
        <rFont val="Arial"/>
        <family val="2"/>
      </rPr>
      <t>NIZA IX</t>
    </r>
  </si>
  <si>
    <r>
      <rPr>
        <sz val="7"/>
        <rFont val="Arial"/>
        <family val="2"/>
      </rPr>
      <t>PRADO PINZON</t>
    </r>
  </si>
  <si>
    <r>
      <rPr>
        <sz val="7"/>
        <rFont val="Arial"/>
        <family val="2"/>
      </rPr>
      <t>PRADO SUR</t>
    </r>
  </si>
  <si>
    <r>
      <rPr>
        <sz val="7"/>
        <rFont val="Arial"/>
        <family val="2"/>
      </rPr>
      <t>PRADO VERANIEGO</t>
    </r>
  </si>
  <si>
    <r>
      <rPr>
        <sz val="7"/>
        <rFont val="Arial"/>
        <family val="2"/>
      </rPr>
      <t>PRADO VERANIEGO NORTE</t>
    </r>
  </si>
  <si>
    <r>
      <rPr>
        <sz val="7"/>
        <rFont val="Arial"/>
        <family val="2"/>
      </rPr>
      <t>PRADO VERANIEGO SUR</t>
    </r>
  </si>
  <si>
    <r>
      <rPr>
        <sz val="7"/>
        <rFont val="Arial"/>
        <family val="2"/>
      </rPr>
      <t>SAN JOSE DE SPRING</t>
    </r>
  </si>
  <si>
    <r>
      <rPr>
        <sz val="7"/>
        <rFont val="Arial"/>
        <family val="2"/>
      </rPr>
      <t>SAN JOSE DEL PRADO</t>
    </r>
  </si>
  <si>
    <r>
      <rPr>
        <sz val="7"/>
        <rFont val="Arial"/>
        <family val="2"/>
      </rPr>
      <t>SANTA HELENA</t>
    </r>
  </si>
  <si>
    <r>
      <rPr>
        <sz val="7"/>
        <rFont val="Arial"/>
        <family val="2"/>
      </rPr>
      <t>TARRAGONA</t>
    </r>
  </si>
  <si>
    <r>
      <rPr>
        <sz val="7"/>
        <rFont val="Arial"/>
        <family val="2"/>
      </rPr>
      <t>TIERRA LINDA</t>
    </r>
  </si>
  <si>
    <r>
      <rPr>
        <sz val="7"/>
        <rFont val="Arial"/>
        <family val="2"/>
      </rPr>
      <t>VICTORIA NORTE</t>
    </r>
  </si>
  <si>
    <r>
      <rPr>
        <sz val="7"/>
        <rFont val="Arial"/>
        <family val="2"/>
      </rPr>
      <t>VILLA MORENA</t>
    </r>
  </si>
  <si>
    <r>
      <rPr>
        <sz val="7"/>
        <rFont val="Arial"/>
        <family val="2"/>
      </rPr>
      <t>ALHAMBRA</t>
    </r>
  </si>
  <si>
    <r>
      <rPr>
        <sz val="7"/>
        <rFont val="Arial"/>
        <family val="2"/>
      </rPr>
      <t>BATAN</t>
    </r>
  </si>
  <si>
    <r>
      <rPr>
        <sz val="7"/>
        <rFont val="Arial"/>
        <family val="2"/>
      </rPr>
      <t>EL RECREO DE LOS FRAILES</t>
    </r>
  </si>
  <si>
    <r>
      <rPr>
        <sz val="7"/>
        <rFont val="Arial"/>
        <family val="2"/>
      </rPr>
      <t>ESTORIL</t>
    </r>
  </si>
  <si>
    <r>
      <rPr>
        <sz val="7"/>
        <rFont val="Arial"/>
        <family val="2"/>
      </rPr>
      <t>ILARCO</t>
    </r>
  </si>
  <si>
    <r>
      <rPr>
        <sz val="7"/>
        <rFont val="Arial"/>
        <family val="2"/>
      </rPr>
      <t>MALIBU</t>
    </r>
  </si>
  <si>
    <r>
      <rPr>
        <sz val="7"/>
        <rFont val="Arial"/>
        <family val="2"/>
      </rPr>
      <t>MONACO</t>
    </r>
  </si>
  <si>
    <r>
      <rPr>
        <sz val="7"/>
        <rFont val="Arial"/>
        <family val="2"/>
      </rPr>
      <t>PASADENA</t>
    </r>
  </si>
  <si>
    <r>
      <rPr>
        <sz val="7"/>
        <rFont val="Arial"/>
        <family val="2"/>
      </rPr>
      <t>PUENTE LARGO</t>
    </r>
  </si>
  <si>
    <r>
      <rPr>
        <sz val="7"/>
        <rFont val="Arial"/>
        <family val="2"/>
      </rPr>
      <t>ATENAS</t>
    </r>
  </si>
  <si>
    <r>
      <rPr>
        <sz val="7"/>
        <rFont val="Arial"/>
        <family val="2"/>
      </rPr>
      <t>CALATAYUD</t>
    </r>
  </si>
  <si>
    <r>
      <rPr>
        <sz val="7"/>
        <rFont val="Arial"/>
        <family val="2"/>
      </rPr>
      <t>PRADOS DEL SALITRE</t>
    </r>
  </si>
  <si>
    <r>
      <rPr>
        <sz val="7"/>
        <rFont val="Arial"/>
        <family val="2"/>
      </rPr>
      <t>RINCON DE SANTA INES</t>
    </r>
  </si>
  <si>
    <r>
      <rPr>
        <sz val="7"/>
        <rFont val="Arial"/>
        <family val="2"/>
      </rPr>
      <t>SAN FRANCISCO</t>
    </r>
  </si>
  <si>
    <r>
      <rPr>
        <sz val="7"/>
        <rFont val="Arial"/>
        <family val="2"/>
      </rPr>
      <t>SANTA ISABEL</t>
    </r>
  </si>
  <si>
    <r>
      <rPr>
        <sz val="7"/>
        <rFont val="Arial"/>
        <family val="2"/>
      </rPr>
      <t>SUBA CENTRO</t>
    </r>
  </si>
  <si>
    <r>
      <rPr>
        <sz val="7"/>
        <rFont val="Arial"/>
        <family val="2"/>
      </rPr>
      <t>TUNA ALTA</t>
    </r>
  </si>
  <si>
    <r>
      <rPr>
        <sz val="7"/>
        <rFont val="Arial"/>
        <family val="2"/>
      </rPr>
      <t>TUNA BAJA</t>
    </r>
  </si>
  <si>
    <r>
      <rPr>
        <sz val="7"/>
        <rFont val="Arial"/>
        <family val="2"/>
      </rPr>
      <t>TURINGIA</t>
    </r>
  </si>
  <si>
    <r>
      <rPr>
        <sz val="7"/>
        <rFont val="Arial"/>
        <family val="2"/>
      </rPr>
      <t>VEREDA SUBA CERROS</t>
    </r>
  </si>
  <si>
    <r>
      <rPr>
        <sz val="7"/>
        <rFont val="Arial"/>
        <family val="2"/>
      </rPr>
      <t>VILLA DEL CAMPO</t>
    </r>
  </si>
  <si>
    <r>
      <rPr>
        <sz val="7"/>
        <rFont val="Arial"/>
        <family val="2"/>
      </rPr>
      <t>VILLA ESPERANZA</t>
    </r>
  </si>
  <si>
    <r>
      <rPr>
        <sz val="7"/>
        <rFont val="Arial"/>
        <family val="2"/>
      </rPr>
      <t>VILLA HERMOSA</t>
    </r>
  </si>
  <si>
    <r>
      <rPr>
        <sz val="7"/>
        <rFont val="Arial"/>
        <family val="2"/>
      </rPr>
      <t>VILLA SUSANA</t>
    </r>
  </si>
  <si>
    <r>
      <rPr>
        <sz val="7"/>
        <rFont val="Arial"/>
        <family val="2"/>
      </rPr>
      <t>ALCAPARROS</t>
    </r>
  </si>
  <si>
    <r>
      <rPr>
        <sz val="7"/>
        <rFont val="Arial"/>
        <family val="2"/>
      </rPr>
      <t>ALMIRANTE COLON</t>
    </r>
  </si>
  <si>
    <r>
      <rPr>
        <sz val="7"/>
        <rFont val="Arial"/>
        <family val="2"/>
      </rPr>
      <t>ALMONACID</t>
    </r>
  </si>
  <si>
    <r>
      <rPr>
        <sz val="7"/>
        <rFont val="Arial"/>
        <family val="2"/>
      </rPr>
      <t>ALTOS DE CHOZICA</t>
    </r>
  </si>
  <si>
    <r>
      <rPr>
        <sz val="7"/>
        <rFont val="Arial"/>
        <family val="2"/>
      </rPr>
      <t>ALTOS DE LA ESPERANZA</t>
    </r>
  </si>
  <si>
    <r>
      <rPr>
        <sz val="7"/>
        <rFont val="Arial"/>
        <family val="2"/>
      </rPr>
      <t>AMBERES</t>
    </r>
  </si>
  <si>
    <r>
      <rPr>
        <sz val="7"/>
        <rFont val="Arial"/>
        <family val="2"/>
      </rPr>
      <t>ANTONIO GRANADOS</t>
    </r>
  </si>
  <si>
    <r>
      <rPr>
        <sz val="7"/>
        <rFont val="Arial"/>
        <family val="2"/>
      </rPr>
      <t>ARRAYANES</t>
    </r>
  </si>
  <si>
    <r>
      <rPr>
        <sz val="7"/>
        <rFont val="Arial"/>
        <family val="2"/>
      </rPr>
      <t>AURES</t>
    </r>
  </si>
  <si>
    <r>
      <rPr>
        <sz val="7"/>
        <rFont val="Arial"/>
        <family val="2"/>
      </rPr>
      <t>BOCHALEMA</t>
    </r>
  </si>
  <si>
    <r>
      <rPr>
        <sz val="7"/>
        <rFont val="Arial"/>
        <family val="2"/>
      </rPr>
      <t>CATALINA</t>
    </r>
  </si>
  <si>
    <r>
      <rPr>
        <sz val="7"/>
        <rFont val="Arial"/>
        <family val="2"/>
      </rPr>
      <t>CIUDAD HUNZA</t>
    </r>
  </si>
  <si>
    <r>
      <rPr>
        <sz val="7"/>
        <rFont val="Arial"/>
        <family val="2"/>
      </rPr>
      <t>COSTA AZUL</t>
    </r>
  </si>
  <si>
    <r>
      <rPr>
        <sz val="7"/>
        <rFont val="Arial"/>
        <family val="2"/>
      </rPr>
      <t>COSTA RICA</t>
    </r>
  </si>
  <si>
    <r>
      <rPr>
        <sz val="7"/>
        <rFont val="Arial"/>
        <family val="2"/>
      </rPr>
      <t>EL AGUINALDO</t>
    </r>
  </si>
  <si>
    <r>
      <rPr>
        <sz val="7"/>
        <rFont val="Arial"/>
        <family val="2"/>
      </rPr>
      <t>EL ARENAL</t>
    </r>
  </si>
  <si>
    <r>
      <rPr>
        <sz val="7"/>
        <rFont val="Arial"/>
        <family val="2"/>
      </rPr>
      <t>EL CARMEN</t>
    </r>
  </si>
  <si>
    <r>
      <rPr>
        <sz val="7"/>
        <rFont val="Arial"/>
        <family val="2"/>
      </rPr>
      <t>EL CEREZO</t>
    </r>
  </si>
  <si>
    <r>
      <rPr>
        <sz val="7"/>
        <rFont val="Arial"/>
        <family val="2"/>
      </rPr>
      <t>EL CONDOR</t>
    </r>
  </si>
  <si>
    <r>
      <rPr>
        <sz val="7"/>
        <rFont val="Arial"/>
        <family val="2"/>
      </rPr>
      <t>EL JORDAN LA ESPERANZA</t>
    </r>
  </si>
  <si>
    <r>
      <rPr>
        <sz val="7"/>
        <rFont val="Arial"/>
        <family val="2"/>
      </rPr>
      <t>EL POA</t>
    </r>
  </si>
  <si>
    <r>
      <rPr>
        <sz val="7"/>
        <rFont val="Arial"/>
        <family val="2"/>
      </rPr>
      <t>EL NARANJAL</t>
    </r>
  </si>
  <si>
    <r>
      <rPr>
        <sz val="7"/>
        <rFont val="Arial"/>
        <family val="2"/>
      </rPr>
      <t>EL OCAL</t>
    </r>
  </si>
  <si>
    <r>
      <rPr>
        <sz val="7"/>
        <rFont val="Arial"/>
        <family val="2"/>
      </rPr>
      <t>EL PALMAR</t>
    </r>
  </si>
  <si>
    <r>
      <rPr>
        <sz val="7"/>
        <rFont val="Arial"/>
        <family val="2"/>
      </rPr>
      <t>EL PORTICO</t>
    </r>
  </si>
  <si>
    <r>
      <rPr>
        <sz val="7"/>
        <rFont val="Arial"/>
        <family val="2"/>
      </rPr>
      <t>EL PROGRESO</t>
    </r>
  </si>
  <si>
    <r>
      <rPr>
        <sz val="7"/>
        <rFont val="Arial"/>
        <family val="2"/>
      </rPr>
      <t>EL REFUGIO DE SUBA</t>
    </r>
  </si>
  <si>
    <r>
      <rPr>
        <sz val="7"/>
        <rFont val="Arial"/>
        <family val="2"/>
      </rPr>
      <t>CIUDADELA CAFAM</t>
    </r>
  </si>
  <si>
    <r>
      <rPr>
        <sz val="7"/>
        <rFont val="Arial"/>
        <family val="2"/>
      </rPr>
      <t>EL RUBI</t>
    </r>
  </si>
  <si>
    <r>
      <rPr>
        <sz val="7"/>
        <rFont val="Arial"/>
        <family val="2"/>
      </rPr>
      <t>EL TABOR</t>
    </r>
  </si>
  <si>
    <r>
      <rPr>
        <sz val="7"/>
        <rFont val="Arial"/>
        <family val="2"/>
      </rPr>
      <t>GLORIA LARA DE ECHEVERRI</t>
    </r>
  </si>
  <si>
    <r>
      <rPr>
        <sz val="7"/>
        <rFont val="Arial"/>
        <family val="2"/>
      </rPr>
      <t>GUILLERMO NUÑEZ</t>
    </r>
  </si>
  <si>
    <r>
      <rPr>
        <sz val="7"/>
        <rFont val="Arial"/>
        <family val="2"/>
      </rPr>
      <t>JAIME BERMEO</t>
    </r>
  </si>
  <si>
    <r>
      <rPr>
        <sz val="7"/>
        <rFont val="Arial"/>
        <family val="2"/>
      </rPr>
      <t>JAPON</t>
    </r>
  </si>
  <si>
    <r>
      <rPr>
        <sz val="7"/>
        <rFont val="Arial"/>
        <family val="2"/>
      </rPr>
      <t>JAVA II SECTOR</t>
    </r>
  </si>
  <si>
    <r>
      <rPr>
        <sz val="7"/>
        <rFont val="Arial"/>
        <family val="2"/>
      </rPr>
      <t>LA AGUADITA</t>
    </r>
  </si>
  <si>
    <r>
      <rPr>
        <sz val="7"/>
        <rFont val="Arial"/>
        <family val="2"/>
      </rPr>
      <t>LA ALAMEDA</t>
    </r>
  </si>
  <si>
    <r>
      <rPr>
        <sz val="7"/>
        <rFont val="Arial"/>
        <family val="2"/>
      </rPr>
      <t>LA AURORA</t>
    </r>
  </si>
  <si>
    <r>
      <rPr>
        <sz val="7"/>
        <rFont val="Arial"/>
        <family val="2"/>
      </rPr>
      <t>LA CHUCUA</t>
    </r>
  </si>
  <si>
    <r>
      <rPr>
        <sz val="7"/>
        <rFont val="Arial"/>
        <family val="2"/>
      </rPr>
      <t>LA ESMERALDA</t>
    </r>
  </si>
  <si>
    <r>
      <rPr>
        <sz val="7"/>
        <rFont val="Arial"/>
        <family val="2"/>
      </rPr>
      <t>LA ESPERANZA (CALLE 131A)</t>
    </r>
  </si>
  <si>
    <r>
      <rPr>
        <sz val="7"/>
        <rFont val="Arial"/>
        <family val="2"/>
      </rPr>
      <t>LA ESTANZUELA</t>
    </r>
  </si>
  <si>
    <r>
      <rPr>
        <sz val="7"/>
        <rFont val="Arial"/>
        <family val="2"/>
      </rPr>
      <t>LA FLOR</t>
    </r>
  </si>
  <si>
    <r>
      <rPr>
        <sz val="7"/>
        <rFont val="Arial"/>
        <family val="2"/>
      </rPr>
      <t>LA FLORA</t>
    </r>
  </si>
  <si>
    <r>
      <rPr>
        <sz val="7"/>
        <rFont val="Arial"/>
        <family val="2"/>
      </rPr>
      <t>LA MANUELITA</t>
    </r>
  </si>
  <si>
    <r>
      <rPr>
        <sz val="7"/>
        <rFont val="Arial"/>
        <family val="2"/>
      </rPr>
      <t>LA PALMA</t>
    </r>
  </si>
  <si>
    <r>
      <rPr>
        <sz val="7"/>
        <rFont val="Arial"/>
        <family val="2"/>
      </rPr>
      <t>LA TRINITARIA</t>
    </r>
  </si>
  <si>
    <r>
      <rPr>
        <sz val="7"/>
        <rFont val="Arial"/>
        <family val="2"/>
      </rPr>
      <t>LAGO DE SUBA</t>
    </r>
  </si>
  <si>
    <r>
      <rPr>
        <sz val="7"/>
        <rFont val="Arial"/>
        <family val="2"/>
      </rPr>
      <t>LAS FLORES</t>
    </r>
  </si>
  <si>
    <r>
      <rPr>
        <sz val="7"/>
        <rFont val="Arial"/>
        <family val="2"/>
      </rPr>
      <t>LOMBARDIA</t>
    </r>
  </si>
  <si>
    <r>
      <rPr>
        <sz val="7"/>
        <rFont val="Arial"/>
        <family val="2"/>
      </rPr>
      <t>LOS ARRAYANES</t>
    </r>
  </si>
  <si>
    <r>
      <rPr>
        <sz val="7"/>
        <rFont val="Arial"/>
        <family val="2"/>
      </rPr>
      <t>LOS NARANJOS</t>
    </r>
  </si>
  <si>
    <r>
      <rPr>
        <sz val="7"/>
        <rFont val="Arial"/>
        <family val="2"/>
      </rPr>
      <t>LOS NOGALES</t>
    </r>
  </si>
  <si>
    <r>
      <rPr>
        <sz val="7"/>
        <rFont val="Arial"/>
        <family val="2"/>
      </rPr>
      <t>NARANJOS ALTOS</t>
    </r>
  </si>
  <si>
    <r>
      <rPr>
        <sz val="7"/>
        <rFont val="Arial"/>
        <family val="2"/>
      </rPr>
      <t>NUEVO CORINTO</t>
    </r>
  </si>
  <si>
    <r>
      <rPr>
        <sz val="7"/>
        <rFont val="Arial"/>
        <family val="2"/>
      </rPr>
      <t>PALMA ALDEA</t>
    </r>
  </si>
  <si>
    <r>
      <rPr>
        <sz val="7"/>
        <rFont val="Arial"/>
        <family val="2"/>
      </rPr>
      <t>POTRERILLO</t>
    </r>
  </si>
  <si>
    <r>
      <rPr>
        <sz val="7"/>
        <rFont val="Arial"/>
        <family val="2"/>
      </rPr>
      <t>POTRERILLOS DE SUBA</t>
    </r>
  </si>
  <si>
    <r>
      <rPr>
        <sz val="7"/>
        <rFont val="Arial"/>
        <family val="2"/>
      </rPr>
      <t>PRADOS DE SANTA BARBARA</t>
    </r>
  </si>
  <si>
    <r>
      <rPr>
        <sz val="7"/>
        <rFont val="Arial"/>
        <family val="2"/>
      </rPr>
      <t>CASA BLANCA I</t>
    </r>
  </si>
  <si>
    <r>
      <rPr>
        <sz val="7"/>
        <rFont val="Arial"/>
        <family val="2"/>
      </rPr>
      <t>CASA BLANCA II</t>
    </r>
  </si>
  <si>
    <r>
      <rPr>
        <sz val="7"/>
        <rFont val="Arial"/>
        <family val="2"/>
      </rPr>
      <t>CASA BLANCA SEC EL PLAN</t>
    </r>
  </si>
  <si>
    <r>
      <rPr>
        <sz val="7"/>
        <rFont val="Arial"/>
        <family val="2"/>
      </rPr>
      <t>CASA BLANCA SEC LA GRUTA</t>
    </r>
  </si>
  <si>
    <r>
      <rPr>
        <sz val="7"/>
        <rFont val="Arial"/>
        <family val="2"/>
      </rPr>
      <t>CASA BLANCA SUBA</t>
    </r>
  </si>
  <si>
    <r>
      <rPr>
        <sz val="7"/>
        <rFont val="Arial"/>
        <family val="2"/>
      </rPr>
      <t>DEL MONTE</t>
    </r>
  </si>
  <si>
    <r>
      <rPr>
        <sz val="7"/>
        <rFont val="Arial"/>
        <family val="2"/>
      </rPr>
      <t>EL VELERO</t>
    </r>
  </si>
  <si>
    <r>
      <rPr>
        <sz val="7"/>
        <rFont val="Arial"/>
        <family val="2"/>
      </rPr>
      <t>ESCUELA DE CARABINEROS</t>
    </r>
  </si>
  <si>
    <r>
      <rPr>
        <sz val="7"/>
        <rFont val="Arial"/>
        <family val="2"/>
      </rPr>
      <t>CALATRAVA</t>
    </r>
  </si>
  <si>
    <r>
      <rPr>
        <sz val="7"/>
        <rFont val="Arial"/>
        <family val="2"/>
      </rPr>
      <t>CAMPANIA</t>
    </r>
  </si>
  <si>
    <r>
      <rPr>
        <sz val="7"/>
        <rFont val="Arial"/>
        <family val="2"/>
      </rPr>
      <t>CIUDAD JARDIN NORTE</t>
    </r>
  </si>
  <si>
    <r>
      <rPr>
        <sz val="7"/>
        <rFont val="Arial"/>
        <family val="2"/>
      </rPr>
      <t>LA COLINA CAMPESTRE</t>
    </r>
  </si>
  <si>
    <r>
      <rPr>
        <sz val="7"/>
        <rFont val="Arial"/>
        <family val="2"/>
      </rPr>
      <t>COLINAS DE SUBA</t>
    </r>
  </si>
  <si>
    <r>
      <rPr>
        <sz val="7"/>
        <rFont val="Arial"/>
        <family val="2"/>
      </rPr>
      <t>CORDOBA</t>
    </r>
  </si>
  <si>
    <r>
      <rPr>
        <sz val="7"/>
        <rFont val="Arial"/>
        <family val="2"/>
      </rPr>
      <t>COVADONGA</t>
    </r>
  </si>
  <si>
    <r>
      <rPr>
        <sz val="7"/>
        <rFont val="Arial"/>
        <family val="2"/>
      </rPr>
      <t>GRATAMIRA</t>
    </r>
  </si>
  <si>
    <r>
      <rPr>
        <sz val="7"/>
        <rFont val="Arial"/>
        <family val="2"/>
      </rPr>
      <t>IBERIA</t>
    </r>
  </si>
  <si>
    <r>
      <rPr>
        <sz val="7"/>
        <rFont val="Arial"/>
        <family val="2"/>
      </rPr>
      <t>LAGOS DE CORDOBA</t>
    </r>
  </si>
  <si>
    <r>
      <rPr>
        <sz val="7"/>
        <rFont val="Arial"/>
        <family val="2"/>
      </rPr>
      <t>LAS VILLAS</t>
    </r>
  </si>
  <si>
    <r>
      <rPr>
        <sz val="7"/>
        <rFont val="Arial"/>
        <family val="2"/>
      </rPr>
      <t>LINDARAJA</t>
    </r>
  </si>
  <si>
    <r>
      <rPr>
        <sz val="7"/>
        <rFont val="Arial"/>
        <family val="2"/>
      </rPr>
      <t>NIZA</t>
    </r>
  </si>
  <si>
    <r>
      <rPr>
        <sz val="7"/>
        <rFont val="Arial"/>
        <family val="2"/>
      </rPr>
      <t>NIZA NORTE</t>
    </r>
  </si>
  <si>
    <r>
      <rPr>
        <sz val="7"/>
        <rFont val="Arial"/>
        <family val="2"/>
      </rPr>
      <t>NIZA SUBA</t>
    </r>
  </si>
  <si>
    <r>
      <rPr>
        <sz val="7"/>
        <rFont val="Arial"/>
        <family val="2"/>
      </rPr>
      <t>NIZA VIII</t>
    </r>
  </si>
  <si>
    <r>
      <rPr>
        <sz val="7"/>
        <rFont val="Arial"/>
        <family val="2"/>
      </rPr>
      <t>PRADO JARDIN</t>
    </r>
  </si>
  <si>
    <r>
      <rPr>
        <sz val="7"/>
        <rFont val="Arial"/>
        <family val="2"/>
      </rPr>
      <t>PROVENZA</t>
    </r>
  </si>
  <si>
    <r>
      <rPr>
        <sz val="7"/>
        <rFont val="Arial"/>
        <family val="2"/>
      </rPr>
      <t>RINCON DE IBERIA</t>
    </r>
  </si>
  <si>
    <r>
      <rPr>
        <sz val="7"/>
        <rFont val="Arial"/>
        <family val="2"/>
      </rPr>
      <t>SOTILEZA</t>
    </r>
  </si>
  <si>
    <r>
      <rPr>
        <sz val="7"/>
        <rFont val="Arial"/>
        <family val="2"/>
      </rPr>
      <t>ANDES NORTE</t>
    </r>
  </si>
  <si>
    <r>
      <rPr>
        <sz val="7"/>
        <rFont val="Arial"/>
        <family val="2"/>
      </rPr>
      <t>CLUB DE LOS LAGARTOS</t>
    </r>
  </si>
  <si>
    <r>
      <rPr>
        <sz val="7"/>
        <rFont val="Arial"/>
        <family val="2"/>
      </rPr>
      <t>COASMEDAS</t>
    </r>
  </si>
  <si>
    <r>
      <rPr>
        <sz val="7"/>
        <rFont val="Arial"/>
        <family val="2"/>
      </rPr>
      <t>JULIO FLOREZ</t>
    </r>
  </si>
  <si>
    <r>
      <rPr>
        <sz val="7"/>
        <rFont val="Arial"/>
        <family val="2"/>
      </rPr>
      <t>LA ALBORADA</t>
    </r>
  </si>
  <si>
    <r>
      <rPr>
        <sz val="7"/>
        <rFont val="Arial"/>
        <family val="2"/>
      </rPr>
      <t>LA FLORESTA NORTE</t>
    </r>
  </si>
  <si>
    <r>
      <rPr>
        <sz val="7"/>
        <rFont val="Arial"/>
        <family val="2"/>
      </rPr>
      <t>MORATO</t>
    </r>
  </si>
  <si>
    <r>
      <rPr>
        <sz val="7"/>
        <rFont val="Arial"/>
        <family val="2"/>
      </rPr>
      <t>NUEVO MONTERREY</t>
    </r>
  </si>
  <si>
    <r>
      <rPr>
        <sz val="7"/>
        <rFont val="Arial"/>
        <family val="2"/>
      </rPr>
      <t>PONTEVEDRA</t>
    </r>
  </si>
  <si>
    <r>
      <rPr>
        <sz val="7"/>
        <rFont val="Arial"/>
        <family val="2"/>
      </rPr>
      <t>POTOSI</t>
    </r>
  </si>
  <si>
    <r>
      <rPr>
        <sz val="7"/>
        <rFont val="Arial"/>
        <family val="2"/>
      </rPr>
      <t>SANTA ROSA</t>
    </r>
  </si>
  <si>
    <r>
      <rPr>
        <sz val="7"/>
        <rFont val="Arial"/>
        <family val="2"/>
      </rPr>
      <t>ASMEDAS</t>
    </r>
  </si>
  <si>
    <r>
      <rPr>
        <sz val="7"/>
        <rFont val="Arial"/>
        <family val="2"/>
      </rPr>
      <t>TEUSACA</t>
    </r>
  </si>
  <si>
    <r>
      <rPr>
        <sz val="7"/>
        <rFont val="Arial"/>
        <family val="2"/>
      </rPr>
      <t>ACACIAS</t>
    </r>
  </si>
  <si>
    <r>
      <rPr>
        <sz val="7"/>
        <rFont val="Arial"/>
        <family val="2"/>
      </rPr>
      <t>ALASKA</t>
    </r>
  </si>
  <si>
    <r>
      <rPr>
        <sz val="7"/>
        <rFont val="Arial"/>
        <family val="2"/>
      </rPr>
      <t>ALCAZAR DE SUBA</t>
    </r>
  </si>
  <si>
    <r>
      <rPr>
        <sz val="7"/>
        <rFont val="Arial"/>
        <family val="2"/>
      </rPr>
      <t>ALMENDROS NORTE</t>
    </r>
  </si>
  <si>
    <r>
      <rPr>
        <sz val="7"/>
        <rFont val="Arial"/>
        <family val="2"/>
      </rPr>
      <t>ALTO DE LA TOMA</t>
    </r>
  </si>
  <si>
    <r>
      <rPr>
        <sz val="7"/>
        <rFont val="Arial"/>
        <family val="2"/>
      </rPr>
      <t>BOSQUES DE SAN JORGE</t>
    </r>
  </si>
  <si>
    <r>
      <rPr>
        <sz val="7"/>
        <rFont val="Arial"/>
        <family val="2"/>
      </rPr>
      <t>CAMPANELA</t>
    </r>
  </si>
  <si>
    <r>
      <rPr>
        <sz val="7"/>
        <rFont val="Arial"/>
        <family val="2"/>
      </rPr>
      <t>EL PENCIL BARRIO EL SALITRE</t>
    </r>
  </si>
  <si>
    <r>
      <rPr>
        <sz val="7"/>
        <rFont val="Arial"/>
        <family val="2"/>
      </rPr>
      <t>EL PINAR</t>
    </r>
  </si>
  <si>
    <r>
      <rPr>
        <sz val="7"/>
        <rFont val="Arial"/>
        <family val="2"/>
      </rPr>
      <t>EL PINO</t>
    </r>
  </si>
  <si>
    <r>
      <rPr>
        <sz val="7"/>
        <rFont val="Arial"/>
        <family val="2"/>
      </rPr>
      <t>EL SALITRE</t>
    </r>
  </si>
  <si>
    <r>
      <rPr>
        <sz val="7"/>
        <rFont val="Arial"/>
        <family val="2"/>
      </rPr>
      <t>JAVA</t>
    </r>
  </si>
  <si>
    <r>
      <rPr>
        <sz val="7"/>
        <rFont val="Arial"/>
        <family val="2"/>
      </rPr>
      <t>LA CAMPIÑA</t>
    </r>
  </si>
  <si>
    <r>
      <rPr>
        <sz val="7"/>
        <rFont val="Arial"/>
        <family val="2"/>
      </rPr>
      <t>LA FONTANA</t>
    </r>
  </si>
  <si>
    <r>
      <rPr>
        <sz val="7"/>
        <rFont val="Arial"/>
        <family val="2"/>
      </rPr>
      <t>LAS ORQUIDEAS</t>
    </r>
  </si>
  <si>
    <r>
      <rPr>
        <sz val="7"/>
        <rFont val="Arial"/>
        <family val="2"/>
      </rPr>
      <t>LONDRES</t>
    </r>
  </si>
  <si>
    <r>
      <rPr>
        <sz val="7"/>
        <rFont val="Arial"/>
        <family val="2"/>
      </rPr>
      <t>MIRAFLORES</t>
    </r>
  </si>
  <si>
    <r>
      <rPr>
        <sz val="7"/>
        <rFont val="Arial"/>
        <family val="2"/>
      </rPr>
      <t>MONARCAS</t>
    </r>
  </si>
  <si>
    <r>
      <rPr>
        <sz val="7"/>
        <rFont val="Arial"/>
        <family val="2"/>
      </rPr>
      <t>NAVETAS</t>
    </r>
  </si>
  <si>
    <r>
      <rPr>
        <sz val="7"/>
        <rFont val="Arial"/>
        <family val="2"/>
      </rPr>
      <t>PINAR DE SUBA</t>
    </r>
  </si>
  <si>
    <r>
      <rPr>
        <sz val="7"/>
        <rFont val="Arial"/>
        <family val="2"/>
      </rPr>
      <t>PINOS DE LOMBARDIA</t>
    </r>
  </si>
  <si>
    <r>
      <rPr>
        <sz val="7"/>
        <rFont val="Arial"/>
        <family val="2"/>
      </rPr>
      <t>PORTAL DE LAS MERCEDES</t>
    </r>
  </si>
  <si>
    <r>
      <rPr>
        <sz val="7"/>
        <rFont val="Arial"/>
        <family val="2"/>
      </rPr>
      <t>PRADERA DE SUBA</t>
    </r>
  </si>
  <si>
    <r>
      <rPr>
        <sz val="7"/>
        <rFont val="Arial"/>
        <family val="2"/>
      </rPr>
      <t>PRADOS DE SUBA</t>
    </r>
  </si>
  <si>
    <r>
      <rPr>
        <sz val="7"/>
        <rFont val="Arial"/>
        <family val="2"/>
      </rPr>
      <t>PUERTA DEL SOL</t>
    </r>
  </si>
  <si>
    <r>
      <rPr>
        <sz val="7"/>
        <rFont val="Arial"/>
        <family val="2"/>
      </rPr>
      <t>RINCON DE SUBA</t>
    </r>
  </si>
  <si>
    <r>
      <rPr>
        <sz val="7"/>
        <rFont val="Arial"/>
        <family val="2"/>
      </rPr>
      <t>RINCON EL CONDOR</t>
    </r>
  </si>
  <si>
    <r>
      <rPr>
        <sz val="7"/>
        <rFont val="Arial"/>
        <family val="2"/>
      </rPr>
      <t>RINCON ESCUELA</t>
    </r>
  </si>
  <si>
    <r>
      <rPr>
        <sz val="7"/>
        <rFont val="Arial"/>
        <family val="2"/>
      </rPr>
      <t>RIOBAMBA</t>
    </r>
  </si>
  <si>
    <r>
      <rPr>
        <sz val="7"/>
        <rFont val="Arial"/>
        <family val="2"/>
      </rPr>
      <t>RODRIGO LARA BONILLA</t>
    </r>
  </si>
  <si>
    <r>
      <rPr>
        <sz val="7"/>
        <rFont val="Arial"/>
        <family val="2"/>
      </rPr>
      <t>SAN CAYETANO</t>
    </r>
  </si>
  <si>
    <r>
      <rPr>
        <sz val="7"/>
        <rFont val="Arial"/>
        <family val="2"/>
      </rPr>
      <t>SAN ISIDRO NORTE</t>
    </r>
  </si>
  <si>
    <r>
      <rPr>
        <sz val="7"/>
        <rFont val="Arial"/>
        <family val="2"/>
      </rPr>
      <t>SAN JORGE</t>
    </r>
  </si>
  <si>
    <r>
      <rPr>
        <sz val="7"/>
        <rFont val="Arial"/>
        <family val="2"/>
      </rPr>
      <t>SAN MIGUEL TIBABUYES</t>
    </r>
  </si>
  <si>
    <r>
      <rPr>
        <sz val="7"/>
        <rFont val="Arial"/>
        <family val="2"/>
      </rPr>
      <t>SAN PEDRO</t>
    </r>
  </si>
  <si>
    <r>
      <rPr>
        <sz val="7"/>
        <rFont val="Arial"/>
        <family val="2"/>
      </rPr>
      <t>SANTA ANA DE SUBA</t>
    </r>
  </si>
  <si>
    <r>
      <rPr>
        <sz val="7"/>
        <rFont val="Arial"/>
        <family val="2"/>
      </rPr>
      <t>SANTA BARBARA TIBABUYES</t>
    </r>
  </si>
  <si>
    <r>
      <rPr>
        <sz val="7"/>
        <rFont val="Arial"/>
        <family val="2"/>
      </rPr>
      <t>SANTA INES - SANTA HELENA</t>
    </r>
  </si>
  <si>
    <r>
      <rPr>
        <sz val="7"/>
        <rFont val="Arial"/>
        <family val="2"/>
      </rPr>
      <t>TABERIN</t>
    </r>
  </si>
  <si>
    <r>
      <rPr>
        <sz val="7"/>
        <rFont val="Arial"/>
        <family val="2"/>
      </rPr>
      <t>TELECOM ARRAYANES</t>
    </r>
  </si>
  <si>
    <r>
      <rPr>
        <sz val="7"/>
        <rFont val="Arial"/>
        <family val="2"/>
      </rPr>
      <t>TEUSAQUILLO DE SUBA</t>
    </r>
  </si>
  <si>
    <r>
      <rPr>
        <sz val="7"/>
        <rFont val="Arial"/>
        <family val="2"/>
      </rPr>
      <t>TIBABUYES</t>
    </r>
  </si>
  <si>
    <r>
      <rPr>
        <sz val="7"/>
        <rFont val="Arial"/>
        <family val="2"/>
      </rPr>
      <t>VILLA ALEXANDRA</t>
    </r>
  </si>
  <si>
    <r>
      <rPr>
        <sz val="7"/>
        <rFont val="Arial"/>
        <family val="2"/>
      </rPr>
      <t>VILLA CATALINA</t>
    </r>
  </si>
  <si>
    <r>
      <rPr>
        <sz val="7"/>
        <rFont val="Arial"/>
        <family val="2"/>
      </rPr>
      <t>VILLA ELISA</t>
    </r>
  </si>
  <si>
    <r>
      <rPr>
        <sz val="7"/>
        <rFont val="Arial"/>
        <family val="2"/>
      </rPr>
      <t>VILLA MARIA</t>
    </r>
  </si>
  <si>
    <r>
      <rPr>
        <sz val="7"/>
        <rFont val="Arial"/>
        <family val="2"/>
      </rPr>
      <t>VILLAS DEL RINCON</t>
    </r>
  </si>
  <si>
    <r>
      <rPr>
        <sz val="7"/>
        <rFont val="Arial"/>
        <family val="2"/>
      </rPr>
      <t>BERLIN</t>
    </r>
  </si>
  <si>
    <r>
      <rPr>
        <sz val="7"/>
        <rFont val="Arial"/>
        <family val="2"/>
      </rPr>
      <t>BILBAO</t>
    </r>
  </si>
  <si>
    <r>
      <rPr>
        <sz val="7"/>
        <rFont val="Arial"/>
        <family val="2"/>
      </rPr>
      <t>CAÑIZA I,II y III</t>
    </r>
  </si>
  <si>
    <r>
      <rPr>
        <sz val="7"/>
        <rFont val="Arial"/>
        <family val="2"/>
      </rPr>
      <t>CAROLINA II y III</t>
    </r>
  </si>
  <si>
    <r>
      <rPr>
        <sz val="7"/>
        <rFont val="Arial"/>
        <family val="2"/>
      </rPr>
      <t>EL CEDRO</t>
    </r>
  </si>
  <si>
    <r>
      <rPr>
        <sz val="7"/>
        <rFont val="Arial"/>
        <family val="2"/>
      </rPr>
      <t>COMPARTIR</t>
    </r>
  </si>
  <si>
    <r>
      <rPr>
        <sz val="7"/>
        <rFont val="Arial"/>
        <family val="2"/>
      </rPr>
      <t>LA GAITANA</t>
    </r>
  </si>
  <si>
    <r>
      <rPr>
        <sz val="7"/>
        <rFont val="Arial"/>
        <family val="2"/>
      </rPr>
      <t>LA ISABELA</t>
    </r>
  </si>
  <si>
    <r>
      <rPr>
        <sz val="7"/>
        <rFont val="Arial"/>
        <family val="2"/>
      </rPr>
      <t>LISBOA</t>
    </r>
  </si>
  <si>
    <r>
      <rPr>
        <sz val="7"/>
        <rFont val="Arial"/>
        <family val="2"/>
      </rPr>
      <t>LOS NOGALES DE TIBABUYES</t>
    </r>
  </si>
  <si>
    <r>
      <rPr>
        <sz val="7"/>
        <rFont val="Arial"/>
        <family val="2"/>
      </rPr>
      <t>MIRAMAR</t>
    </r>
  </si>
  <si>
    <r>
      <rPr>
        <sz val="7"/>
        <rFont val="Arial"/>
        <family val="2"/>
      </rPr>
      <t>NUEVA TIBABUYES</t>
    </r>
  </si>
  <si>
    <r>
      <rPr>
        <sz val="7"/>
        <rFont val="Arial"/>
        <family val="2"/>
      </rPr>
      <t>NUEVO CORINTO SECTOR E</t>
    </r>
  </si>
  <si>
    <r>
      <rPr>
        <sz val="7"/>
        <rFont val="Arial"/>
        <family val="2"/>
      </rPr>
      <t>RINCON DE BOYACA</t>
    </r>
  </si>
  <si>
    <r>
      <rPr>
        <sz val="7"/>
        <rFont val="Arial"/>
        <family val="2"/>
      </rPr>
      <t>SABANA DE TIBABUYES</t>
    </r>
  </si>
  <si>
    <r>
      <rPr>
        <sz val="7"/>
        <rFont val="Arial"/>
        <family val="2"/>
      </rPr>
      <t>SAN CARLOS DE SUBA</t>
    </r>
  </si>
  <si>
    <r>
      <rPr>
        <sz val="7"/>
        <rFont val="Arial"/>
        <family val="2"/>
      </rPr>
      <t>SAN CARLOS DE TIBABUYES</t>
    </r>
  </si>
  <si>
    <r>
      <rPr>
        <sz val="7"/>
        <rFont val="Arial"/>
        <family val="2"/>
      </rPr>
      <t>SAN PEDRO DE TIBABUYES</t>
    </r>
  </si>
  <si>
    <r>
      <rPr>
        <sz val="7"/>
        <rFont val="Arial"/>
        <family val="2"/>
      </rPr>
      <t>SANTA CECILIA</t>
    </r>
  </si>
  <si>
    <r>
      <rPr>
        <sz val="7"/>
        <rFont val="Arial"/>
        <family val="2"/>
      </rPr>
      <t>SANTA RITA</t>
    </r>
  </si>
  <si>
    <r>
      <rPr>
        <sz val="7"/>
        <rFont val="Arial"/>
        <family val="2"/>
      </rPr>
      <t>TIBABUYES UNIVERSAL</t>
    </r>
  </si>
  <si>
    <r>
      <rPr>
        <sz val="7"/>
        <rFont val="Arial"/>
        <family val="2"/>
      </rPr>
      <t>TOSCANA</t>
    </r>
  </si>
  <si>
    <r>
      <rPr>
        <sz val="7"/>
        <rFont val="Arial"/>
        <family val="2"/>
      </rPr>
      <t>VEREDA SUBA RINCON</t>
    </r>
  </si>
  <si>
    <r>
      <rPr>
        <sz val="7"/>
        <rFont val="Arial"/>
        <family val="2"/>
      </rPr>
      <t>VEREDA TIBABUYES</t>
    </r>
  </si>
  <si>
    <r>
      <rPr>
        <sz val="7"/>
        <rFont val="Arial"/>
        <family val="2"/>
      </rPr>
      <t>VERONA</t>
    </r>
  </si>
  <si>
    <r>
      <rPr>
        <sz val="7"/>
        <rFont val="Arial"/>
        <family val="2"/>
      </rPr>
      <t>VILLA CINDY</t>
    </r>
  </si>
  <si>
    <r>
      <rPr>
        <sz val="7"/>
        <rFont val="Arial"/>
        <family val="2"/>
      </rPr>
      <t>VILLA DE LAS FLORES</t>
    </r>
  </si>
  <si>
    <r>
      <rPr>
        <sz val="7"/>
        <rFont val="Arial"/>
        <family val="2"/>
      </rPr>
      <t>VILLA GLORIA</t>
    </r>
  </si>
  <si>
    <r>
      <rPr>
        <sz val="7"/>
        <rFont val="Arial"/>
        <family val="2"/>
      </rPr>
      <t>VILLA GLORIA I</t>
    </r>
  </si>
  <si>
    <r>
      <rPr>
        <sz val="8"/>
        <rFont val="Arial"/>
        <family val="2"/>
      </rPr>
      <t>VILLA CALAZANZ</t>
    </r>
  </si>
  <si>
    <r>
      <rPr>
        <sz val="8"/>
        <rFont val="Arial"/>
        <family val="2"/>
      </rPr>
      <t>CONJUNTO RESIDENCIAL CALLA 100</t>
    </r>
  </si>
  <si>
    <r>
      <rPr>
        <sz val="8"/>
        <rFont val="Arial"/>
        <family val="2"/>
      </rPr>
      <t>ENTRERRIOS</t>
    </r>
  </si>
  <si>
    <r>
      <rPr>
        <sz val="8"/>
        <rFont val="Arial"/>
        <family val="2"/>
      </rPr>
      <t>ESCUELA MILITAR</t>
    </r>
  </si>
  <si>
    <r>
      <rPr>
        <sz val="8"/>
        <rFont val="Arial"/>
        <family val="2"/>
      </rPr>
      <t>LA CASTELLANA</t>
    </r>
  </si>
  <si>
    <r>
      <rPr>
        <sz val="8"/>
        <rFont val="Arial"/>
        <family val="2"/>
      </rPr>
      <t>LA PATRIA</t>
    </r>
  </si>
  <si>
    <r>
      <rPr>
        <sz val="8"/>
        <rFont val="Arial"/>
        <family val="2"/>
      </rPr>
      <t>LOS ANDES</t>
    </r>
  </si>
  <si>
    <r>
      <rPr>
        <sz val="8"/>
        <rFont val="Arial"/>
        <family val="2"/>
      </rPr>
      <t>RIONEGRO</t>
    </r>
  </si>
  <si>
    <r>
      <rPr>
        <sz val="8"/>
        <rFont val="Arial"/>
        <family val="2"/>
      </rPr>
      <t>URBANIZACION SAN MARTIN</t>
    </r>
  </si>
  <si>
    <r>
      <rPr>
        <sz val="8"/>
        <rFont val="Arial"/>
        <family val="2"/>
      </rPr>
      <t>VIZCAYA</t>
    </r>
  </si>
  <si>
    <r>
      <rPr>
        <sz val="8"/>
        <rFont val="Arial"/>
        <family val="2"/>
      </rPr>
      <t>12 DE OCTUBRE</t>
    </r>
  </si>
  <si>
    <r>
      <rPr>
        <sz val="8"/>
        <rFont val="Arial"/>
        <family val="2"/>
      </rPr>
      <t>JORGE ELIECER GAITAN</t>
    </r>
  </si>
  <si>
    <r>
      <rPr>
        <sz val="8"/>
        <rFont val="Arial"/>
        <family val="2"/>
      </rPr>
      <t>JOSE JOAQUIN VARGAS</t>
    </r>
  </si>
  <si>
    <r>
      <rPr>
        <sz val="8"/>
        <rFont val="Arial"/>
        <family val="2"/>
      </rPr>
      <t>LA LIBERTAD</t>
    </r>
  </si>
  <si>
    <r>
      <rPr>
        <sz val="8"/>
        <rFont val="Arial"/>
        <family val="2"/>
      </rPr>
      <t>ENTRE RIOS</t>
    </r>
  </si>
  <si>
    <r>
      <rPr>
        <sz val="8"/>
        <rFont val="Arial"/>
        <family val="2"/>
      </rPr>
      <t>RINCON DEL SALITRE</t>
    </r>
  </si>
  <si>
    <r>
      <rPr>
        <sz val="8"/>
        <rFont val="Arial"/>
        <family val="2"/>
      </rPr>
      <t>EL LABRADOR</t>
    </r>
  </si>
  <si>
    <r>
      <rPr>
        <sz val="8"/>
        <rFont val="Arial"/>
        <family val="2"/>
      </rPr>
      <t>METROPOLIS</t>
    </r>
  </si>
  <si>
    <r>
      <rPr>
        <sz val="8"/>
        <rFont val="Arial"/>
        <family val="2"/>
      </rPr>
      <t>POPULAR MODELO</t>
    </r>
  </si>
  <si>
    <r>
      <rPr>
        <sz val="8"/>
        <rFont val="Arial"/>
        <family val="2"/>
      </rPr>
      <t>SAN FERNANDO</t>
    </r>
  </si>
  <si>
    <r>
      <rPr>
        <sz val="8"/>
        <rFont val="Arial"/>
        <family val="2"/>
      </rPr>
      <t>SAN FERNANDO OCCIDENTAL</t>
    </r>
  </si>
  <si>
    <r>
      <rPr>
        <sz val="8"/>
        <rFont val="Arial"/>
        <family val="2"/>
      </rPr>
      <t>SAN MIGUEL</t>
    </r>
  </si>
  <si>
    <r>
      <rPr>
        <sz val="8"/>
        <rFont val="Arial"/>
        <family val="2"/>
      </rPr>
      <t>SIMON BOLIVAR</t>
    </r>
  </si>
  <si>
    <r>
      <rPr>
        <sz val="8"/>
        <rFont val="Arial"/>
        <family val="2"/>
      </rPr>
      <t>11 DE NOVIEMBRE</t>
    </r>
  </si>
  <si>
    <r>
      <rPr>
        <sz val="8"/>
        <rFont val="Arial"/>
        <family val="2"/>
      </rPr>
      <t>ALCAZARES NORTE</t>
    </r>
  </si>
  <si>
    <r>
      <rPr>
        <sz val="8"/>
        <rFont val="Arial"/>
        <family val="2"/>
      </rPr>
      <t>BAQUERO</t>
    </r>
  </si>
  <si>
    <r>
      <rPr>
        <sz val="8"/>
        <rFont val="Arial"/>
        <family val="2"/>
      </rPr>
      <t>BENJAMIN HERRERA</t>
    </r>
  </si>
  <si>
    <r>
      <rPr>
        <sz val="8"/>
        <rFont val="Arial"/>
        <family val="2"/>
      </rPr>
      <t>CHAPINERO NOROCCIDENTAL</t>
    </r>
  </si>
  <si>
    <r>
      <rPr>
        <sz val="8"/>
        <rFont val="Arial"/>
        <family val="2"/>
      </rPr>
      <t>COLOMBIA</t>
    </r>
  </si>
  <si>
    <r>
      <rPr>
        <sz val="8"/>
        <rFont val="Arial"/>
        <family val="2"/>
      </rPr>
      <t>CONCEPCION NORTE</t>
    </r>
  </si>
  <si>
    <r>
      <rPr>
        <sz val="8"/>
        <rFont val="Arial"/>
        <family val="2"/>
      </rPr>
      <t>LA AURORA</t>
    </r>
  </si>
  <si>
    <r>
      <rPr>
        <sz val="8"/>
        <rFont val="Arial"/>
        <family val="2"/>
      </rPr>
      <t>LA ESPERANZA</t>
    </r>
  </si>
  <si>
    <r>
      <rPr>
        <sz val="8"/>
        <rFont val="Arial"/>
        <family val="2"/>
      </rPr>
      <t>LA MERCED NORTE</t>
    </r>
  </si>
  <si>
    <r>
      <rPr>
        <sz val="8"/>
        <rFont val="Arial"/>
        <family val="2"/>
      </rPr>
      <t>LA PAZ</t>
    </r>
  </si>
  <si>
    <r>
      <rPr>
        <sz val="8"/>
        <rFont val="Arial"/>
        <family val="2"/>
      </rPr>
      <t>LOS ALCAZARES</t>
    </r>
  </si>
  <si>
    <r>
      <rPr>
        <sz val="8"/>
        <rFont val="Arial"/>
        <family val="2"/>
      </rPr>
      <t>MUEQUETA</t>
    </r>
  </si>
  <si>
    <r>
      <rPr>
        <sz val="8"/>
        <rFont val="Arial"/>
        <family val="2"/>
      </rPr>
      <t>POLO CLUB</t>
    </r>
  </si>
  <si>
    <r>
      <rPr>
        <sz val="8"/>
        <rFont val="Arial"/>
        <family val="2"/>
      </rPr>
      <t>QUINTA MUTIS</t>
    </r>
  </si>
  <si>
    <r>
      <rPr>
        <sz val="8"/>
        <rFont val="Arial"/>
        <family val="2"/>
      </rPr>
      <t>RAFAEL URIBE</t>
    </r>
  </si>
  <si>
    <r>
      <rPr>
        <sz val="8"/>
        <rFont val="Arial"/>
        <family val="2"/>
      </rPr>
      <t>SAN FELIPE</t>
    </r>
  </si>
  <si>
    <r>
      <rPr>
        <sz val="8"/>
        <rFont val="Arial"/>
        <family val="2"/>
      </rPr>
      <t>SANTA SOFIA</t>
    </r>
  </si>
  <si>
    <r>
      <rPr>
        <sz val="8"/>
        <rFont val="Arial"/>
        <family val="2"/>
      </rPr>
      <t>SIETE DE AGOSTO</t>
    </r>
  </si>
  <si>
    <r>
      <rPr>
        <sz val="8"/>
        <rFont val="Arial"/>
        <family val="2"/>
      </rPr>
      <t>EL ROSARIO</t>
    </r>
  </si>
  <si>
    <r>
      <rPr>
        <sz val="8"/>
        <rFont val="Arial"/>
        <family val="2"/>
      </rPr>
      <t>BANCO CENTRAL</t>
    </r>
  </si>
  <si>
    <r>
      <rPr>
        <sz val="8"/>
        <rFont val="Arial"/>
        <family val="2"/>
      </rPr>
      <t>ALFONSO LOPEZ</t>
    </r>
  </si>
  <si>
    <r>
      <rPr>
        <sz val="8"/>
        <rFont val="Arial"/>
        <family val="2"/>
      </rPr>
      <t>BELALCAZAR</t>
    </r>
  </si>
  <si>
    <r>
      <rPr>
        <sz val="8"/>
        <rFont val="Arial"/>
        <family val="2"/>
      </rPr>
      <t>CAMPIN</t>
    </r>
  </si>
  <si>
    <r>
      <rPr>
        <sz val="8"/>
        <rFont val="Arial"/>
        <family val="2"/>
      </rPr>
      <t>CHAPINERO OCCIDENTAL</t>
    </r>
  </si>
  <si>
    <r>
      <rPr>
        <sz val="8"/>
        <rFont val="Arial"/>
        <family val="2"/>
      </rPr>
      <t>GALERIAS</t>
    </r>
  </si>
  <si>
    <r>
      <rPr>
        <sz val="8"/>
        <rFont val="Arial"/>
        <family val="2"/>
      </rPr>
      <t>SAN LUIS</t>
    </r>
  </si>
  <si>
    <r>
      <rPr>
        <sz val="8"/>
        <rFont val="Arial"/>
        <family val="2"/>
      </rPr>
      <t>ARMENIA</t>
    </r>
  </si>
  <si>
    <r>
      <rPr>
        <sz val="8"/>
        <rFont val="Arial"/>
        <family val="2"/>
      </rPr>
      <t>ESTRELLA</t>
    </r>
  </si>
  <si>
    <r>
      <rPr>
        <sz val="8"/>
        <rFont val="Arial"/>
        <family val="2"/>
      </rPr>
      <t>LA MAGDALENA</t>
    </r>
  </si>
  <si>
    <r>
      <rPr>
        <sz val="8"/>
        <rFont val="Arial"/>
        <family val="2"/>
      </rPr>
      <t>LA SOLEDAD</t>
    </r>
  </si>
  <si>
    <r>
      <rPr>
        <sz val="8"/>
        <rFont val="Arial"/>
        <family val="2"/>
      </rPr>
      <t>LAS AMERICAS</t>
    </r>
  </si>
  <si>
    <r>
      <rPr>
        <sz val="8"/>
        <rFont val="Arial"/>
        <family val="2"/>
      </rPr>
      <t>PALERMO</t>
    </r>
  </si>
  <si>
    <r>
      <rPr>
        <sz val="8"/>
        <rFont val="Arial"/>
        <family val="2"/>
      </rPr>
      <t>QUESADA</t>
    </r>
  </si>
  <si>
    <r>
      <rPr>
        <sz val="8"/>
        <rFont val="Arial"/>
        <family val="2"/>
      </rPr>
      <t>SANTA TERESITA</t>
    </r>
  </si>
  <si>
    <r>
      <rPr>
        <sz val="8"/>
        <rFont val="Arial"/>
        <family val="2"/>
      </rPr>
      <t>TEUSAQUILLO</t>
    </r>
  </si>
  <si>
    <r>
      <rPr>
        <sz val="8"/>
        <rFont val="Arial"/>
        <family val="2"/>
      </rPr>
      <t>EL SALITRE</t>
    </r>
  </si>
  <si>
    <r>
      <rPr>
        <sz val="8"/>
        <rFont val="Arial"/>
        <family val="2"/>
      </rPr>
      <t>LA ESMERALDA</t>
    </r>
  </si>
  <si>
    <r>
      <rPr>
        <sz val="8"/>
        <rFont val="Arial"/>
        <family val="2"/>
      </rPr>
      <t>NICOLAS DE FEDERMAN</t>
    </r>
  </si>
  <si>
    <r>
      <rPr>
        <sz val="8"/>
        <rFont val="Arial"/>
        <family val="2"/>
      </rPr>
      <t>NUEVO CAMPIN</t>
    </r>
  </si>
  <si>
    <r>
      <rPr>
        <sz val="8"/>
        <rFont val="Arial"/>
        <family val="2"/>
      </rPr>
      <t>PABLO VI</t>
    </r>
  </si>
  <si>
    <r>
      <rPr>
        <sz val="8"/>
        <rFont val="Arial"/>
        <family val="2"/>
      </rPr>
      <t>QUIRINAL</t>
    </r>
  </si>
  <si>
    <r>
      <rPr>
        <sz val="8"/>
        <rFont val="Arial"/>
        <family val="2"/>
      </rPr>
      <t>RAFAEL NUÑEZ</t>
    </r>
  </si>
  <si>
    <r>
      <rPr>
        <sz val="8"/>
        <rFont val="Arial"/>
        <family val="2"/>
      </rPr>
      <t>ACEVEDO TEJADA</t>
    </r>
  </si>
  <si>
    <r>
      <rPr>
        <sz val="8"/>
        <rFont val="Arial"/>
        <family val="2"/>
      </rPr>
      <t>CAMA VIEJA</t>
    </r>
  </si>
  <si>
    <r>
      <rPr>
        <sz val="8"/>
        <rFont val="Arial"/>
        <family val="2"/>
      </rPr>
      <t>CENTRO NARIÑO</t>
    </r>
  </si>
  <si>
    <r>
      <rPr>
        <sz val="8"/>
        <rFont val="Arial"/>
        <family val="2"/>
      </rPr>
      <t>EL RECUERDO</t>
    </r>
  </si>
  <si>
    <r>
      <rPr>
        <sz val="8"/>
        <rFont val="Arial"/>
        <family val="2"/>
      </rPr>
      <t>GRAN AMERICA</t>
    </r>
  </si>
  <si>
    <r>
      <rPr>
        <sz val="8"/>
        <rFont val="Arial"/>
        <family val="2"/>
      </rPr>
      <t>QUINTA PAREDES</t>
    </r>
  </si>
  <si>
    <r>
      <rPr>
        <sz val="8"/>
        <rFont val="Arial"/>
        <family val="2"/>
      </rPr>
      <t>CIUDAD SALITRE SUR-ORIENTAL</t>
    </r>
  </si>
  <si>
    <r>
      <rPr>
        <sz val="8"/>
        <rFont val="Arial"/>
        <family val="2"/>
      </rPr>
      <t>CIUDAD SALITRE NOR-ORIENTAL</t>
    </r>
  </si>
  <si>
    <t>LOS MARTIRES</t>
  </si>
  <si>
    <r>
      <rPr>
        <sz val="8"/>
        <rFont val="Arial"/>
        <family val="2"/>
      </rPr>
      <t>EDUARDO SANTOS</t>
    </r>
  </si>
  <si>
    <r>
      <rPr>
        <sz val="8"/>
        <rFont val="Arial"/>
        <family val="2"/>
      </rPr>
      <t>EL PROGRESO</t>
    </r>
  </si>
  <si>
    <r>
      <rPr>
        <sz val="8"/>
        <rFont val="Arial"/>
        <family val="2"/>
      </rPr>
      <t>EL VERGEL</t>
    </r>
  </si>
  <si>
    <r>
      <rPr>
        <sz val="8"/>
        <rFont val="Arial"/>
        <family val="2"/>
      </rPr>
      <t>SANTA ISABEL</t>
    </r>
  </si>
  <si>
    <r>
      <rPr>
        <sz val="8"/>
        <rFont val="Arial"/>
        <family val="2"/>
      </rPr>
      <t>VERAGUAS</t>
    </r>
  </si>
  <si>
    <r>
      <rPr>
        <sz val="8"/>
        <rFont val="Arial"/>
        <family val="2"/>
      </rPr>
      <t>COLSEGUROS</t>
    </r>
  </si>
  <si>
    <r>
      <rPr>
        <sz val="8"/>
        <rFont val="Arial"/>
        <family val="2"/>
      </rPr>
      <t>EL LISTON</t>
    </r>
  </si>
  <si>
    <r>
      <rPr>
        <sz val="8"/>
        <rFont val="Arial"/>
        <family val="2"/>
      </rPr>
      <t>FLORIDA</t>
    </r>
  </si>
  <si>
    <r>
      <rPr>
        <sz val="8"/>
        <rFont val="Arial"/>
        <family val="2"/>
      </rPr>
      <t>LA ESTANZUELA</t>
    </r>
  </si>
  <si>
    <r>
      <rPr>
        <sz val="8"/>
        <rFont val="Arial"/>
        <family val="2"/>
      </rPr>
      <t>LA FAVORITA</t>
    </r>
  </si>
  <si>
    <r>
      <rPr>
        <sz val="8"/>
        <rFont val="Arial"/>
        <family val="2"/>
      </rPr>
      <t>LA PEPITA</t>
    </r>
  </si>
  <si>
    <r>
      <rPr>
        <sz val="8"/>
        <rFont val="Arial"/>
        <family val="2"/>
      </rPr>
      <t>LA SABANA</t>
    </r>
  </si>
  <si>
    <r>
      <rPr>
        <sz val="8"/>
        <rFont val="Arial"/>
        <family val="2"/>
      </rPr>
      <t>PALOQUEMAO</t>
    </r>
  </si>
  <si>
    <r>
      <rPr>
        <sz val="8"/>
        <rFont val="Arial"/>
        <family val="2"/>
      </rPr>
      <t>PANAMERICANO</t>
    </r>
  </si>
  <si>
    <r>
      <rPr>
        <sz val="8"/>
        <rFont val="Arial"/>
        <family val="2"/>
      </rPr>
      <t>RICAURTE</t>
    </r>
  </si>
  <si>
    <r>
      <rPr>
        <sz val="8"/>
        <rFont val="Arial"/>
        <family val="2"/>
      </rPr>
      <t>SAMPER MENDOZA</t>
    </r>
  </si>
  <si>
    <r>
      <rPr>
        <sz val="8"/>
        <rFont val="Arial"/>
        <family val="2"/>
      </rPr>
      <t>SAN FASON</t>
    </r>
  </si>
  <si>
    <r>
      <rPr>
        <sz val="8"/>
        <rFont val="Arial"/>
        <family val="2"/>
      </rPr>
      <t>SAN VICTORINO</t>
    </r>
  </si>
  <si>
    <r>
      <rPr>
        <sz val="8"/>
        <rFont val="Arial"/>
        <family val="2"/>
      </rPr>
      <t>SANTA FE</t>
    </r>
  </si>
  <si>
    <r>
      <rPr>
        <sz val="8"/>
        <rFont val="Arial"/>
        <family val="2"/>
      </rPr>
      <t>USATAMA</t>
    </r>
  </si>
  <si>
    <r>
      <rPr>
        <sz val="8"/>
        <rFont val="Arial"/>
        <family val="2"/>
      </rPr>
      <t>VOTO NACIONAL</t>
    </r>
  </si>
  <si>
    <r>
      <rPr>
        <sz val="8"/>
        <rFont val="Arial"/>
        <family val="2"/>
      </rPr>
      <t>CARACAS</t>
    </r>
  </si>
  <si>
    <r>
      <rPr>
        <sz val="8"/>
        <rFont val="Arial"/>
        <family val="2"/>
      </rPr>
      <t>CIUDAD BERNA</t>
    </r>
  </si>
  <si>
    <r>
      <rPr>
        <sz val="8"/>
        <rFont val="Arial"/>
        <family val="2"/>
      </rPr>
      <t>CIUDAD JARDIN SUR</t>
    </r>
  </si>
  <si>
    <r>
      <rPr>
        <sz val="8"/>
        <rFont val="Arial"/>
        <family val="2"/>
      </rPr>
      <t>LA HORTUA</t>
    </r>
  </si>
  <si>
    <r>
      <rPr>
        <sz val="8"/>
        <rFont val="Arial"/>
        <family val="2"/>
      </rPr>
      <t>POLICARPA</t>
    </r>
  </si>
  <si>
    <r>
      <rPr>
        <sz val="8"/>
        <rFont val="Arial"/>
        <family val="2"/>
      </rPr>
      <t>SEVILLA</t>
    </r>
  </si>
  <si>
    <r>
      <rPr>
        <sz val="8"/>
        <rFont val="Arial"/>
        <family val="2"/>
      </rPr>
      <t>EDUARDO FREI</t>
    </r>
  </si>
  <si>
    <r>
      <rPr>
        <sz val="8"/>
        <rFont val="Arial"/>
        <family val="2"/>
      </rPr>
      <t>LA FRAGUA</t>
    </r>
  </si>
  <si>
    <r>
      <rPr>
        <sz val="8"/>
        <rFont val="Arial"/>
        <family val="2"/>
      </rPr>
      <t>LA FRAGUITA</t>
    </r>
  </si>
  <si>
    <r>
      <rPr>
        <sz val="8"/>
        <rFont val="Arial"/>
        <family val="2"/>
      </rPr>
      <t>LUNA PARK</t>
    </r>
  </si>
  <si>
    <r>
      <rPr>
        <sz val="8"/>
        <rFont val="Arial"/>
        <family val="2"/>
      </rPr>
      <t>RESTREPO</t>
    </r>
  </si>
  <si>
    <r>
      <rPr>
        <sz val="8"/>
        <rFont val="Arial"/>
        <family val="2"/>
      </rPr>
      <t>RESTREPO OCCIDENTAL</t>
    </r>
  </si>
  <si>
    <r>
      <rPr>
        <sz val="8"/>
        <rFont val="Arial"/>
        <family val="2"/>
      </rPr>
      <t>SAN ANTONIO</t>
    </r>
  </si>
  <si>
    <r>
      <rPr>
        <sz val="8"/>
        <rFont val="Arial"/>
        <family val="2"/>
      </rPr>
      <t>SAN JORGE CENTRAL II SECTOR</t>
    </r>
  </si>
  <si>
    <r>
      <rPr>
        <sz val="8"/>
        <rFont val="Arial"/>
        <family val="2"/>
      </rPr>
      <t>SANTANDER</t>
    </r>
  </si>
  <si>
    <r>
      <rPr>
        <sz val="8"/>
        <rFont val="Arial"/>
        <family val="2"/>
      </rPr>
      <t>SANTANDER SUR</t>
    </r>
  </si>
  <si>
    <r>
      <rPr>
        <sz val="8"/>
        <rFont val="Arial"/>
        <family val="2"/>
      </rPr>
      <t>SENA</t>
    </r>
  </si>
  <si>
    <r>
      <rPr>
        <sz val="8"/>
        <rFont val="Arial"/>
        <family val="2"/>
      </rPr>
      <t>VILLA MAYOR ORIENTAL</t>
    </r>
  </si>
  <si>
    <r>
      <rPr>
        <sz val="8"/>
        <rFont val="Arial"/>
        <family val="2"/>
      </rPr>
      <t>LA GUACA</t>
    </r>
  </si>
  <si>
    <r>
      <rPr>
        <sz val="8"/>
        <rFont val="Arial"/>
        <family val="2"/>
      </rPr>
      <t>BOCHICA</t>
    </r>
  </si>
  <si>
    <r>
      <rPr>
        <sz val="8"/>
        <rFont val="Arial"/>
        <family val="2"/>
      </rPr>
      <t>CARABELAS</t>
    </r>
  </si>
  <si>
    <r>
      <rPr>
        <sz val="8"/>
        <rFont val="Arial"/>
        <family val="2"/>
      </rPr>
      <t>CIUDAD MONTES</t>
    </r>
  </si>
  <si>
    <r>
      <rPr>
        <sz val="8"/>
        <rFont val="Arial"/>
        <family val="2"/>
      </rPr>
      <t>EL SOL</t>
    </r>
  </si>
  <si>
    <r>
      <rPr>
        <sz val="8"/>
        <rFont val="Arial"/>
        <family val="2"/>
      </rPr>
      <t>JAZMIN</t>
    </r>
  </si>
  <si>
    <r>
      <rPr>
        <sz val="8"/>
        <rFont val="Arial"/>
        <family val="2"/>
      </rPr>
      <t>JORGE GAITAN CORTES</t>
    </r>
  </si>
  <si>
    <r>
      <rPr>
        <sz val="8"/>
        <rFont val="Arial"/>
        <family val="2"/>
      </rPr>
      <t>LA ASUNCION</t>
    </r>
  </si>
  <si>
    <r>
      <rPr>
        <sz val="8"/>
        <rFont val="Arial"/>
        <family val="2"/>
      </rPr>
      <t>LA CAMELIA</t>
    </r>
  </si>
  <si>
    <r>
      <rPr>
        <sz val="8"/>
        <rFont val="Arial"/>
        <family val="2"/>
      </rPr>
      <t>LOS COMUNEROS</t>
    </r>
  </si>
  <si>
    <r>
      <rPr>
        <sz val="8"/>
        <rFont val="Arial"/>
        <family val="2"/>
      </rPr>
      <t>PONDEROSA</t>
    </r>
  </si>
  <si>
    <r>
      <rPr>
        <sz val="8"/>
        <rFont val="Arial"/>
        <family val="2"/>
      </rPr>
      <t>PRIMAVERA</t>
    </r>
  </si>
  <si>
    <r>
      <rPr>
        <sz val="8"/>
        <rFont val="Arial"/>
        <family val="2"/>
      </rPr>
      <t>REMANSO</t>
    </r>
  </si>
  <si>
    <r>
      <rPr>
        <sz val="8"/>
        <rFont val="Arial"/>
        <family val="2"/>
      </rPr>
      <t>SAN EUSEBIO</t>
    </r>
  </si>
  <si>
    <r>
      <rPr>
        <sz val="8"/>
        <rFont val="Arial"/>
        <family val="2"/>
      </rPr>
      <t>SANTA MATILDE</t>
    </r>
  </si>
  <si>
    <r>
      <rPr>
        <sz val="8"/>
        <rFont val="Arial"/>
        <family val="2"/>
      </rPr>
      <t>TIBANA</t>
    </r>
  </si>
  <si>
    <r>
      <rPr>
        <sz val="8"/>
        <rFont val="Arial"/>
        <family val="2"/>
      </rPr>
      <t>TORREMOLINOS</t>
    </r>
  </si>
  <si>
    <r>
      <rPr>
        <sz val="8"/>
        <rFont val="Arial"/>
        <family val="2"/>
      </rPr>
      <t>VILLA INES</t>
    </r>
  </si>
  <si>
    <r>
      <rPr>
        <sz val="8"/>
        <rFont val="Arial"/>
        <family val="2"/>
      </rPr>
      <t>ALCALA</t>
    </r>
  </si>
  <si>
    <r>
      <rPr>
        <sz val="8"/>
        <rFont val="Arial"/>
        <family val="2"/>
      </rPr>
      <t>ALQUERIA</t>
    </r>
  </si>
  <si>
    <r>
      <rPr>
        <sz val="8"/>
        <rFont val="Arial"/>
        <family val="2"/>
      </rPr>
      <t>AUTOPISTA MUZU</t>
    </r>
  </si>
  <si>
    <r>
      <rPr>
        <sz val="8"/>
        <rFont val="Arial"/>
        <family val="2"/>
      </rPr>
      <t>LA CORUÑA</t>
    </r>
  </si>
  <si>
    <r>
      <rPr>
        <sz val="8"/>
        <rFont val="Arial"/>
        <family val="2"/>
      </rPr>
      <t>LOS SAUCES</t>
    </r>
  </si>
  <si>
    <r>
      <rPr>
        <sz val="8"/>
        <rFont val="Arial"/>
        <family val="2"/>
      </rPr>
      <t>MUZU</t>
    </r>
  </si>
  <si>
    <r>
      <rPr>
        <sz val="8"/>
        <rFont val="Arial"/>
        <family val="2"/>
      </rPr>
      <t>OSPINA PEREZ</t>
    </r>
  </si>
  <si>
    <r>
      <rPr>
        <sz val="8"/>
        <rFont val="Arial"/>
        <family val="2"/>
      </rPr>
      <t>SANTA RITA</t>
    </r>
  </si>
  <si>
    <r>
      <rPr>
        <sz val="8"/>
        <rFont val="Arial"/>
        <family val="2"/>
      </rPr>
      <t>TEJAR</t>
    </r>
  </si>
  <si>
    <r>
      <rPr>
        <sz val="8"/>
        <rFont val="Arial"/>
        <family val="2"/>
      </rPr>
      <t>VILLA DEL ROSARIO</t>
    </r>
  </si>
  <si>
    <r>
      <rPr>
        <sz val="8"/>
        <rFont val="Arial"/>
        <family val="2"/>
      </rPr>
      <t>VILLA SONIA</t>
    </r>
  </si>
  <si>
    <r>
      <rPr>
        <sz val="8"/>
        <rFont val="Arial"/>
        <family val="2"/>
      </rPr>
      <t>BARCELONA</t>
    </r>
  </si>
  <si>
    <r>
      <rPr>
        <sz val="8"/>
        <rFont val="Arial"/>
        <family val="2"/>
      </rPr>
      <t>BRISAS DEL GALAN</t>
    </r>
  </si>
  <si>
    <r>
      <rPr>
        <sz val="8"/>
        <rFont val="Arial"/>
        <family val="2"/>
      </rPr>
      <t>BRASILIA</t>
    </r>
  </si>
  <si>
    <r>
      <rPr>
        <sz val="8"/>
        <rFont val="Arial"/>
        <family val="2"/>
      </rPr>
      <t>CAMELIA SUR</t>
    </r>
  </si>
  <si>
    <r>
      <rPr>
        <sz val="8"/>
        <rFont val="Arial"/>
        <family val="2"/>
      </rPr>
      <t>COLON</t>
    </r>
  </si>
  <si>
    <r>
      <rPr>
        <sz val="8"/>
        <rFont val="Arial"/>
        <family val="2"/>
      </rPr>
      <t>GALAN</t>
    </r>
  </si>
  <si>
    <r>
      <rPr>
        <sz val="8"/>
        <rFont val="Arial"/>
        <family val="2"/>
      </rPr>
      <t>LA PRADERA</t>
    </r>
  </si>
  <si>
    <r>
      <rPr>
        <sz val="8"/>
        <rFont val="Arial"/>
        <family val="2"/>
      </rPr>
      <t>LA TRINIDAD</t>
    </r>
  </si>
  <si>
    <r>
      <rPr>
        <sz val="8"/>
        <rFont val="Arial"/>
        <family val="2"/>
      </rPr>
      <t>EL ARPAY LA LIRA</t>
    </r>
  </si>
  <si>
    <r>
      <rPr>
        <sz val="8"/>
        <rFont val="Arial"/>
        <family val="2"/>
      </rPr>
      <t>MILENTA</t>
    </r>
  </si>
  <si>
    <r>
      <rPr>
        <sz val="8"/>
        <rFont val="Arial"/>
        <family val="2"/>
      </rPr>
      <t>SAN FRANCISCO</t>
    </r>
  </si>
  <si>
    <r>
      <rPr>
        <sz val="8"/>
        <rFont val="Arial"/>
        <family val="2"/>
      </rPr>
      <t>SAN GABRIEL</t>
    </r>
  </si>
  <si>
    <r>
      <rPr>
        <sz val="8"/>
        <rFont val="Arial"/>
        <family val="2"/>
      </rPr>
      <t>SAN RAFAEL</t>
    </r>
  </si>
  <si>
    <r>
      <rPr>
        <sz val="8"/>
        <rFont val="Arial"/>
        <family val="2"/>
      </rPr>
      <t>SAN RAFAEL INDUSTRIAL</t>
    </r>
  </si>
  <si>
    <r>
      <rPr>
        <sz val="8"/>
        <rFont val="Arial"/>
        <family val="2"/>
      </rPr>
      <t>CUNDINAMARCA</t>
    </r>
  </si>
  <si>
    <r>
      <rPr>
        <sz val="8"/>
        <rFont val="Arial"/>
        <family val="2"/>
      </rPr>
      <t>EL EJIDO</t>
    </r>
  </si>
  <si>
    <r>
      <rPr>
        <sz val="8"/>
        <rFont val="Arial"/>
        <family val="2"/>
      </rPr>
      <t>GORGONZOLA</t>
    </r>
  </si>
  <si>
    <r>
      <rPr>
        <sz val="8"/>
        <rFont val="Arial"/>
        <family val="2"/>
      </rPr>
      <t>INDUSTRIAL CENTENARIO</t>
    </r>
  </si>
  <si>
    <r>
      <rPr>
        <sz val="8"/>
        <rFont val="Arial"/>
        <family val="2"/>
      </rPr>
      <t>LA FLORIDA OCCIDENTAL</t>
    </r>
  </si>
  <si>
    <r>
      <rPr>
        <sz val="8"/>
        <rFont val="Arial"/>
        <family val="2"/>
      </rPr>
      <t>LOS EJIDOS</t>
    </r>
  </si>
  <si>
    <r>
      <rPr>
        <sz val="8"/>
        <rFont val="Arial"/>
        <family val="2"/>
      </rPr>
      <t>PENSILVANIA</t>
    </r>
  </si>
  <si>
    <r>
      <rPr>
        <sz val="8"/>
        <rFont val="Arial"/>
        <family val="2"/>
      </rPr>
      <t>BATALLON CALDAS</t>
    </r>
  </si>
  <si>
    <r>
      <rPr>
        <sz val="8"/>
        <rFont val="Arial"/>
        <family val="2"/>
      </rPr>
      <t>CENTRO INDUSTRIAL</t>
    </r>
  </si>
  <si>
    <r>
      <rPr>
        <sz val="8"/>
        <rFont val="Arial"/>
        <family val="2"/>
      </rPr>
      <t>ORTEZAL</t>
    </r>
  </si>
  <si>
    <r>
      <rPr>
        <sz val="8"/>
        <rFont val="Arial"/>
        <family val="2"/>
      </rPr>
      <t>PUENTE ARANDA</t>
    </r>
  </si>
  <si>
    <r>
      <rPr>
        <sz val="8"/>
        <rFont val="Arial"/>
        <family val="2"/>
      </rPr>
      <t>SALAZAR GOMEZ</t>
    </r>
  </si>
  <si>
    <r>
      <rPr>
        <sz val="8"/>
        <rFont val="Arial"/>
        <family val="2"/>
      </rPr>
      <t>NUEVA SANTA FE DE BOGOTA</t>
    </r>
  </si>
  <si>
    <r>
      <rPr>
        <sz val="8"/>
        <rFont val="Arial"/>
        <family val="2"/>
      </rPr>
      <t>BELEN</t>
    </r>
  </si>
  <si>
    <r>
      <rPr>
        <sz val="8"/>
        <rFont val="Arial"/>
        <family val="2"/>
      </rPr>
      <t>CANDELARIA</t>
    </r>
  </si>
  <si>
    <r>
      <rPr>
        <sz val="8"/>
        <rFont val="Arial"/>
        <family val="2"/>
      </rPr>
      <t>CENTRO ADMINISTRATIVO</t>
    </r>
  </si>
  <si>
    <r>
      <rPr>
        <sz val="8"/>
        <rFont val="Arial"/>
        <family val="2"/>
      </rPr>
      <t>LA CATEDRAL</t>
    </r>
  </si>
  <si>
    <r>
      <rPr>
        <sz val="8"/>
        <rFont val="Arial"/>
        <family val="2"/>
      </rPr>
      <t>LA CONCORDIA</t>
    </r>
  </si>
  <si>
    <r>
      <rPr>
        <sz val="8"/>
        <rFont val="Arial"/>
        <family val="2"/>
      </rPr>
      <t>LAS AGUAS</t>
    </r>
  </si>
  <si>
    <r>
      <rPr>
        <sz val="8"/>
        <rFont val="Arial"/>
        <family val="2"/>
      </rPr>
      <t>STA BARBARA</t>
    </r>
  </si>
  <si>
    <t>RAFAEL_URIBE</t>
  </si>
  <si>
    <r>
      <rPr>
        <sz val="4.5"/>
        <rFont val="Arial"/>
        <family val="2"/>
      </rPr>
      <t>GUSTAVO RESTREPO</t>
    </r>
  </si>
  <si>
    <r>
      <rPr>
        <sz val="4.5"/>
        <rFont val="Arial"/>
        <family val="2"/>
      </rPr>
      <t>HOSPITAL SAN CARLOS</t>
    </r>
  </si>
  <si>
    <r>
      <rPr>
        <sz val="4.5"/>
        <rFont val="Arial"/>
        <family val="2"/>
      </rPr>
      <t>SAN JOSE SUR</t>
    </r>
  </si>
  <si>
    <r>
      <rPr>
        <sz val="4.5"/>
        <rFont val="Arial"/>
        <family val="2"/>
      </rPr>
      <t>SOCIEGO SUR</t>
    </r>
  </si>
  <si>
    <r>
      <rPr>
        <sz val="4.5"/>
        <rFont val="Arial"/>
        <family val="2"/>
      </rPr>
      <t>BRAVO PAEZ</t>
    </r>
  </si>
  <si>
    <r>
      <rPr>
        <sz val="4.5"/>
        <rFont val="Arial"/>
        <family val="2"/>
      </rPr>
      <t>CENTENARIO</t>
    </r>
  </si>
  <si>
    <r>
      <rPr>
        <sz val="4.5"/>
        <rFont val="Arial"/>
        <family val="2"/>
      </rPr>
      <t>CLARET</t>
    </r>
  </si>
  <si>
    <r>
      <rPr>
        <sz val="4.5"/>
        <rFont val="Arial"/>
        <family val="2"/>
      </rPr>
      <t>INGLES</t>
    </r>
  </si>
  <si>
    <r>
      <rPr>
        <sz val="4.5"/>
        <rFont val="Arial"/>
        <family val="2"/>
      </rPr>
      <t>LIBERTADOR</t>
    </r>
  </si>
  <si>
    <r>
      <rPr>
        <sz val="4.5"/>
        <rFont val="Arial"/>
        <family val="2"/>
      </rPr>
      <t>MURILLO TORO</t>
    </r>
  </si>
  <si>
    <r>
      <rPr>
        <sz val="4.5"/>
        <rFont val="Arial"/>
        <family val="2"/>
      </rPr>
      <t>OLAYA</t>
    </r>
  </si>
  <si>
    <r>
      <rPr>
        <sz val="4.5"/>
        <rFont val="Arial"/>
        <family val="2"/>
      </rPr>
      <t>QUIROGA</t>
    </r>
  </si>
  <si>
    <r>
      <rPr>
        <sz val="4.5"/>
        <rFont val="Arial"/>
        <family val="2"/>
      </rPr>
      <t>QUIROGA CENTRAL</t>
    </r>
  </si>
  <si>
    <r>
      <rPr>
        <sz val="4.5"/>
        <rFont val="Arial"/>
        <family val="2"/>
      </rPr>
      <t>QUIROGA SUR</t>
    </r>
  </si>
  <si>
    <r>
      <rPr>
        <sz val="4.5"/>
        <rFont val="Arial"/>
        <family val="2"/>
      </rPr>
      <t>SANTIAGO PEREZ</t>
    </r>
  </si>
  <si>
    <r>
      <rPr>
        <sz val="4.5"/>
        <rFont val="Arial"/>
        <family val="2"/>
      </rPr>
      <t>VILLA MAYOR</t>
    </r>
  </si>
  <si>
    <r>
      <rPr>
        <sz val="4.5"/>
        <rFont val="Arial"/>
        <family val="2"/>
      </rPr>
      <t>CARMEN DEL SOL</t>
    </r>
  </si>
  <si>
    <r>
      <rPr>
        <sz val="4.5"/>
        <rFont val="Arial"/>
        <family val="2"/>
      </rPr>
      <t>CARMEN DEL SOL I SECTOR</t>
    </r>
  </si>
  <si>
    <r>
      <rPr>
        <sz val="4.5"/>
        <rFont val="Arial"/>
        <family val="2"/>
      </rPr>
      <t>EL RECUERDO SAN JORGE ALTO</t>
    </r>
  </si>
  <si>
    <r>
      <rPr>
        <sz val="4.5"/>
        <rFont val="Arial"/>
        <family val="2"/>
      </rPr>
      <t>EL TRIUNFO SUR</t>
    </r>
  </si>
  <si>
    <r>
      <rPr>
        <sz val="4.5"/>
        <rFont val="Arial"/>
        <family val="2"/>
      </rPr>
      <t>GRANJAS SAN PABLO</t>
    </r>
  </si>
  <si>
    <r>
      <rPr>
        <sz val="4.5"/>
        <rFont val="Arial"/>
        <family val="2"/>
      </rPr>
      <t>GRANJAS SANTA SOFIA</t>
    </r>
  </si>
  <si>
    <r>
      <rPr>
        <sz val="4.5"/>
        <rFont val="Arial"/>
        <family val="2"/>
      </rPr>
      <t>LA RESURRECCION</t>
    </r>
  </si>
  <si>
    <r>
      <rPr>
        <sz val="4.5"/>
        <rFont val="Arial"/>
        <family val="2"/>
      </rPr>
      <t>LAS COLINAS</t>
    </r>
  </si>
  <si>
    <r>
      <rPr>
        <sz val="4.5"/>
        <rFont val="Arial"/>
        <family val="2"/>
      </rPr>
      <t>LAS LOMAS</t>
    </r>
  </si>
  <si>
    <r>
      <rPr>
        <sz val="4.5"/>
        <rFont val="Arial"/>
        <family val="2"/>
      </rPr>
      <t>LUIS LOPEZ DE MESA</t>
    </r>
  </si>
  <si>
    <r>
      <rPr>
        <sz val="4.5"/>
        <rFont val="Arial"/>
        <family val="2"/>
      </rPr>
      <t>MARCO FIDEL SUAREZ</t>
    </r>
  </si>
  <si>
    <r>
      <rPr>
        <sz val="4.5"/>
        <rFont val="Arial"/>
        <family val="2"/>
      </rPr>
      <t>MARCO FIDEL SUAREZ LA CAÑADA</t>
    </r>
  </si>
  <si>
    <r>
      <rPr>
        <sz val="4.5"/>
        <rFont val="Arial"/>
        <family val="2"/>
      </rPr>
      <t>RESURRECCION</t>
    </r>
  </si>
  <si>
    <r>
      <rPr>
        <sz val="4.5"/>
        <rFont val="Arial"/>
        <family val="2"/>
      </rPr>
      <t>RIO DE JANEIRO EL PESEBRE</t>
    </r>
  </si>
  <si>
    <r>
      <rPr>
        <sz val="4.5"/>
        <rFont val="Arial"/>
        <family val="2"/>
      </rPr>
      <t>SAN JORGE SUR</t>
    </r>
  </si>
  <si>
    <r>
      <rPr>
        <sz val="4.5"/>
        <rFont val="Arial"/>
        <family val="2"/>
      </rPr>
      <t>SAN JORGE-GLORIA GAITAN</t>
    </r>
  </si>
  <si>
    <r>
      <rPr>
        <sz val="4.5"/>
        <rFont val="Arial"/>
        <family val="2"/>
      </rPr>
      <t>SAN JUSTINO</t>
    </r>
  </si>
  <si>
    <r>
      <rPr>
        <sz val="4.5"/>
        <rFont val="Arial"/>
        <family val="2"/>
      </rPr>
      <t>SANTA LUICIA</t>
    </r>
  </si>
  <si>
    <r>
      <rPr>
        <sz val="4.5"/>
        <rFont val="Arial"/>
        <family val="2"/>
      </rPr>
      <t>TERRAZAS DE SAN JORGE</t>
    </r>
  </si>
  <si>
    <r>
      <rPr>
        <sz val="4.5"/>
        <rFont val="Arial"/>
        <family val="2"/>
      </rPr>
      <t>ANTONIO MORALES GALAVIS</t>
    </r>
  </si>
  <si>
    <r>
      <rPr>
        <sz val="4.5"/>
        <rFont val="Arial"/>
        <family val="2"/>
      </rPr>
      <t>ARBOLEDA SUR</t>
    </r>
  </si>
  <si>
    <r>
      <rPr>
        <sz val="4.5"/>
        <rFont val="Arial"/>
        <family val="2"/>
      </rPr>
      <t>CALLEJON SANTA BARBARA</t>
    </r>
  </si>
  <si>
    <r>
      <rPr>
        <sz val="4.5"/>
        <rFont val="Arial"/>
        <family val="2"/>
      </rPr>
      <t>CERROS DE ORIENTE</t>
    </r>
  </si>
  <si>
    <r>
      <rPr>
        <sz val="4.5"/>
        <rFont val="Arial"/>
        <family val="2"/>
      </rPr>
      <t>DANUBIO DEL SUR</t>
    </r>
  </si>
  <si>
    <r>
      <rPr>
        <sz val="4.5"/>
        <rFont val="Arial"/>
        <family val="2"/>
      </rPr>
      <t>EL CONSUELO</t>
    </r>
  </si>
  <si>
    <r>
      <rPr>
        <sz val="4.5"/>
        <rFont val="Arial"/>
        <family val="2"/>
      </rPr>
      <t>EL MIRADOR SUR I Y II</t>
    </r>
  </si>
  <si>
    <r>
      <rPr>
        <sz val="4.5"/>
        <rFont val="Arial"/>
        <family val="2"/>
      </rPr>
      <t>EL PENSIL</t>
    </r>
  </si>
  <si>
    <r>
      <rPr>
        <sz val="4.5"/>
        <rFont val="Arial"/>
        <family val="2"/>
      </rPr>
      <t>EL PLAYON</t>
    </r>
  </si>
  <si>
    <r>
      <rPr>
        <sz val="4.5"/>
        <rFont val="Arial"/>
        <family val="2"/>
      </rPr>
      <t>EL PUERTO LA LOMA DE SAN CARLOS</t>
    </r>
  </si>
  <si>
    <r>
      <rPr>
        <sz val="4.5"/>
        <rFont val="Arial"/>
        <family val="2"/>
      </rPr>
      <t>EL ROSAL</t>
    </r>
  </si>
  <si>
    <r>
      <rPr>
        <sz val="4.5"/>
        <rFont val="Arial"/>
        <family val="2"/>
      </rPr>
      <t>EL SOCORRO</t>
    </r>
  </si>
  <si>
    <r>
      <rPr>
        <sz val="4.5"/>
        <rFont val="Arial"/>
        <family val="2"/>
      </rPr>
      <t>GOVAROBA</t>
    </r>
  </si>
  <si>
    <r>
      <rPr>
        <sz val="4.5"/>
        <rFont val="Arial"/>
        <family val="2"/>
      </rPr>
      <t>GOVAROBA II</t>
    </r>
  </si>
  <si>
    <r>
      <rPr>
        <sz val="4.5"/>
        <rFont val="Arial"/>
        <family val="2"/>
      </rPr>
      <t>GUIPARMA</t>
    </r>
  </si>
  <si>
    <r>
      <rPr>
        <sz val="4.5"/>
        <rFont val="Arial"/>
        <family val="2"/>
      </rPr>
      <t>LA MERCED SUR</t>
    </r>
  </si>
  <si>
    <r>
      <rPr>
        <sz val="4.5"/>
        <rFont val="Arial"/>
        <family val="2"/>
      </rPr>
      <t>LA MERCED SUR SAN IGNACIO</t>
    </r>
  </si>
  <si>
    <r>
      <rPr>
        <sz val="4.5"/>
        <rFont val="Arial"/>
        <family val="2"/>
      </rPr>
      <t>LA PICOTA</t>
    </r>
  </si>
  <si>
    <r>
      <rPr>
        <sz val="4.5"/>
        <rFont val="Arial"/>
        <family val="2"/>
      </rPr>
      <t>LA PLAYA</t>
    </r>
  </si>
  <si>
    <r>
      <rPr>
        <sz val="4.5"/>
        <rFont val="Arial"/>
        <family val="2"/>
      </rPr>
      <t>LA PROVIDENCIA MEDIA</t>
    </r>
  </si>
  <si>
    <r>
      <rPr>
        <sz val="4.5"/>
        <rFont val="Arial"/>
        <family val="2"/>
      </rPr>
      <t>LOS CHIRCALES</t>
    </r>
  </si>
  <si>
    <r>
      <rPr>
        <sz val="4.5"/>
        <rFont val="Arial"/>
        <family val="2"/>
      </rPr>
      <t>LOS MOLINOS</t>
    </r>
  </si>
  <si>
    <r>
      <rPr>
        <sz val="4.5"/>
        <rFont val="Arial"/>
        <family val="2"/>
      </rPr>
      <t>MARRUECOS</t>
    </r>
  </si>
  <si>
    <r>
      <rPr>
        <sz val="4.5"/>
        <rFont val="Arial"/>
        <family val="2"/>
      </rPr>
      <t>MIRADOR DE MARROCOS</t>
    </r>
  </si>
  <si>
    <r>
      <rPr>
        <sz val="4.5"/>
        <rFont val="Arial"/>
        <family val="2"/>
      </rPr>
      <t>MIRADOR LOS MOLINOS II SECTOR</t>
    </r>
  </si>
  <si>
    <r>
      <rPr>
        <sz val="4.5"/>
        <rFont val="Arial"/>
        <family val="2"/>
      </rPr>
      <t>MOLINOS DEL SUR</t>
    </r>
  </si>
  <si>
    <r>
      <rPr>
        <sz val="4.5"/>
        <rFont val="Arial"/>
        <family val="2"/>
      </rPr>
      <t>NUEVO PENSILVANIA SUR</t>
    </r>
  </si>
  <si>
    <r>
      <rPr>
        <sz val="4.5"/>
        <rFont val="Arial"/>
        <family val="2"/>
      </rPr>
      <t>PLAYON LA PLAYITA III</t>
    </r>
  </si>
  <si>
    <r>
      <rPr>
        <sz val="4.5"/>
        <rFont val="Arial"/>
        <family val="2"/>
      </rPr>
      <t>PRADERA SUR</t>
    </r>
  </si>
  <si>
    <r>
      <rPr>
        <sz val="4.5"/>
        <rFont val="Arial"/>
        <family val="2"/>
      </rPr>
      <t>PRINCIPE DE BOCHICA</t>
    </r>
  </si>
  <si>
    <r>
      <rPr>
        <sz val="4.5"/>
        <rFont val="Arial"/>
        <family val="2"/>
      </rPr>
      <t>PUENTE DE SAN BERNADO</t>
    </r>
  </si>
  <si>
    <r>
      <rPr>
        <sz val="4.5"/>
        <rFont val="Arial"/>
        <family val="2"/>
      </rPr>
      <t>PUERTO RICO</t>
    </r>
  </si>
  <si>
    <r>
      <rPr>
        <sz val="4.5"/>
        <rFont val="Arial"/>
        <family val="2"/>
      </rPr>
      <t>SOCORRO III SECTOR</t>
    </r>
  </si>
  <si>
    <r>
      <rPr>
        <sz val="4.5"/>
        <rFont val="Arial"/>
        <family val="2"/>
      </rPr>
      <t>VILLA DEL SOL</t>
    </r>
  </si>
  <si>
    <r>
      <rPr>
        <sz val="4.5"/>
        <rFont val="Arial"/>
        <family val="2"/>
      </rPr>
      <t>VILLA GLADYS</t>
    </r>
  </si>
  <si>
    <r>
      <rPr>
        <sz val="4.5"/>
        <rFont val="Arial"/>
        <family val="2"/>
      </rPr>
      <t>VILLA MORALES</t>
    </r>
  </si>
  <si>
    <r>
      <rPr>
        <sz val="4.5"/>
        <rFont val="Arial"/>
        <family val="2"/>
      </rPr>
      <t>ANTONIO MORALES II</t>
    </r>
  </si>
  <si>
    <r>
      <rPr>
        <sz val="4.5"/>
        <rFont val="Arial"/>
        <family val="2"/>
      </rPr>
      <t>BUENOS.AIRES LA ESP.PARC. LA FISC</t>
    </r>
  </si>
  <si>
    <r>
      <rPr>
        <sz val="4.5"/>
        <rFont val="Arial"/>
        <family val="2"/>
      </rPr>
      <t>DIANA TURBAY</t>
    </r>
  </si>
  <si>
    <r>
      <rPr>
        <sz val="4.5"/>
        <rFont val="Arial"/>
        <family val="2"/>
      </rPr>
      <t>DIANA TURBAY ARRAYANES</t>
    </r>
  </si>
  <si>
    <r>
      <rPr>
        <sz val="4.5"/>
        <rFont val="Arial"/>
        <family val="2"/>
      </rPr>
      <t>DIANA TURBAY CULTIVOS</t>
    </r>
  </si>
  <si>
    <r>
      <rPr>
        <sz val="4.5"/>
        <rFont val="Arial"/>
        <family val="2"/>
      </rPr>
      <t>EL BOSQUE DE LOS MOLINOS (SAN JUSTIN</t>
    </r>
  </si>
  <si>
    <r>
      <rPr>
        <sz val="4.5"/>
        <rFont val="Arial"/>
        <family val="2"/>
      </rPr>
      <t>EL PORTAL</t>
    </r>
  </si>
  <si>
    <r>
      <rPr>
        <sz val="4.5"/>
        <rFont val="Arial"/>
        <family val="2"/>
      </rPr>
      <t>EL PORTAL II SECTOR</t>
    </r>
  </si>
  <si>
    <r>
      <rPr>
        <sz val="4.5"/>
        <rFont val="Arial"/>
        <family val="2"/>
      </rPr>
      <t>LA ESPERANZA ALTA</t>
    </r>
  </si>
  <si>
    <r>
      <rPr>
        <sz val="4.5"/>
        <rFont val="Arial"/>
        <family val="2"/>
      </rPr>
      <t>LA MARQUEZA</t>
    </r>
  </si>
  <si>
    <r>
      <rPr>
        <sz val="4.5"/>
        <rFont val="Arial"/>
        <family val="2"/>
      </rPr>
      <t>LA PICOTA ORIENTAL</t>
    </r>
  </si>
  <si>
    <r>
      <rPr>
        <sz val="4.5"/>
        <rFont val="Arial"/>
        <family val="2"/>
      </rPr>
      <t>LA RECONQUISTA</t>
    </r>
  </si>
  <si>
    <r>
      <rPr>
        <sz val="4.5"/>
        <rFont val="Arial"/>
        <family val="2"/>
      </rPr>
      <t>LOS ARRAYANES II</t>
    </r>
  </si>
  <si>
    <r>
      <rPr>
        <sz val="4.5"/>
        <rFont val="Arial"/>
        <family val="2"/>
      </rPr>
      <t>LOS PUENTES</t>
    </r>
  </si>
  <si>
    <r>
      <rPr>
        <sz val="4.5"/>
        <rFont val="Arial"/>
        <family val="2"/>
      </rPr>
      <t>PALERMO SUR</t>
    </r>
  </si>
  <si>
    <r>
      <rPr>
        <sz val="4.5"/>
        <rFont val="Arial"/>
        <family val="2"/>
      </rPr>
      <t>PALERMO SUR ( EL TRIANGULO)</t>
    </r>
  </si>
  <si>
    <r>
      <rPr>
        <sz val="4.5"/>
        <rFont val="Arial"/>
        <family val="2"/>
      </rPr>
      <t>PALERMO SUR LOS ARRAYANES</t>
    </r>
  </si>
  <si>
    <r>
      <rPr>
        <sz val="4.5"/>
        <rFont val="Arial"/>
        <family val="2"/>
      </rPr>
      <t>PALERMO SUR OSWALDO GOMEZ</t>
    </r>
  </si>
  <si>
    <r>
      <rPr>
        <sz val="4.5"/>
        <rFont val="Arial"/>
        <family val="2"/>
      </rPr>
      <t>PALERMO SUR SAN MARCOS</t>
    </r>
  </si>
  <si>
    <r>
      <rPr>
        <sz val="4.5"/>
        <rFont val="Arial"/>
        <family val="2"/>
      </rPr>
      <t>PALERMO SUR SANA FONSECA</t>
    </r>
  </si>
  <si>
    <r>
      <rPr>
        <sz val="4.5"/>
        <rFont val="Arial"/>
        <family val="2"/>
      </rPr>
      <t>SAN AGUSTIN</t>
    </r>
  </si>
  <si>
    <r>
      <rPr>
        <sz val="4.5"/>
        <rFont val="Arial"/>
        <family val="2"/>
      </rPr>
      <t>SAN AGUSTIN II SECTOR</t>
    </r>
  </si>
  <si>
    <r>
      <rPr>
        <sz val="4.5"/>
        <rFont val="Arial"/>
        <family val="2"/>
      </rPr>
      <t>SERRANIA - SECTOR CULTIVOS</t>
    </r>
  </si>
  <si>
    <r>
      <rPr>
        <sz val="6"/>
        <rFont val="Arial"/>
        <family val="2"/>
      </rPr>
      <t>CENTRAL DE MEZCLAS</t>
    </r>
  </si>
  <si>
    <r>
      <rPr>
        <sz val="6"/>
        <rFont val="Arial"/>
        <family val="2"/>
      </rPr>
      <t>LAS MANAS</t>
    </r>
  </si>
  <si>
    <r>
      <rPr>
        <sz val="6"/>
        <rFont val="Arial"/>
        <family val="2"/>
      </rPr>
      <t>MOCHUELO ORIENTAL</t>
    </r>
  </si>
  <si>
    <r>
      <rPr>
        <sz val="6"/>
        <rFont val="Arial"/>
        <family val="2"/>
      </rPr>
      <t>VEREDA EL PEDREGAL - LA LIRA</t>
    </r>
  </si>
  <si>
    <r>
      <rPr>
        <sz val="6"/>
        <rFont val="Arial"/>
        <family val="2"/>
      </rPr>
      <t>VILLA JAQUI</t>
    </r>
  </si>
  <si>
    <r>
      <rPr>
        <sz val="6"/>
        <rFont val="Arial"/>
        <family val="2"/>
      </rPr>
      <t>BARRANQUITOS</t>
    </r>
  </si>
  <si>
    <r>
      <rPr>
        <sz val="6"/>
        <rFont val="Arial"/>
        <family val="2"/>
      </rPr>
      <t>BRAZUELOS SANTO DOMINGO</t>
    </r>
  </si>
  <si>
    <r>
      <rPr>
        <sz val="6"/>
        <rFont val="Arial"/>
        <family val="2"/>
      </rPr>
      <t>ESMERALDA</t>
    </r>
  </si>
  <si>
    <r>
      <rPr>
        <sz val="6"/>
        <rFont val="Arial"/>
        <family val="2"/>
      </rPr>
      <t>LAGUNITAS</t>
    </r>
  </si>
  <si>
    <r>
      <rPr>
        <sz val="6"/>
        <rFont val="Arial"/>
        <family val="2"/>
      </rPr>
      <t>PATICOS</t>
    </r>
  </si>
  <si>
    <r>
      <rPr>
        <sz val="6"/>
        <rFont val="Arial"/>
        <family val="2"/>
      </rPr>
      <t>EL MOCHUELO II</t>
    </r>
  </si>
  <si>
    <r>
      <rPr>
        <sz val="6"/>
        <rFont val="Arial"/>
        <family val="2"/>
      </rPr>
      <t>URBANIZACION GUAITIQUIA</t>
    </r>
  </si>
  <si>
    <r>
      <rPr>
        <sz val="6"/>
        <rFont val="Arial"/>
        <family val="2"/>
      </rPr>
      <t>ARBORIZADORA BAJA</t>
    </r>
  </si>
  <si>
    <r>
      <rPr>
        <sz val="6"/>
        <rFont val="Arial"/>
        <family val="2"/>
      </rPr>
      <t>ATLANTA</t>
    </r>
  </si>
  <si>
    <r>
      <rPr>
        <sz val="6"/>
        <rFont val="Arial"/>
        <family val="2"/>
      </rPr>
      <t>CORUÑA</t>
    </r>
  </si>
  <si>
    <r>
      <rPr>
        <sz val="6"/>
        <rFont val="Arial"/>
        <family val="2"/>
      </rPr>
      <t>EL CHIRCAL SUR</t>
    </r>
  </si>
  <si>
    <r>
      <rPr>
        <sz val="6"/>
        <rFont val="Arial"/>
        <family val="2"/>
      </rPr>
      <t>EL ESQUINERO</t>
    </r>
  </si>
  <si>
    <r>
      <rPr>
        <sz val="6"/>
        <rFont val="Arial"/>
        <family val="2"/>
      </rPr>
      <t>LA PLAYA</t>
    </r>
  </si>
  <si>
    <r>
      <rPr>
        <sz val="6"/>
        <rFont val="Arial"/>
        <family val="2"/>
      </rPr>
      <t>LA PLAYA II</t>
    </r>
  </si>
  <si>
    <r>
      <rPr>
        <sz val="6"/>
        <rFont val="Arial"/>
        <family val="2"/>
      </rPr>
      <t>MADELENA</t>
    </r>
  </si>
  <si>
    <r>
      <rPr>
        <sz val="6"/>
        <rFont val="Arial"/>
        <family val="2"/>
      </rPr>
      <t>RAFEL ESCAMILLA</t>
    </r>
  </si>
  <si>
    <r>
      <rPr>
        <sz val="6"/>
        <rFont val="Arial"/>
        <family val="2"/>
      </rPr>
      <t>SANTA HELENA</t>
    </r>
  </si>
  <si>
    <r>
      <rPr>
        <sz val="6"/>
        <rFont val="Arial"/>
        <family val="2"/>
      </rPr>
      <t>SANTA ROSA SUR</t>
    </r>
  </si>
  <si>
    <r>
      <rPr>
        <sz val="6"/>
        <rFont val="Arial"/>
        <family val="2"/>
      </rPr>
      <t>URBANIZACION PROTECHO BOGOTA</t>
    </r>
  </si>
  <si>
    <r>
      <rPr>
        <sz val="6"/>
        <rFont val="Arial"/>
        <family val="2"/>
      </rPr>
      <t>URBANIZACION ATLANTA</t>
    </r>
  </si>
  <si>
    <r>
      <rPr>
        <sz val="6"/>
        <rFont val="Arial"/>
        <family val="2"/>
      </rPr>
      <t>URBANIZACION CASA LARGA</t>
    </r>
  </si>
  <si>
    <r>
      <rPr>
        <sz val="6"/>
        <rFont val="Arial"/>
        <family val="2"/>
      </rPr>
      <t>URBANIZACION LA CORUÑA</t>
    </r>
  </si>
  <si>
    <r>
      <rPr>
        <sz val="6"/>
        <rFont val="Arial"/>
        <family val="2"/>
      </rPr>
      <t>VILLA HELENA</t>
    </r>
  </si>
  <si>
    <r>
      <rPr>
        <sz val="6"/>
        <rFont val="Arial"/>
        <family val="2"/>
      </rPr>
      <t>ACACIA III PARTE BAJA</t>
    </r>
  </si>
  <si>
    <r>
      <rPr>
        <sz val="6"/>
        <rFont val="Arial"/>
        <family val="2"/>
      </rPr>
      <t>ACACIAS SUR</t>
    </r>
  </si>
  <si>
    <r>
      <rPr>
        <sz val="6"/>
        <rFont val="Arial"/>
        <family val="2"/>
      </rPr>
      <t>COLMENA</t>
    </r>
  </si>
  <si>
    <r>
      <rPr>
        <sz val="6"/>
        <rFont val="Arial"/>
        <family val="2"/>
      </rPr>
      <t>COLMENA III</t>
    </r>
  </si>
  <si>
    <r>
      <rPr>
        <sz val="6"/>
        <rFont val="Arial"/>
        <family val="2"/>
      </rPr>
      <t>GIBRALTAR I Y II</t>
    </r>
  </si>
  <si>
    <r>
      <rPr>
        <sz val="6"/>
        <rFont val="Arial"/>
        <family val="2"/>
      </rPr>
      <t>JUAN J. RONDON - LA CASONA</t>
    </r>
  </si>
  <si>
    <r>
      <rPr>
        <sz val="6"/>
        <rFont val="Arial"/>
        <family val="2"/>
      </rPr>
      <t>JUAN JOSE RONDON</t>
    </r>
  </si>
  <si>
    <r>
      <rPr>
        <sz val="6"/>
        <rFont val="Arial"/>
        <family val="2"/>
      </rPr>
      <t>LAS ACACIAS</t>
    </r>
  </si>
  <si>
    <r>
      <rPr>
        <sz val="6"/>
        <rFont val="Arial"/>
        <family val="2"/>
      </rPr>
      <t>MILLAN LOS SAUCES</t>
    </r>
  </si>
  <si>
    <r>
      <rPr>
        <sz val="6"/>
        <rFont val="Arial"/>
        <family val="2"/>
      </rPr>
      <t>PUERTA AL LLANO</t>
    </r>
  </si>
  <si>
    <r>
      <rPr>
        <sz val="6"/>
        <rFont val="Arial"/>
        <family val="2"/>
      </rPr>
      <t>SAN FERNANDO</t>
    </r>
  </si>
  <si>
    <r>
      <rPr>
        <sz val="6"/>
        <rFont val="Arial"/>
        <family val="2"/>
      </rPr>
      <t>SAN FRANCISCO</t>
    </r>
  </si>
  <si>
    <r>
      <rPr>
        <sz val="6"/>
        <rFont val="Arial"/>
        <family val="2"/>
      </rPr>
      <t>SAN LUIS</t>
    </r>
  </si>
  <si>
    <r>
      <rPr>
        <sz val="6"/>
        <rFont val="Arial"/>
        <family val="2"/>
      </rPr>
      <t>SANTA INES LA ACACIA</t>
    </r>
  </si>
  <si>
    <r>
      <rPr>
        <sz val="6"/>
        <rFont val="Arial"/>
        <family val="2"/>
      </rPr>
      <t>SAUCES - HORTALIZAS- RECUERDO</t>
    </r>
  </si>
  <si>
    <r>
      <rPr>
        <sz val="6"/>
        <rFont val="Arial"/>
        <family val="2"/>
      </rPr>
      <t>CANDELARIA LA NUEVA</t>
    </r>
  </si>
  <si>
    <r>
      <rPr>
        <sz val="6"/>
        <rFont val="Arial"/>
        <family val="2"/>
      </rPr>
      <t>VILLAS DE BOLIVAR</t>
    </r>
  </si>
  <si>
    <r>
      <rPr>
        <sz val="6"/>
        <rFont val="Arial"/>
        <family val="2"/>
      </rPr>
      <t>ACACIA IV</t>
    </r>
  </si>
  <si>
    <r>
      <rPr>
        <sz val="6"/>
        <rFont val="Arial"/>
        <family val="2"/>
      </rPr>
      <t>ALFA</t>
    </r>
  </si>
  <si>
    <r>
      <rPr>
        <sz val="6"/>
        <rFont val="Arial"/>
        <family val="2"/>
      </rPr>
      <t>ALTOS DE JALISCO</t>
    </r>
  </si>
  <si>
    <r>
      <rPr>
        <sz val="6"/>
        <rFont val="Arial"/>
        <family val="2"/>
      </rPr>
      <t>ALVARO BERNAL SEGURA</t>
    </r>
  </si>
  <si>
    <r>
      <rPr>
        <sz val="6"/>
        <rFont val="Arial"/>
        <family val="2"/>
      </rPr>
      <t>BELLA FLOR</t>
    </r>
  </si>
  <si>
    <r>
      <rPr>
        <sz val="6"/>
        <rFont val="Arial"/>
        <family val="2"/>
      </rPr>
      <t>BELLA FLOR SUR</t>
    </r>
  </si>
  <si>
    <r>
      <rPr>
        <sz val="6"/>
        <rFont val="Arial"/>
        <family val="2"/>
      </rPr>
      <t>BELLA VISTA LUCERO ALTO</t>
    </r>
  </si>
  <si>
    <r>
      <rPr>
        <sz val="6"/>
        <rFont val="Arial"/>
        <family val="2"/>
      </rPr>
      <t>BRISAS DEL VOLADOR</t>
    </r>
  </si>
  <si>
    <r>
      <rPr>
        <sz val="6"/>
        <rFont val="Arial"/>
        <family val="2"/>
      </rPr>
      <t>BUENAVISTA SECTOR A</t>
    </r>
  </si>
  <si>
    <r>
      <rPr>
        <sz val="6"/>
        <rFont val="Arial"/>
        <family val="2"/>
      </rPr>
      <t>CIUDAD MILAGROS</t>
    </r>
  </si>
  <si>
    <r>
      <rPr>
        <sz val="6"/>
        <rFont val="Arial"/>
        <family val="2"/>
      </rPr>
      <t>COMPARTIR</t>
    </r>
  </si>
  <si>
    <r>
      <rPr>
        <sz val="6"/>
        <rFont val="Arial"/>
        <family val="2"/>
      </rPr>
      <t>CORDILLERA SUR</t>
    </r>
  </si>
  <si>
    <r>
      <rPr>
        <sz val="6"/>
        <rFont val="Arial"/>
        <family val="2"/>
      </rPr>
      <t>DOMINGO LAIN I</t>
    </r>
  </si>
  <si>
    <r>
      <rPr>
        <sz val="6"/>
        <rFont val="Arial"/>
        <family val="2"/>
      </rPr>
      <t>DOMINGO LAIN II - EL BOSQUE</t>
    </r>
  </si>
  <si>
    <r>
      <rPr>
        <sz val="6"/>
        <rFont val="Arial"/>
        <family val="2"/>
      </rPr>
      <t>DOMINGO LAIN III</t>
    </r>
  </si>
  <si>
    <r>
      <rPr>
        <sz val="6"/>
        <rFont val="Arial"/>
        <family val="2"/>
      </rPr>
      <t>EL BOSQUE</t>
    </r>
  </si>
  <si>
    <r>
      <rPr>
        <sz val="6"/>
        <rFont val="Arial"/>
        <family val="2"/>
      </rPr>
      <t>EL CASTILLO</t>
    </r>
  </si>
  <si>
    <r>
      <rPr>
        <sz val="6"/>
        <rFont val="Arial"/>
        <family val="2"/>
      </rPr>
      <t>EL MIRADOR</t>
    </r>
  </si>
  <si>
    <r>
      <rPr>
        <sz val="6"/>
        <rFont val="Arial"/>
        <family val="2"/>
      </rPr>
      <t>EL PARAISO</t>
    </r>
  </si>
  <si>
    <r>
      <rPr>
        <sz val="6"/>
        <rFont val="Arial"/>
        <family val="2"/>
      </rPr>
      <t>EL SATELITE</t>
    </r>
  </si>
  <si>
    <r>
      <rPr>
        <sz val="6"/>
        <rFont val="Arial"/>
        <family val="2"/>
      </rPr>
      <t>EL TRIUNFO SUR</t>
    </r>
  </si>
  <si>
    <r>
      <rPr>
        <sz val="6"/>
        <rFont val="Arial"/>
        <family val="2"/>
      </rPr>
      <t>ESTRELLA DEL SUR</t>
    </r>
  </si>
  <si>
    <r>
      <rPr>
        <sz val="6"/>
        <rFont val="Arial"/>
        <family val="2"/>
      </rPr>
      <t>FLORIDA DEL SUR</t>
    </r>
  </si>
  <si>
    <r>
      <rPr>
        <sz val="6"/>
        <rFont val="Arial"/>
        <family val="2"/>
      </rPr>
      <t>JUAN PABLO II</t>
    </r>
  </si>
  <si>
    <r>
      <rPr>
        <sz val="6"/>
        <rFont val="Arial"/>
        <family val="2"/>
      </rPr>
      <t>LA ALAMEDA</t>
    </r>
  </si>
  <si>
    <r>
      <rPr>
        <sz val="6"/>
        <rFont val="Arial"/>
        <family val="2"/>
      </rPr>
      <t>LA ALAMEDA II SECTOR</t>
    </r>
  </si>
  <si>
    <r>
      <rPr>
        <sz val="6"/>
        <rFont val="Arial"/>
        <family val="2"/>
      </rPr>
      <t>LA CABAÑA</t>
    </r>
  </si>
  <si>
    <r>
      <rPr>
        <sz val="6"/>
        <rFont val="Arial"/>
        <family val="2"/>
      </rPr>
      <t>LA ESCALA III</t>
    </r>
  </si>
  <si>
    <r>
      <rPr>
        <sz val="6"/>
        <rFont val="Arial"/>
        <family val="2"/>
      </rPr>
      <t>LA ESMERALDA SUR</t>
    </r>
  </si>
  <si>
    <r>
      <rPr>
        <sz val="6"/>
        <rFont val="Arial"/>
        <family val="2"/>
      </rPr>
      <t>LA ESTRELLA SECTOR LAGOS</t>
    </r>
  </si>
  <si>
    <r>
      <rPr>
        <sz val="6"/>
        <rFont val="Arial"/>
        <family val="2"/>
      </rPr>
      <t>LA TORRE</t>
    </r>
  </si>
  <si>
    <r>
      <rPr>
        <sz val="6"/>
        <rFont val="Arial"/>
        <family val="2"/>
      </rPr>
      <t>LAS DELICIAS DEL SUR</t>
    </r>
  </si>
  <si>
    <r>
      <rPr>
        <sz val="6"/>
        <rFont val="Arial"/>
        <family val="2"/>
      </rPr>
      <t>LAS MANITAS</t>
    </r>
  </si>
  <si>
    <r>
      <rPr>
        <sz val="6"/>
        <rFont val="Arial"/>
        <family val="2"/>
      </rPr>
      <t>LAS MANITAS II SECTOR</t>
    </r>
  </si>
  <si>
    <r>
      <rPr>
        <sz val="6"/>
        <rFont val="Arial"/>
        <family val="2"/>
      </rPr>
      <t>LOS ALPES</t>
    </r>
  </si>
  <si>
    <r>
      <rPr>
        <sz val="6"/>
        <rFont val="Arial"/>
        <family val="2"/>
      </rPr>
      <t>LOS ANDES SECTOR 5 NUTIBARA</t>
    </r>
  </si>
  <si>
    <r>
      <rPr>
        <sz val="6"/>
        <rFont val="Arial"/>
        <family val="2"/>
      </rPr>
      <t>LUCERO ALTO</t>
    </r>
  </si>
  <si>
    <r>
      <rPr>
        <sz val="6"/>
        <rFont val="Arial"/>
        <family val="2"/>
      </rPr>
      <t>LUCERO BAJO CORPORACION SAN ISIDRO</t>
    </r>
  </si>
  <si>
    <r>
      <rPr>
        <sz val="6"/>
        <rFont val="Arial"/>
        <family val="2"/>
      </rPr>
      <t>LUCERO MEDIO</t>
    </r>
  </si>
  <si>
    <r>
      <rPr>
        <sz val="6"/>
        <rFont val="Arial"/>
        <family val="2"/>
      </rPr>
      <t>LUCERO SUR BAJO</t>
    </r>
  </si>
  <si>
    <r>
      <rPr>
        <sz val="6"/>
        <rFont val="Arial"/>
        <family val="2"/>
      </rPr>
      <t>MARANDU</t>
    </r>
  </si>
  <si>
    <r>
      <rPr>
        <sz val="6"/>
        <rFont val="Arial"/>
        <family val="2"/>
      </rPr>
      <t>MEISSEN</t>
    </r>
  </si>
  <si>
    <r>
      <rPr>
        <sz val="6"/>
        <rFont val="Arial"/>
        <family val="2"/>
      </rPr>
      <t>ACAPULCO I</t>
    </r>
  </si>
  <si>
    <r>
      <rPr>
        <sz val="6"/>
        <rFont val="Arial"/>
        <family val="2"/>
      </rPr>
      <t>ARABIA</t>
    </r>
  </si>
  <si>
    <r>
      <rPr>
        <sz val="6"/>
        <rFont val="Arial"/>
        <family val="2"/>
      </rPr>
      <t>BOGOTA SECTOR TEQUENDAMA</t>
    </r>
  </si>
  <si>
    <r>
      <rPr>
        <sz val="6"/>
        <rFont val="Arial"/>
        <family val="2"/>
      </rPr>
      <t>BOGOTA SUR- LA ESPERANZA</t>
    </r>
  </si>
  <si>
    <r>
      <rPr>
        <sz val="6"/>
        <rFont val="Arial"/>
        <family val="2"/>
      </rPr>
      <t>BUENOS AIRES</t>
    </r>
  </si>
  <si>
    <r>
      <rPr>
        <sz val="6"/>
        <rFont val="Arial"/>
        <family val="2"/>
      </rPr>
      <t>BUENOS AIRES II</t>
    </r>
  </si>
  <si>
    <r>
      <rPr>
        <sz val="6"/>
        <rFont val="Arial"/>
        <family val="2"/>
      </rPr>
      <t>BUENOS AIRES III SECTOR</t>
    </r>
  </si>
  <si>
    <r>
      <rPr>
        <sz val="6"/>
        <rFont val="Arial"/>
        <family val="2"/>
      </rPr>
      <t>CASA DE TEJA</t>
    </r>
  </si>
  <si>
    <r>
      <rPr>
        <sz val="6"/>
        <rFont val="Arial"/>
        <family val="2"/>
      </rPr>
      <t>CEDRITOS DEL SUR</t>
    </r>
  </si>
  <si>
    <r>
      <rPr>
        <sz val="6"/>
        <rFont val="Arial"/>
        <family val="2"/>
      </rPr>
      <t>DIVINO NIÑO</t>
    </r>
  </si>
  <si>
    <r>
      <rPr>
        <sz val="6"/>
        <rFont val="Arial"/>
        <family val="2"/>
      </rPr>
      <t>EL CONSUELO</t>
    </r>
  </si>
  <si>
    <r>
      <rPr>
        <sz val="6"/>
        <rFont val="Arial"/>
        <family val="2"/>
      </rPr>
      <t>EL MINUTO DE MARIA</t>
    </r>
  </si>
  <si>
    <r>
      <rPr>
        <sz val="6"/>
        <rFont val="Arial"/>
        <family val="2"/>
      </rPr>
      <t>EL MOCHUELO</t>
    </r>
  </si>
  <si>
    <r>
      <rPr>
        <sz val="6"/>
        <rFont val="Arial"/>
        <family val="2"/>
      </rPr>
      <t>EL RECUERDO SUR</t>
    </r>
  </si>
  <si>
    <r>
      <rPr>
        <sz val="6"/>
        <rFont val="Arial"/>
        <family val="2"/>
      </rPr>
      <t>EL REFLEJO II</t>
    </r>
  </si>
  <si>
    <r>
      <rPr>
        <sz val="6"/>
        <rFont val="Arial"/>
        <family val="2"/>
      </rPr>
      <t>EL TESORITO</t>
    </r>
  </si>
  <si>
    <r>
      <rPr>
        <sz val="6"/>
        <rFont val="Arial"/>
        <family val="2"/>
      </rPr>
      <t>EL TESORO</t>
    </r>
  </si>
  <si>
    <r>
      <rPr>
        <sz val="6"/>
        <rFont val="Arial"/>
        <family val="2"/>
      </rPr>
      <t>ELTRIGAL</t>
    </r>
  </si>
  <si>
    <r>
      <rPr>
        <sz val="6"/>
        <rFont val="Arial"/>
        <family val="2"/>
      </rPr>
      <t>FLORIDA SUR ALTO</t>
    </r>
  </si>
  <si>
    <r>
      <rPr>
        <sz val="6"/>
        <rFont val="Arial"/>
        <family val="2"/>
      </rPr>
      <t>INES ELVIRA</t>
    </r>
  </si>
  <si>
    <r>
      <rPr>
        <sz val="6"/>
        <rFont val="Arial"/>
        <family val="2"/>
      </rPr>
      <t>LA CUMBRE (Antes El Recuerdo Sur)</t>
    </r>
  </si>
  <si>
    <r>
      <rPr>
        <sz val="6"/>
        <rFont val="Arial"/>
        <family val="2"/>
      </rPr>
      <t>LOS DUQUES</t>
    </r>
  </si>
  <si>
    <r>
      <rPr>
        <sz val="6"/>
        <rFont val="Arial"/>
        <family val="2"/>
      </rPr>
      <t>MINUTO DE MARIA</t>
    </r>
  </si>
  <si>
    <r>
      <rPr>
        <sz val="6"/>
        <rFont val="Arial"/>
        <family val="2"/>
      </rPr>
      <t>MONTERREY</t>
    </r>
  </si>
  <si>
    <r>
      <rPr>
        <sz val="6"/>
        <rFont val="Arial"/>
        <family val="2"/>
      </rPr>
      <t>OCHO DE DICIEMBRE</t>
    </r>
  </si>
  <si>
    <r>
      <rPr>
        <sz val="6"/>
        <rFont val="Arial"/>
        <family val="2"/>
      </rPr>
      <t>PARCELACION BOGOTA</t>
    </r>
  </si>
  <si>
    <r>
      <rPr>
        <sz val="6"/>
        <rFont val="Arial"/>
        <family val="2"/>
      </rPr>
      <t>POTRERITOS</t>
    </r>
  </si>
  <si>
    <r>
      <rPr>
        <sz val="6"/>
        <rFont val="Arial"/>
        <family val="2"/>
      </rPr>
      <t>QUIBA</t>
    </r>
  </si>
  <si>
    <r>
      <rPr>
        <sz val="6"/>
        <rFont val="Arial"/>
        <family val="2"/>
      </rPr>
      <t>QUIBA URBANO</t>
    </r>
  </si>
  <si>
    <r>
      <rPr>
        <sz val="6"/>
        <rFont val="Arial"/>
        <family val="2"/>
      </rPr>
      <t>REPUBLICA DE VENEZUELA</t>
    </r>
  </si>
  <si>
    <r>
      <rPr>
        <sz val="6"/>
        <rFont val="Arial"/>
        <family val="2"/>
      </rPr>
      <t>REPUBLICA DEL CANADA</t>
    </r>
  </si>
  <si>
    <r>
      <rPr>
        <sz val="6"/>
        <rFont val="Arial"/>
        <family val="2"/>
      </rPr>
      <t>RINCON DEL DIAMANTE</t>
    </r>
  </si>
  <si>
    <r>
      <rPr>
        <sz val="6"/>
        <rFont val="Arial"/>
        <family val="2"/>
      </rPr>
      <t>SAN JOAQUIN EL VATICANO</t>
    </r>
  </si>
  <si>
    <r>
      <rPr>
        <sz val="6"/>
        <rFont val="Arial"/>
        <family val="2"/>
      </rPr>
      <t>SAN JOAQUIN VATICANO-GALPON</t>
    </r>
  </si>
  <si>
    <r>
      <rPr>
        <sz val="6"/>
        <rFont val="Arial"/>
        <family val="2"/>
      </rPr>
      <t>SAN JOAQUIN VATICANO-VERGEL</t>
    </r>
  </si>
  <si>
    <r>
      <rPr>
        <sz val="6"/>
        <rFont val="Arial"/>
        <family val="2"/>
      </rPr>
      <t>SAN RAFAEL SUR</t>
    </r>
  </si>
  <si>
    <r>
      <rPr>
        <sz val="6"/>
        <rFont val="Arial"/>
        <family val="2"/>
      </rPr>
      <t>SOTAVENTO</t>
    </r>
  </si>
  <si>
    <r>
      <rPr>
        <sz val="6"/>
        <rFont val="Arial"/>
        <family val="2"/>
      </rPr>
      <t>URBANIZACION BUENA VISTA</t>
    </r>
  </si>
  <si>
    <r>
      <rPr>
        <sz val="6"/>
        <rFont val="Arial"/>
        <family val="2"/>
      </rPr>
      <t>URBANIZACION CERROS DEL SUR</t>
    </r>
  </si>
  <si>
    <r>
      <rPr>
        <sz val="6"/>
        <rFont val="Arial"/>
        <family val="2"/>
      </rPr>
      <t>URBANIZACION CHICALA</t>
    </r>
  </si>
  <si>
    <r>
      <rPr>
        <sz val="6"/>
        <rFont val="Arial"/>
        <family val="2"/>
      </rPr>
      <t>URBANIZACION EL LIMONAR</t>
    </r>
  </si>
  <si>
    <r>
      <rPr>
        <sz val="6"/>
        <rFont val="Arial"/>
        <family val="2"/>
      </rPr>
      <t>URBANIZACION MIRADOR DE SAN CARLOS</t>
    </r>
  </si>
  <si>
    <r>
      <rPr>
        <sz val="6"/>
        <rFont val="Arial"/>
        <family val="2"/>
      </rPr>
      <t>URBANIZACION URAPANES DEL SUR</t>
    </r>
  </si>
  <si>
    <r>
      <rPr>
        <sz val="6"/>
        <rFont val="Arial"/>
        <family val="2"/>
      </rPr>
      <t>VILLA DIANA LOPEZ</t>
    </r>
  </si>
  <si>
    <r>
      <rPr>
        <sz val="6"/>
        <rFont val="Arial"/>
        <family val="2"/>
      </rPr>
      <t>VILLAS DE SAN JOAQUIN</t>
    </r>
  </si>
  <si>
    <r>
      <rPr>
        <sz val="6"/>
        <rFont val="Arial"/>
        <family val="2"/>
      </rPr>
      <t>BELLA ESTANCIA</t>
    </r>
  </si>
  <si>
    <r>
      <rPr>
        <sz val="6"/>
        <rFont val="Arial"/>
        <family val="2"/>
      </rPr>
      <t>BARLOVENTO</t>
    </r>
  </si>
  <si>
    <r>
      <rPr>
        <sz val="6"/>
        <rFont val="Arial"/>
        <family val="2"/>
      </rPr>
      <t>BONANZA SUR</t>
    </r>
  </si>
  <si>
    <r>
      <rPr>
        <sz val="6"/>
        <rFont val="Arial"/>
        <family val="2"/>
      </rPr>
      <t>CARACOLI</t>
    </r>
  </si>
  <si>
    <r>
      <rPr>
        <sz val="6"/>
        <rFont val="Arial"/>
        <family val="2"/>
      </rPr>
      <t>CASA LOMA II</t>
    </r>
  </si>
  <si>
    <r>
      <rPr>
        <sz val="6"/>
        <rFont val="Arial"/>
        <family val="2"/>
      </rPr>
      <t>CASAGRANDE</t>
    </r>
  </si>
  <si>
    <r>
      <rPr>
        <sz val="6"/>
        <rFont val="Arial"/>
        <family val="2"/>
      </rPr>
      <t>CASALOMA</t>
    </r>
  </si>
  <si>
    <r>
      <rPr>
        <sz val="6"/>
        <rFont val="Arial"/>
        <family val="2"/>
      </rPr>
      <t>CASAVIANCA</t>
    </r>
  </si>
  <si>
    <r>
      <rPr>
        <sz val="6"/>
        <rFont val="Arial"/>
        <family val="2"/>
      </rPr>
      <t>CONJUNTO RESIDENCIAL LA VALVANERA</t>
    </r>
  </si>
  <si>
    <r>
      <rPr>
        <sz val="6"/>
        <rFont val="Arial"/>
        <family val="2"/>
      </rPr>
      <t>COOPERATIVA ISMAEL PERDOMO</t>
    </r>
  </si>
  <si>
    <r>
      <rPr>
        <sz val="6"/>
        <rFont val="Arial"/>
        <family val="2"/>
      </rPr>
      <t>EL CERRO DEL DIAMANTE</t>
    </r>
  </si>
  <si>
    <r>
      <rPr>
        <sz val="6"/>
        <rFont val="Arial"/>
        <family val="2"/>
      </rPr>
      <t>EL ENSUEÑO</t>
    </r>
  </si>
  <si>
    <r>
      <rPr>
        <sz val="6"/>
        <rFont val="Arial"/>
        <family val="2"/>
      </rPr>
      <t>EL PEÑON DEL CORTIJO</t>
    </r>
  </si>
  <si>
    <r>
      <rPr>
        <sz val="6"/>
        <rFont val="Arial"/>
        <family val="2"/>
      </rPr>
      <t>EL PORVENIR DE LA ESTANCIA</t>
    </r>
  </si>
  <si>
    <r>
      <rPr>
        <sz val="6"/>
        <rFont val="Arial"/>
        <family val="2"/>
      </rPr>
      <t>EL PORVENIR II ETAPA</t>
    </r>
  </si>
  <si>
    <r>
      <rPr>
        <sz val="6"/>
        <rFont val="Arial"/>
        <family val="2"/>
      </rPr>
      <t>EL PORVENIR ZONA C</t>
    </r>
  </si>
  <si>
    <r>
      <rPr>
        <sz val="6"/>
        <rFont val="Arial"/>
        <family val="2"/>
      </rPr>
      <t>EL RINCON DEL PORVENIR</t>
    </r>
  </si>
  <si>
    <r>
      <rPr>
        <sz val="6"/>
        <rFont val="Arial"/>
        <family val="2"/>
      </rPr>
      <t>EL ROSAL</t>
    </r>
  </si>
  <si>
    <r>
      <rPr>
        <sz val="6"/>
        <rFont val="Arial"/>
        <family val="2"/>
      </rPr>
      <t>ESPINOS I</t>
    </r>
  </si>
  <si>
    <r>
      <rPr>
        <sz val="6"/>
        <rFont val="Arial"/>
        <family val="2"/>
      </rPr>
      <t>ESPINOS III SECTOR</t>
    </r>
  </si>
  <si>
    <r>
      <rPr>
        <sz val="6"/>
        <rFont val="Arial"/>
        <family val="2"/>
      </rPr>
      <t>GALICIA</t>
    </r>
  </si>
  <si>
    <r>
      <rPr>
        <sz val="6"/>
        <rFont val="Arial"/>
        <family val="2"/>
      </rPr>
      <t>ISMAEL PERDOMO</t>
    </r>
  </si>
  <si>
    <r>
      <rPr>
        <sz val="6"/>
        <rFont val="Arial"/>
        <family val="2"/>
      </rPr>
      <t>LA CARBONERA</t>
    </r>
  </si>
  <si>
    <r>
      <rPr>
        <sz val="6"/>
        <rFont val="Arial"/>
        <family val="2"/>
      </rPr>
      <t>LA CARBONERA II</t>
    </r>
  </si>
  <si>
    <r>
      <rPr>
        <sz val="6"/>
        <rFont val="Arial"/>
        <family val="2"/>
      </rPr>
      <t>LA ESTANCIA</t>
    </r>
  </si>
  <si>
    <r>
      <rPr>
        <sz val="6"/>
        <rFont val="Arial"/>
        <family val="2"/>
      </rPr>
      <t>LA PRIMAVERA</t>
    </r>
  </si>
  <si>
    <r>
      <rPr>
        <sz val="6"/>
        <rFont val="Arial"/>
        <family val="2"/>
      </rPr>
      <t>LA UNION - DIVINO NIÑO</t>
    </r>
  </si>
  <si>
    <r>
      <rPr>
        <sz val="6"/>
        <rFont val="Arial"/>
        <family val="2"/>
      </rPr>
      <t>LOS TRES REYES - I ETAPA</t>
    </r>
  </si>
  <si>
    <r>
      <rPr>
        <sz val="6"/>
        <rFont val="Arial"/>
        <family val="2"/>
      </rPr>
      <t>MARIA CANO</t>
    </r>
  </si>
  <si>
    <r>
      <rPr>
        <sz val="6"/>
        <rFont val="Arial"/>
        <family val="2"/>
      </rPr>
      <t>MIRADOR DE LA ESTANCIA</t>
    </r>
  </si>
  <si>
    <r>
      <rPr>
        <sz val="6"/>
        <rFont val="Arial"/>
        <family val="2"/>
      </rPr>
      <t>MIRADOR DE LA PRIMAVERA</t>
    </r>
  </si>
  <si>
    <r>
      <rPr>
        <sz val="6"/>
        <rFont val="Arial"/>
        <family val="2"/>
      </rPr>
      <t>PEÑON DEL CORTIJO III SECTOR</t>
    </r>
  </si>
  <si>
    <r>
      <rPr>
        <sz val="6"/>
        <rFont val="Arial"/>
        <family val="2"/>
      </rPr>
      <t>PERDOMO ALTO</t>
    </r>
  </si>
  <si>
    <r>
      <rPr>
        <sz val="6"/>
        <rFont val="Arial"/>
        <family val="2"/>
      </rPr>
      <t>PRIMAVERA SUR-OCC.</t>
    </r>
  </si>
  <si>
    <r>
      <rPr>
        <sz val="6"/>
        <rFont val="Arial"/>
        <family val="2"/>
      </rPr>
      <t>PROYECTO RAFAEL ESCAMILLA</t>
    </r>
  </si>
  <si>
    <r>
      <rPr>
        <sz val="6"/>
        <rFont val="Arial"/>
        <family val="2"/>
      </rPr>
      <t>RINCON DE GALICIA</t>
    </r>
  </si>
  <si>
    <r>
      <rPr>
        <sz val="6"/>
        <rFont val="Arial"/>
        <family val="2"/>
      </rPr>
      <t>RINCON DE LA ESTANCIA</t>
    </r>
  </si>
  <si>
    <r>
      <rPr>
        <sz val="6"/>
        <rFont val="Arial"/>
        <family val="2"/>
      </rPr>
      <t>RINCON DE LA VALVANERA</t>
    </r>
  </si>
  <si>
    <r>
      <rPr>
        <sz val="6"/>
        <rFont val="Arial"/>
        <family val="2"/>
      </rPr>
      <t>SAN ANTONIO DEL MIRADOR</t>
    </r>
  </si>
  <si>
    <r>
      <rPr>
        <sz val="6"/>
        <rFont val="Arial"/>
        <family val="2"/>
      </rPr>
      <t>SAN ISIDRO</t>
    </r>
  </si>
  <si>
    <r>
      <rPr>
        <sz val="6"/>
        <rFont val="Arial"/>
        <family val="2"/>
      </rPr>
      <t>SAN ISIDRO II</t>
    </r>
  </si>
  <si>
    <r>
      <rPr>
        <sz val="6"/>
        <rFont val="Arial"/>
        <family val="2"/>
      </rPr>
      <t>SAN ISIDRO SECTOR CARBONERAS</t>
    </r>
  </si>
  <si>
    <r>
      <rPr>
        <sz val="6"/>
        <rFont val="Arial"/>
        <family val="2"/>
      </rPr>
      <t>SAN ISIDRO SECTOR CERRITO I</t>
    </r>
  </si>
  <si>
    <r>
      <rPr>
        <sz val="6"/>
        <rFont val="Arial"/>
        <family val="2"/>
      </rPr>
      <t>SAN ISIDRO SECTOR CERRITO II</t>
    </r>
  </si>
  <si>
    <r>
      <rPr>
        <sz val="6"/>
        <rFont val="Arial"/>
        <family val="2"/>
      </rPr>
      <t>SAN ISIDRO SECTOR CERRITO III</t>
    </r>
  </si>
  <si>
    <r>
      <rPr>
        <sz val="6"/>
        <rFont val="Arial"/>
        <family val="2"/>
      </rPr>
      <t>SANTA VIVIANA</t>
    </r>
  </si>
  <si>
    <r>
      <rPr>
        <sz val="6"/>
        <rFont val="Arial"/>
        <family val="2"/>
      </rPr>
      <t>SANTA VIVIANA - SECT.VISTA HERMOSA</t>
    </r>
  </si>
  <si>
    <r>
      <rPr>
        <sz val="6"/>
        <rFont val="Arial"/>
        <family val="2"/>
      </rPr>
      <t>SANTO DOMINGO</t>
    </r>
  </si>
  <si>
    <r>
      <rPr>
        <sz val="6"/>
        <rFont val="Arial"/>
        <family val="2"/>
      </rPr>
      <t>SIERRA MORENA</t>
    </r>
  </si>
  <si>
    <r>
      <rPr>
        <sz val="6"/>
        <rFont val="Arial"/>
        <family val="2"/>
      </rPr>
      <t>TRES REYES II SECTOR</t>
    </r>
  </si>
  <si>
    <r>
      <rPr>
        <sz val="6"/>
        <rFont val="Arial"/>
        <family val="2"/>
      </rPr>
      <t>URB. BALMORAL RINCON DE LA VALVANERA</t>
    </r>
  </si>
  <si>
    <t>MEXICO</t>
  </si>
  <si>
    <t>MIRADOR NUTIBARA</t>
  </si>
  <si>
    <t>NACIONES UNIDAS - CHAPARRO</t>
  </si>
  <si>
    <t>NACIONES UNIDAS - STA ROSA</t>
  </si>
  <si>
    <t>NUEVA COLOMBIA</t>
  </si>
  <si>
    <t>ROCIO ALTOS DEL SUR</t>
  </si>
  <si>
    <t>SAN LUIS ALTOS DE JALISCO</t>
  </si>
  <si>
    <t>TABOR-ALTALOMA</t>
  </si>
  <si>
    <t>TIERRA LINDA</t>
  </si>
  <si>
    <t>URBANIZACION COMPARTIR</t>
  </si>
  <si>
    <t>URBANIZACION EL PRECISO</t>
  </si>
  <si>
    <t>URBANIZACION KALAMARY</t>
  </si>
  <si>
    <t>URBANIZACION LA ALAMEDA</t>
  </si>
  <si>
    <t>URBANIZACION LA ESCALA</t>
  </si>
  <si>
    <t>URBANIZACION LAS QUINTAS DEL SUR</t>
  </si>
  <si>
    <t>URBANIZCION LA SERRANIA DEL SUR</t>
  </si>
  <si>
    <t>VILLA GLORIA</t>
  </si>
  <si>
    <t>VILLA GLORIA-LAS MANITAS</t>
  </si>
  <si>
    <t>VILLAS DEL DIAMANTE</t>
  </si>
  <si>
    <t>VILLAS DEL PROGRESO</t>
  </si>
  <si>
    <t>VISTA HERMOSA</t>
  </si>
  <si>
    <t>VISTA HERMOSA MZ.77A,79A,81A,82,82A,84A</t>
  </si>
  <si>
    <t>VISTA HERMOSA SECTOR CAPRI</t>
  </si>
  <si>
    <t>VISTA HERMOSA SECTOR SAN CARLOS Y EL TRIANGULO</t>
  </si>
  <si>
    <t>URB. EL ARROYUELO-PREDIO EL ALMACEN</t>
  </si>
  <si>
    <t>URB. EL ENSUEÑO</t>
  </si>
  <si>
    <t>URB. RINCON DE LA VALVANERA MZ.7</t>
  </si>
  <si>
    <t>URBANIZACION BALMORAL II</t>
  </si>
  <si>
    <t>URBANIZACION BARLOVENTO</t>
  </si>
  <si>
    <t>URBANIZACION CALABRIA</t>
  </si>
  <si>
    <t>URBANIZACION GALICIA</t>
  </si>
  <si>
    <t>URBANIZACION INDIA CATALINA</t>
  </si>
  <si>
    <t>URBANIZACION LA ESTANCIA</t>
  </si>
  <si>
    <t>URBANIZACION LA LLANADA</t>
  </si>
  <si>
    <t>URBANIZACION LA RIVIERA DEL SUR</t>
  </si>
  <si>
    <t>URBANIZACION LAS HUERTAS</t>
  </si>
  <si>
    <t>URBANIZACION PEÑON DEL CORTIJO</t>
  </si>
  <si>
    <t>ARBORIZADORA ALTA</t>
  </si>
  <si>
    <t>BELLAVISTA</t>
  </si>
  <si>
    <t>EMPRESA COMUNITARIA MANUELA BELTRAN</t>
  </si>
  <si>
    <t>JERUSALEN</t>
  </si>
  <si>
    <t>JERUSALEN SECTOR BELLAVISTA - LA Y</t>
  </si>
  <si>
    <t>JERUSALEN SECTOR EL PLAN</t>
  </si>
  <si>
    <t>JERUSALEN SECTOR LA ISLA</t>
  </si>
  <si>
    <t>JERUSALEN SECTOR LAS BRISAS</t>
  </si>
  <si>
    <t>JERUSALEN SECTOR MEDIA LOMA</t>
  </si>
  <si>
    <t>JERUSALEN SECTOR NUEVA ARGENTINA</t>
  </si>
  <si>
    <t>JERUSALEN SECTOR PARAISO</t>
  </si>
  <si>
    <t>JERUSALEN SECTOR PLAN CANTERAS</t>
  </si>
  <si>
    <t>JERUSALEN SECTOR POTOSI</t>
  </si>
  <si>
    <t>JERUSALEN SECTOR PRADERA - LA ESPERANZA</t>
  </si>
  <si>
    <t>JERUSALEN SECTOR SANTA ROSITA - LAS VEGAS</t>
  </si>
  <si>
    <t>JERUSALEN SECTOR TANQUE LAGUNA</t>
  </si>
  <si>
    <t>LA PRADERA</t>
  </si>
  <si>
    <t>LAS BRISAS</t>
  </si>
  <si>
    <t>LAS VEGAS DE POTOSI</t>
  </si>
  <si>
    <t>POTOSI</t>
  </si>
  <si>
    <t>URB. BOSQUES DE CANDELARIA</t>
  </si>
  <si>
    <t>URB. CANDELARIA LA NUEVA II SECTOR</t>
  </si>
  <si>
    <t>URBANIZACION LA MILAGROSA</t>
  </si>
  <si>
    <t>VERONA</t>
  </si>
  <si>
    <t>VILLA CANDELARIA ANTES SAN SIMON I, II ETAPA</t>
  </si>
  <si>
    <t>NUMERO DE DOCUMENTO</t>
  </si>
  <si>
    <t>TIPO DE BENEFICIARIO</t>
  </si>
  <si>
    <t>PRIMER APELLIDO</t>
  </si>
  <si>
    <t>SEGUNDO APELLIDO</t>
  </si>
  <si>
    <t>PRIMER NOMBRE</t>
  </si>
  <si>
    <t>SEGUNDO NOMBRE</t>
  </si>
  <si>
    <t>FECHA DE NACIMIENTO</t>
  </si>
  <si>
    <t>AÑOS</t>
  </si>
  <si>
    <t>MESES</t>
  </si>
  <si>
    <t>DIAS</t>
  </si>
  <si>
    <t>EDAD</t>
  </si>
  <si>
    <t>PAIS DE NACIMIENTO</t>
  </si>
  <si>
    <t>DEPARTAMENTO DE NACIMIENTO</t>
  </si>
  <si>
    <t>MUNICIPIO DE NACIMIENTO</t>
  </si>
  <si>
    <t>GRUPO ETNICO</t>
  </si>
  <si>
    <t>ENTIDAD QUE CERTIFICA LA DISCAPACIDAD</t>
  </si>
  <si>
    <t>BENEFICIARIO SISBENIZADO</t>
  </si>
  <si>
    <t>PERTENECE A FAMILIAS EN ACCION</t>
  </si>
  <si>
    <t>PAIS DE RESIDENCIA</t>
  </si>
  <si>
    <t>DEPARTAMENTO DE RESIDENCIA</t>
  </si>
  <si>
    <t>ZONA DE UBICACIÓN</t>
  </si>
  <si>
    <t>ESTRATO DEL HOGAR</t>
  </si>
  <si>
    <t>TIPO DE CABECERA</t>
  </si>
  <si>
    <t>BARRIO</t>
  </si>
  <si>
    <t>DIRECCION</t>
  </si>
  <si>
    <t>TELEFONO PRINCIPAL</t>
  </si>
  <si>
    <t>TELEFONO SECUNDARIO</t>
  </si>
  <si>
    <t>TIPO DE RESPONSABLE</t>
  </si>
  <si>
    <t>PRIMER NOMBRE ACUDIENTE</t>
  </si>
  <si>
    <t>SEGUNDO NOMBRE ACUDIENTE</t>
  </si>
  <si>
    <t>PRIMER APELLIDO ACUDIENTE</t>
  </si>
  <si>
    <t>SEGUNDO APELLIDO ACUDIENTE</t>
  </si>
  <si>
    <t>FECHA DE NACIMIENTO ACUDIENTE</t>
  </si>
  <si>
    <t>PAIS DE NACIMIENTO ACUDIENTE</t>
  </si>
  <si>
    <t>¿ACTIVO O INACTIVO?</t>
  </si>
  <si>
    <t>FECHA DE INGRESO</t>
  </si>
  <si>
    <t>FECHA DE EGRESO</t>
  </si>
  <si>
    <t>ESPECIFICAR LA DISCAPACIDAD</t>
  </si>
  <si>
    <t>¿ESTÁ INSCRITO EN EL REGISTRO PARA LA LOCALIZACIÓN Y CARACTERIZACIÓN DE PERSONAS CON DISCAPACIDAD ?</t>
  </si>
  <si>
    <t>¿REQUIERE LA AYUDA DE OTRA PERSONA ?</t>
  </si>
  <si>
    <t>¿REQUIERE AYUDA TÉCNICA / PRODUCTO  DE APOYO ?</t>
  </si>
  <si>
    <t>¿CUENTA CON LA AYUDA TÉCNICA / PRODUCTO  DE APOYO ?</t>
  </si>
  <si>
    <t>¿REQUIERE TERAPIA Y/O REHABILITACIÓN ?</t>
  </si>
  <si>
    <t>RECIBE ATENCIÓN EN TERAPIA Y/O REHABILITACIÓN ?</t>
  </si>
  <si>
    <t>TIENE PROCESO DE INTERDICCIÓN ?</t>
  </si>
  <si>
    <t>ACTIVO/INACTIVO</t>
  </si>
  <si>
    <t>ACTIVO</t>
  </si>
  <si>
    <t>INACTIVO</t>
  </si>
  <si>
    <t>FECHA ACTUAL</t>
  </si>
  <si>
    <t>COMUNA</t>
  </si>
  <si>
    <t>TIPO_DE_CABECERA</t>
  </si>
  <si>
    <t>FAMILIA</t>
  </si>
  <si>
    <t>PADRE</t>
  </si>
  <si>
    <t>MADRE</t>
  </si>
  <si>
    <t>PADRASTRO</t>
  </si>
  <si>
    <t>MADRASTRA</t>
  </si>
  <si>
    <t>CONYUGE</t>
  </si>
  <si>
    <t>TIO(A)</t>
  </si>
  <si>
    <t>HERMANO(A)</t>
  </si>
  <si>
    <t>ABUELO(A)</t>
  </si>
  <si>
    <t>TIPO DE DOCUMENTO ACUDIENTE</t>
  </si>
  <si>
    <t>REGIMEN</t>
  </si>
  <si>
    <t>SUBSIDIADO</t>
  </si>
  <si>
    <t>CONTRIBUTIVO</t>
  </si>
  <si>
    <t>ESPECIAL</t>
  </si>
  <si>
    <t>NO SE ENCUENTRA AFILIADO</t>
  </si>
  <si>
    <t>AIC-EPSI</t>
  </si>
  <si>
    <t>ALIANSALUD EPS</t>
  </si>
  <si>
    <t>AMBUQ EPS</t>
  </si>
  <si>
    <t>COMPENSAR</t>
  </si>
  <si>
    <t>ANAS WAYUU</t>
  </si>
  <si>
    <t>COOMEVA EPS</t>
  </si>
  <si>
    <t>ASMET SALUD EPS</t>
  </si>
  <si>
    <t>CRUZ BLANCA EPS</t>
  </si>
  <si>
    <t>CAJACOPI EPS</t>
  </si>
  <si>
    <t>EPS CONFENALCO VALLE</t>
  </si>
  <si>
    <t>CAPITAL SALUD EPS</t>
  </si>
  <si>
    <t>EPS S.O.S</t>
  </si>
  <si>
    <t>CAPRESOCA EPS</t>
  </si>
  <si>
    <t>EPS SANITAS</t>
  </si>
  <si>
    <t>COMFACHOCÓ EPS</t>
  </si>
  <si>
    <t>FAMISANAR EPS</t>
  </si>
  <si>
    <t>COMFACOR</t>
  </si>
  <si>
    <t>MEDIMÁS EPS</t>
  </si>
  <si>
    <t>COMFAGUAJIRA</t>
  </si>
  <si>
    <t>NUEVA EPS</t>
  </si>
  <si>
    <t>COMFAMILIAR CARTAGENA</t>
  </si>
  <si>
    <t>SALUD TOTAL EPS</t>
  </si>
  <si>
    <t>COMFAMILIAR EPS</t>
  </si>
  <si>
    <t>SURA EPS</t>
  </si>
  <si>
    <t>COMFAMILIAR NARIÑO</t>
  </si>
  <si>
    <t>COMPARTA EPS</t>
  </si>
  <si>
    <t>CONFAORIENTE EPS</t>
  </si>
  <si>
    <t>CONFASUCRE</t>
  </si>
  <si>
    <t>CONVIDA EPS</t>
  </si>
  <si>
    <t>COOSALUD</t>
  </si>
  <si>
    <t>DUSAKAWI EPSI</t>
  </si>
  <si>
    <t>ECOOPSOS</t>
  </si>
  <si>
    <t>EMSSANAR EPS</t>
  </si>
  <si>
    <t>MALLAMAS EPS INDÍGENA</t>
  </si>
  <si>
    <t>MUTUAL SER</t>
  </si>
  <si>
    <t>PIJAOS SALUD</t>
  </si>
  <si>
    <t>SAVIA SALUD EPS</t>
  </si>
  <si>
    <t>EPS</t>
  </si>
  <si>
    <t>FUERZAS MILITARES</t>
  </si>
  <si>
    <t>POLICÍA NACIONAL</t>
  </si>
  <si>
    <t>PROFESORES AFILIADOS AL FONDO NACIONAL DE PRESTACIONES DEL MAGISTERIO</t>
  </si>
  <si>
    <t>ECOPETROL</t>
  </si>
  <si>
    <t>UNIVERSIDADES PÚBLICAS QUE SE ACOGIERON A LA LEY 647 DEL 2001.</t>
  </si>
  <si>
    <t>NO_SE_ENCUENTRA_AFILIADO</t>
  </si>
  <si>
    <t>UNIDAD</t>
  </si>
  <si>
    <t>DUPLA</t>
  </si>
  <si>
    <t>DOCENTE</t>
  </si>
  <si>
    <t>M. GESTANTES Y MADRES LACTANTES (MENOR DE 6 MESES)</t>
  </si>
  <si>
    <t>SI_</t>
  </si>
  <si>
    <t>NO_</t>
  </si>
  <si>
    <t>MUJER GESTANTE</t>
  </si>
  <si>
    <t>MENOR DE SEIS MESES</t>
  </si>
  <si>
    <t>NIÑO O NIÑA ENTRE 6 MESES Y 5 AÑOS Y 11 MESES</t>
  </si>
  <si>
    <t>TIPO COMPLEMENTO</t>
  </si>
  <si>
    <t>Etiquetas de fila</t>
  </si>
  <si>
    <t>Total general</t>
  </si>
  <si>
    <t>Porcentaje - GENERO</t>
  </si>
  <si>
    <t>Porcentaje - TIPO DE BENEFICIARIO</t>
  </si>
  <si>
    <t>Cantidad - ESTRATO DEL HOGAR</t>
  </si>
  <si>
    <t>TIPOS_DE_DISCAPACIDAD</t>
  </si>
  <si>
    <t>FISICA</t>
  </si>
  <si>
    <t>INTELECTUAL</t>
  </si>
  <si>
    <t>PSICOSOCIAL</t>
  </si>
  <si>
    <t>AUDITIVA</t>
  </si>
  <si>
    <t>VISUAL</t>
  </si>
  <si>
    <t>SORDO CEGUERA</t>
  </si>
  <si>
    <t>MULTIPLE</t>
  </si>
  <si>
    <t>SENSORIAL</t>
  </si>
  <si>
    <t>SISTEMICA</t>
  </si>
  <si>
    <t>VOZ Y HABLA</t>
  </si>
  <si>
    <t>PIEL, PELO Y UÑAS</t>
  </si>
  <si>
    <t>NINGUNA</t>
  </si>
  <si>
    <t>CATEGORIA DE LA DISCAPACIDAD</t>
  </si>
  <si>
    <t>NUMERO DE DOCUMENTO DEL ACUDIENTE</t>
  </si>
  <si>
    <t>TIPO DE DOCUMENTO PAPÁ</t>
  </si>
  <si>
    <t>NUMERO DE DOCUMENTO DEL PAPÁ</t>
  </si>
  <si>
    <t>PRIMER NOMBRE PAPÁ</t>
  </si>
  <si>
    <t>SEGUNDO NOMBRE PAPÁ</t>
  </si>
  <si>
    <t>PRIMER APELLIDO PAPÁ</t>
  </si>
  <si>
    <t>SEGUNDO APELLIDO PAPÁ</t>
  </si>
  <si>
    <t>FECHA DE NACIMIENTO PAPÁ</t>
  </si>
  <si>
    <t>NUMERO DE DOCUMENTO DE LA MAMÁ</t>
  </si>
  <si>
    <t>TIPO DE DOCUMENTO MAMÁ</t>
  </si>
  <si>
    <t>PRIMER NOMBRE MAMÁ</t>
  </si>
  <si>
    <t>SEGUNDO NOMBRE MAMÁ</t>
  </si>
  <si>
    <t>PRIMER APELLIDO MAMÁ</t>
  </si>
  <si>
    <t>SEGUNDO APELLIDO MAMÁ</t>
  </si>
  <si>
    <t>FECHA DE NACIMIENTO MAMÁ</t>
  </si>
  <si>
    <t>EDAD MAMÁ</t>
  </si>
  <si>
    <t>EDUCANDO ANDO</t>
  </si>
  <si>
    <t>SEMBRANDO ESPERANZA</t>
  </si>
  <si>
    <t>ESPACIOS CREATIVOS</t>
  </si>
  <si>
    <t>CRECER JUGANDO EN FAMILIA</t>
  </si>
  <si>
    <t>MIS TERNURAS</t>
  </si>
  <si>
    <t>LACITOS DE AMOR</t>
  </si>
  <si>
    <t>CRECER Y CREAR 1</t>
  </si>
  <si>
    <t>CRECER Y CREAR 2</t>
  </si>
  <si>
    <t>EMPRENDEDORAS</t>
  </si>
  <si>
    <t>MONACHOS</t>
  </si>
  <si>
    <t>SEMILLITAS DE AMOR</t>
  </si>
  <si>
    <t>SOÑADORAS</t>
  </si>
  <si>
    <t>GUERRERAS CONSTRUYENDO SUEÑOS</t>
  </si>
  <si>
    <t>TRIUNFADORAS</t>
  </si>
  <si>
    <t>GESTANDO FUTURO T3</t>
  </si>
  <si>
    <t>GESTANDO FUTURO T2</t>
  </si>
  <si>
    <t>LOURDES</t>
  </si>
  <si>
    <t>SANTA ROSA DE LIMA</t>
  </si>
  <si>
    <t>FISCALA</t>
  </si>
  <si>
    <t>USME PUEBLO</t>
  </si>
  <si>
    <t>SERRANIAS</t>
  </si>
  <si>
    <t>VIRREY</t>
  </si>
  <si>
    <t>SI EL BENEFICIARIO TIENE TICKET, INDIQUE EL NÚMERO DE TICKET</t>
  </si>
  <si>
    <t>NOMBRE COMPLETO</t>
  </si>
  <si>
    <t>Cantidad - TIPO DE BENEFICIARIO</t>
  </si>
  <si>
    <t>Cantidad - PAIS DE NACIMIENTO</t>
  </si>
  <si>
    <t>Cantidad - REGIMEN</t>
  </si>
  <si>
    <t>Porcentaje - REGIMEN</t>
  </si>
  <si>
    <t>Porcentaje - ESTRATO DEL HOGAR</t>
  </si>
  <si>
    <t>CANTIDAD ACTIVOS</t>
  </si>
  <si>
    <t>Cantidad - GENERO</t>
  </si>
  <si>
    <t>Cantidad - EPS</t>
  </si>
  <si>
    <t>Porcentaje - EPS</t>
  </si>
  <si>
    <t xml:space="preserve">¿EL BENEFICIARIO CUENTA CON EL CARNET DE VACUNACIÓN? * </t>
  </si>
  <si>
    <t xml:space="preserve">¿EL CARNET DE VACUNACIÓN SE ENCUENTRA AL DÍA EN LAS VACUNAS Y DOSIS QUE CORRESPONDEN A LA EDAD DEL NIÑO O NIÑA? * </t>
  </si>
  <si>
    <t xml:space="preserve">¿EL BENEFICIARIO PRESENTA CARNET DE CRECIMIENTO Y DESARROLLO? * </t>
  </si>
  <si>
    <t xml:space="preserve">SI EL NIÑO CUENTA CON EL CARNET, VERIFIQUE ¿CUÁNTOS CONTROLES DE CRECIMIENTO Y DESARROLLO HA RECIBIDO EL NIÑO, EN LOS ÚLTIMOS 6 MESES? </t>
  </si>
  <si>
    <t xml:space="preserve">ANTECEDENTE DE PREMATUREZ * </t>
  </si>
  <si>
    <t xml:space="preserve">A LA FECHA DE VALORACIÓN EL BENEFICIARIO TIENE MENOS DE 40 SEMANAS </t>
  </si>
  <si>
    <t>PERIMETRO CEFÁLICO</t>
  </si>
  <si>
    <t xml:space="preserve">EDAD GESTACIONAL AL NACER * </t>
  </si>
  <si>
    <t>SI EL NIÑO O NIÑA ES MENOR DE 6 MESES, ¿ESTÁ SIENDO ALIMENTADO CON LECHE MATERNA DE FORMA EXCLUSIVA?</t>
  </si>
  <si>
    <t>DURACIÓN LACTANCIA MATERNA EXCLUSIVA (MESES)</t>
  </si>
  <si>
    <t>DURACIÓN LACTANCIA MATERNA TOTAL (MESES)</t>
  </si>
  <si>
    <t>Cantidad -  BENEFICIARIO QUE CUENTAN CON EL CARNET DE VACUNACIÓN</t>
  </si>
  <si>
    <t>Porcentaje -  BENEFICIARIO QUE CUENTAN CON EL CARNET DE VACUNACIÓN</t>
  </si>
  <si>
    <t>CARNET DE VACUNACION</t>
  </si>
  <si>
    <t>REGIMEN - EPS</t>
  </si>
  <si>
    <t>DISCAPACIDAD</t>
  </si>
  <si>
    <t>Porcentaje - PAIS DE NACIMIENTO</t>
  </si>
  <si>
    <t>Cantidad -  BENEFICIARIO QUE PRESENTA CARNET DE CRECIMIENTO Y DESARROLLO</t>
  </si>
  <si>
    <t>Porcentaje - BENEFICIARIO QUE PRESENTA CARNET DE CRECIMIENTO Y DESARROLLO</t>
  </si>
  <si>
    <t>CARNET DE CRECIMIENTO Y DESARROLLO</t>
  </si>
  <si>
    <t>Cantidad - ZONA DE UBICACIÓN</t>
  </si>
  <si>
    <t>Porcentaje -  ZONA DE UBICACIÓN2</t>
  </si>
  <si>
    <t>Cantidad -  BARRIO</t>
  </si>
  <si>
    <t>Porcentaje - BARRIO</t>
  </si>
  <si>
    <t>Cuenta de BENEFICIARIO SISBENIZADO</t>
  </si>
  <si>
    <t>Cuenta de BENEFICIARIO SISBENIZADO2</t>
  </si>
  <si>
    <t>PUNTAJE SISBEN</t>
  </si>
  <si>
    <t>DATOS BÁSICOS</t>
  </si>
  <si>
    <t>GEORREFERENCIACIÓN</t>
  </si>
  <si>
    <t>DATOS SALUD</t>
  </si>
  <si>
    <t>TIPO COMPLEMENTO POR DUPLA</t>
  </si>
  <si>
    <t>NO MODIFIQUE LA COLUMNA</t>
  </si>
  <si>
    <t>ACTIVOS</t>
  </si>
  <si>
    <t>Cantidad - TIPO COMPLEMENTO</t>
  </si>
  <si>
    <t>EDAD PAPÁ (AÑOS)</t>
  </si>
  <si>
    <t>NO APLICA</t>
  </si>
  <si>
    <t>NOMBRE LOCALIDAD/COMUNAS/NOMBRE DE ZONA RESTO</t>
  </si>
  <si>
    <t>OTRO</t>
  </si>
  <si>
    <t>NO_APLICA</t>
  </si>
  <si>
    <t>N_A</t>
  </si>
  <si>
    <t>Cantidad NOMBRE LOCALIDAD/COMUNAS/NOMBRE DE ZONA RESTO</t>
  </si>
  <si>
    <t>Porcentaje NOMBRE LOCALIDAD/COMUNAS/NOMBRE DE ZONA RESTO2</t>
  </si>
  <si>
    <t>LOCALIDAD-COMUNA-RESTO</t>
  </si>
  <si>
    <t>NOMBRE DE LA ZONA RESTO</t>
  </si>
  <si>
    <t>(en blanco)</t>
  </si>
  <si>
    <t>Cuenta de PUNTAJE SISBEN</t>
  </si>
  <si>
    <t>AMIGO(A)</t>
  </si>
  <si>
    <t>OLAYA</t>
  </si>
  <si>
    <t>SALDAÑA</t>
  </si>
  <si>
    <t>LINARES</t>
  </si>
  <si>
    <t>SANTANA</t>
  </si>
  <si>
    <t>SANTIAGO</t>
  </si>
  <si>
    <t>OBANDO</t>
  </si>
  <si>
    <t>VICTORIA</t>
  </si>
  <si>
    <t>TORO</t>
  </si>
  <si>
    <t>OSPINA</t>
  </si>
  <si>
    <t>GUADALUPE</t>
  </si>
  <si>
    <t>MIRANDA</t>
  </si>
  <si>
    <t>MEDINA</t>
  </si>
  <si>
    <t>PAJARITO</t>
  </si>
  <si>
    <t>ALDANA</t>
  </si>
  <si>
    <t>RESTREPO</t>
  </si>
  <si>
    <t>ALVARADO</t>
  </si>
  <si>
    <t>ACEVEDO</t>
  </si>
  <si>
    <t>RIVERA</t>
  </si>
  <si>
    <t>GIRALDO</t>
  </si>
  <si>
    <t>FONSECA</t>
  </si>
  <si>
    <t>BARBOSA</t>
  </si>
  <si>
    <t>RICAURTE</t>
  </si>
  <si>
    <t>ZAMBRANO</t>
  </si>
  <si>
    <t>DANUBIO II</t>
  </si>
  <si>
    <t>CHUNIZA</t>
  </si>
  <si>
    <t>EL BENEFICIARIO HA SIDO VICTIMA DIRECTA CONFLICTO ARMADO</t>
  </si>
  <si>
    <t>CÓRDOBA</t>
  </si>
  <si>
    <t>BUENAVISTA</t>
  </si>
  <si>
    <t>SAN PELAYO</t>
  </si>
  <si>
    <t>MONTERÍA</t>
  </si>
  <si>
    <t>AYAPEL</t>
  </si>
  <si>
    <t>CANALETE</t>
  </si>
  <si>
    <t>CERETÉ</t>
  </si>
  <si>
    <t>CHIMÁ</t>
  </si>
  <si>
    <t>CHINÚ</t>
  </si>
  <si>
    <t>CIÉNAGA DE ORO</t>
  </si>
  <si>
    <t>COTORRA</t>
  </si>
  <si>
    <t>LA APARTADA</t>
  </si>
  <si>
    <t>LOS CÓRDOBAS</t>
  </si>
  <si>
    <t>MOMIL</t>
  </si>
  <si>
    <t>MONTELÍBANO</t>
  </si>
  <si>
    <t>MOÑITOS</t>
  </si>
  <si>
    <t>PLANETA RICA</t>
  </si>
  <si>
    <t>PUEBLO NUEVO</t>
  </si>
  <si>
    <t>PUERTO ESCONDIDO</t>
  </si>
  <si>
    <t>PUERTO LIBERTADOR</t>
  </si>
  <si>
    <t>PURÍSIMA</t>
  </si>
  <si>
    <t>SAHAGÚN</t>
  </si>
  <si>
    <t>SAN ANDRÉS DE SOTAVENTO</t>
  </si>
  <si>
    <t>SAN ANTERO</t>
  </si>
  <si>
    <t>SAN BERNARDO DEL VIENTO</t>
  </si>
  <si>
    <t>SAN CARLOS</t>
  </si>
  <si>
    <t>SAN JOSÉ DE URÉ</t>
  </si>
  <si>
    <t>SANTA CRUZ DE LORICA</t>
  </si>
  <si>
    <t>TIERRALTA</t>
  </si>
  <si>
    <t>TUCHÍN</t>
  </si>
  <si>
    <t>VALENCIA</t>
  </si>
  <si>
    <t/>
  </si>
  <si>
    <t>NEIRA</t>
  </si>
  <si>
    <t>GRUPO_ÉTNICO</t>
  </si>
  <si>
    <t>ALTO BAUDÓ</t>
  </si>
  <si>
    <t>ATRATO</t>
  </si>
  <si>
    <t>BAGADÓ</t>
  </si>
  <si>
    <t>BAHÍA SOLANO</t>
  </si>
  <si>
    <t>BAJO BAUDÓ</t>
  </si>
  <si>
    <t>BOJAYÁ</t>
  </si>
  <si>
    <t>CÉRTEGUI</t>
  </si>
  <si>
    <t>CONDOTO</t>
  </si>
  <si>
    <t>EL CANTÓN DE SAN PABLO</t>
  </si>
  <si>
    <t>EL CARMEN DE ATRATO</t>
  </si>
  <si>
    <t>EL CARMEN DEL DARIÉN</t>
  </si>
  <si>
    <t>EL LITORAL DE SAN JUAN</t>
  </si>
  <si>
    <t>ISTMINA</t>
  </si>
  <si>
    <t>JURADÓ</t>
  </si>
  <si>
    <t>LLORÓ</t>
  </si>
  <si>
    <t>MEDIO ATRATO</t>
  </si>
  <si>
    <t>MEDIO BAUDÓ</t>
  </si>
  <si>
    <t>MEDIO SAN JUAN</t>
  </si>
  <si>
    <t>NÓVITA</t>
  </si>
  <si>
    <t>NUQUÍ</t>
  </si>
  <si>
    <t>QUIBDÓ</t>
  </si>
  <si>
    <t>RÍO IRÓ</t>
  </si>
  <si>
    <t>RÍO QUITO</t>
  </si>
  <si>
    <t>RIOSUCIO</t>
  </si>
  <si>
    <t>SAN JOSÉ DEL PALMAR</t>
  </si>
  <si>
    <t>SIPÍ</t>
  </si>
  <si>
    <t>TADÓ</t>
  </si>
  <si>
    <t>UNGUÍA</t>
  </si>
  <si>
    <t>UNIÓN PANAMERICANA</t>
  </si>
  <si>
    <t>Cuenta de TIPO COMPLEMENTO</t>
  </si>
  <si>
    <t>TIPO DE COMPLEMENTO</t>
  </si>
  <si>
    <t>TIPO DE COMPLEMENTO PORCENTAJE</t>
  </si>
  <si>
    <t>DUITAMA</t>
  </si>
  <si>
    <t>MORALES</t>
  </si>
  <si>
    <t>BRICEÑO</t>
  </si>
  <si>
    <t>GUACA</t>
  </si>
  <si>
    <t>PEDRAZA</t>
  </si>
  <si>
    <t>BELLO</t>
  </si>
  <si>
    <t>TRUJILLO</t>
  </si>
  <si>
    <t>BELTRÁN</t>
  </si>
  <si>
    <t>MURILLO</t>
  </si>
  <si>
    <t>GONZÁLEZ</t>
  </si>
  <si>
    <t>CERINZA</t>
  </si>
  <si>
    <t>ORTEGA</t>
  </si>
  <si>
    <t>PADILLA</t>
  </si>
  <si>
    <t>CABRERA</t>
  </si>
  <si>
    <t>MOSQUERA</t>
  </si>
  <si>
    <t>SEGOVIA</t>
  </si>
  <si>
    <t>MONTENEGRO</t>
  </si>
  <si>
    <t>SOLANO</t>
  </si>
  <si>
    <t>CAICEDO</t>
  </si>
  <si>
    <t>MARULANDA</t>
  </si>
  <si>
    <t>ROSAS</t>
  </si>
  <si>
    <t>VERGARA</t>
  </si>
  <si>
    <t>LEIVA</t>
  </si>
  <si>
    <t>FRESNO</t>
  </si>
  <si>
    <t>PAIPA</t>
  </si>
  <si>
    <t>MADRID</t>
  </si>
  <si>
    <t>VILLANUEVA</t>
  </si>
  <si>
    <t>+</t>
  </si>
  <si>
    <t>PRADO</t>
  </si>
  <si>
    <t>COGUA</t>
  </si>
  <si>
    <t>COELLO</t>
  </si>
  <si>
    <t>PAUNA</t>
  </si>
  <si>
    <t>SOACHA</t>
  </si>
  <si>
    <t>OPORAPA</t>
  </si>
  <si>
    <t>TUTA</t>
  </si>
  <si>
    <t>SAN AGUSTIN</t>
  </si>
  <si>
    <t>LA ESPERANZA</t>
  </si>
  <si>
    <t>MARGARITA</t>
  </si>
  <si>
    <t>DIVINO NIÑO</t>
  </si>
  <si>
    <t>DOLORES</t>
  </si>
  <si>
    <t>SUSA</t>
  </si>
  <si>
    <t>TABIO</t>
  </si>
  <si>
    <t>GARZÓN</t>
  </si>
  <si>
    <t>TRINIDAD</t>
  </si>
  <si>
    <t>SUAZA</t>
  </si>
  <si>
    <t>Sabanas Del Dorado</t>
  </si>
  <si>
    <t>El Gaco</t>
  </si>
  <si>
    <t>EL LIBANO</t>
  </si>
  <si>
    <t>GRANADA AL SUR</t>
  </si>
  <si>
    <t>SAN ANDRÉS Y PROVIDENCIA</t>
  </si>
  <si>
    <t>CUCUTILLA</t>
  </si>
  <si>
    <t>GRAMALOTE</t>
  </si>
  <si>
    <t>SALAZAR DE LAS PALMAS</t>
  </si>
  <si>
    <t>VILLA CARO</t>
  </si>
  <si>
    <t>EL ZULIA</t>
  </si>
  <si>
    <t>LOS PATIOS</t>
  </si>
  <si>
    <t>PUERTO SANTANDER</t>
  </si>
  <si>
    <t>SAN CAYETANO</t>
  </si>
  <si>
    <t>VILLA DEL ROSARIO</t>
  </si>
  <si>
    <t>BUCARASICA</t>
  </si>
  <si>
    <t>EL TARRA</t>
  </si>
  <si>
    <t>SARDINATA</t>
  </si>
  <si>
    <t>TIBÚ</t>
  </si>
  <si>
    <t>ÁBREGO</t>
  </si>
  <si>
    <t>CÁCHIRA</t>
  </si>
  <si>
    <t>CONVENCIÓN</t>
  </si>
  <si>
    <t>HACARÍ</t>
  </si>
  <si>
    <t>LA PLAYA DE BELÉN</t>
  </si>
  <si>
    <t>OCAÑA</t>
  </si>
  <si>
    <t>SAN CALIXTO</t>
  </si>
  <si>
    <t>TEORAMA</t>
  </si>
  <si>
    <t>CÁCOTA</t>
  </si>
  <si>
    <t>CHITAGÁ</t>
  </si>
  <si>
    <t>MUTISCUA</t>
  </si>
  <si>
    <t>PAMPLONA</t>
  </si>
  <si>
    <t>PAMPLONITA</t>
  </si>
  <si>
    <t>SANTO DOMINGO DE SILOS</t>
  </si>
  <si>
    <t>BOCHALEMA</t>
  </si>
  <si>
    <t>CHINÁCOTA</t>
  </si>
  <si>
    <t>DURANIA</t>
  </si>
  <si>
    <t>HERRÁN</t>
  </si>
  <si>
    <t>LABATECA</t>
  </si>
  <si>
    <t>RAGONVALIA</t>
  </si>
  <si>
    <t>TOLEDO</t>
  </si>
  <si>
    <t>CAUCASIA</t>
  </si>
  <si>
    <t>EL BANCO</t>
  </si>
  <si>
    <t>EL PIÑÓN</t>
  </si>
  <si>
    <t>EL RETÉN</t>
  </si>
  <si>
    <t xml:space="preserve">EL GUAMO </t>
  </si>
  <si>
    <t>ABEJORRAL</t>
  </si>
  <si>
    <t>ABRIAQUÍ</t>
  </si>
  <si>
    <t>ALEJANDRÍA</t>
  </si>
  <si>
    <t>AMAGÁ</t>
  </si>
  <si>
    <t>AMALFI</t>
  </si>
  <si>
    <t>ANDES</t>
  </si>
  <si>
    <t>ANGELÓPOLIS</t>
  </si>
  <si>
    <t>ANGOSTURA</t>
  </si>
  <si>
    <t>ANORÍ</t>
  </si>
  <si>
    <t>ANZÁ</t>
  </si>
  <si>
    <t>APARTADÓ</t>
  </si>
  <si>
    <t>ARBOLETES</t>
  </si>
  <si>
    <t>ARGELIA</t>
  </si>
  <si>
    <t>BELMIRA</t>
  </si>
  <si>
    <t>BETANIA</t>
  </si>
  <si>
    <t>BETULIA</t>
  </si>
  <si>
    <t>BURITICÁ</t>
  </si>
  <si>
    <t>CÁCERES</t>
  </si>
  <si>
    <t>CAMPAMENTO</t>
  </si>
  <si>
    <t>CAÑASGORDAS</t>
  </si>
  <si>
    <t>CARACOLÍ</t>
  </si>
  <si>
    <t>CARAMANTA</t>
  </si>
  <si>
    <t>CAREPA</t>
  </si>
  <si>
    <t>CAROLINA DEL PRÍNCIPE</t>
  </si>
  <si>
    <t>CHIGORODÓ</t>
  </si>
  <si>
    <t>CISNEROS</t>
  </si>
  <si>
    <t xml:space="preserve">CIUDAD </t>
  </si>
  <si>
    <t>COCORNÁ</t>
  </si>
  <si>
    <t>CONCEPCIÓN</t>
  </si>
  <si>
    <t>CONCORDIA</t>
  </si>
  <si>
    <t>COPACABANA</t>
  </si>
  <si>
    <t>DABEIBA</t>
  </si>
  <si>
    <t>DONMATÍAS</t>
  </si>
  <si>
    <t>EBÉJICO</t>
  </si>
  <si>
    <t>EL BAGRE</t>
  </si>
  <si>
    <t>EL CARMEN DE VIBORAL</t>
  </si>
  <si>
    <t>EL PEÑOL</t>
  </si>
  <si>
    <t>EL RETIRO</t>
  </si>
  <si>
    <t>EL SANTUARIO</t>
  </si>
  <si>
    <t>ENTRERRÍOS</t>
  </si>
  <si>
    <t>ENVIGADO</t>
  </si>
  <si>
    <t>FREDONIA</t>
  </si>
  <si>
    <t>FRONTINO</t>
  </si>
  <si>
    <t>GIRARDOTA</t>
  </si>
  <si>
    <t>GÓMEZ PLATA</t>
  </si>
  <si>
    <t>GRANADA</t>
  </si>
  <si>
    <t>GUARNE</t>
  </si>
  <si>
    <t>GUATAPÉ</t>
  </si>
  <si>
    <t>HELICONIA</t>
  </si>
  <si>
    <t>HISPANIA</t>
  </si>
  <si>
    <t>ITAGÜÍ</t>
  </si>
  <si>
    <t>ITUANGO</t>
  </si>
  <si>
    <t>JARDÍN</t>
  </si>
  <si>
    <t>JERICÓ</t>
  </si>
  <si>
    <t>LA CEJA</t>
  </si>
  <si>
    <t>LA ESTRELLA</t>
  </si>
  <si>
    <t>LA PINTADA</t>
  </si>
  <si>
    <t>LA UNIÓN</t>
  </si>
  <si>
    <t>LIBORINA</t>
  </si>
  <si>
    <t>MACEO</t>
  </si>
  <si>
    <t>MARINILLA</t>
  </si>
  <si>
    <t>MONTEBELLO</t>
  </si>
  <si>
    <t>MURINDÓ</t>
  </si>
  <si>
    <t>MUTATÁ</t>
  </si>
  <si>
    <t>NECHÍ</t>
  </si>
  <si>
    <t>NECOCLÍ</t>
  </si>
  <si>
    <t>PEQUE</t>
  </si>
  <si>
    <t>PUEBLORRICO</t>
  </si>
  <si>
    <t>PUERTO BERRÍO</t>
  </si>
  <si>
    <t>PUERTO NARE</t>
  </si>
  <si>
    <t>PUERTO TRIUNFO</t>
  </si>
  <si>
    <t>REMEDIOS</t>
  </si>
  <si>
    <t>RIONEGRO</t>
  </si>
  <si>
    <t>SABANALARGA</t>
  </si>
  <si>
    <t>SABANETA</t>
  </si>
  <si>
    <t>SALGAR</t>
  </si>
  <si>
    <t>SAN ANDRÉS DE CUERQUIA</t>
  </si>
  <si>
    <t>SAN FRANCISCO</t>
  </si>
  <si>
    <t>SAN JERÓNIMO</t>
  </si>
  <si>
    <t>SAN JOSÉ DE LA MONTAÑA</t>
  </si>
  <si>
    <t>SAN JUAN DE URABÁ</t>
  </si>
  <si>
    <t>SAN LUIS</t>
  </si>
  <si>
    <t>SAN PEDRO DE LOS MILAGROS</t>
  </si>
  <si>
    <t>SAN PEDRO DE URABÁ</t>
  </si>
  <si>
    <t>SAN RAFAEL</t>
  </si>
  <si>
    <t>SAN ROQUE</t>
  </si>
  <si>
    <t>SAN VICENTE</t>
  </si>
  <si>
    <t xml:space="preserve">SANTA FE DE </t>
  </si>
  <si>
    <t>SANTA ROSA DE OSOS</t>
  </si>
  <si>
    <t>SANTO DOMINGO</t>
  </si>
  <si>
    <t>SIA</t>
  </si>
  <si>
    <t>SONSÓN</t>
  </si>
  <si>
    <t>SOPETRÁN</t>
  </si>
  <si>
    <t>TÁMESIS</t>
  </si>
  <si>
    <t>TARAZÁ</t>
  </si>
  <si>
    <t>TARSO</t>
  </si>
  <si>
    <t>TITIRIBÍ</t>
  </si>
  <si>
    <t>TURBO</t>
  </si>
  <si>
    <t>URAMITA</t>
  </si>
  <si>
    <t>URRAO</t>
  </si>
  <si>
    <t>VALDIVIA</t>
  </si>
  <si>
    <t>VALPARAÍSO</t>
  </si>
  <si>
    <t>VEGACHÍ</t>
  </si>
  <si>
    <t>VIGÍA DEL FUERTE</t>
  </si>
  <si>
    <t>YALÍ</t>
  </si>
  <si>
    <t>YARUMAL</t>
  </si>
  <si>
    <t>YOLOMBÓ</t>
  </si>
  <si>
    <t>ZARAGOZA</t>
  </si>
  <si>
    <t>ARAUQUITA</t>
  </si>
  <si>
    <t>CRAVO NORTE</t>
  </si>
  <si>
    <t>FORTUL</t>
  </si>
  <si>
    <t>PUERTO RONDÓN</t>
  </si>
  <si>
    <t>SARAVENA</t>
  </si>
  <si>
    <t>TAME</t>
  </si>
  <si>
    <t>BARANOA</t>
  </si>
  <si>
    <t>CAMPO DE LA CRUZ</t>
  </si>
  <si>
    <t>CANDELARIA</t>
  </si>
  <si>
    <t>GALAPA</t>
  </si>
  <si>
    <t>JUAN DE ACOSTA</t>
  </si>
  <si>
    <t>LURUACO</t>
  </si>
  <si>
    <t>MALAMBO</t>
  </si>
  <si>
    <t>MANATÍ</t>
  </si>
  <si>
    <t>PALMAR DE VARELA</t>
  </si>
  <si>
    <t>PIOJÓ</t>
  </si>
  <si>
    <t>POLONUEVO</t>
  </si>
  <si>
    <t>PONEDERA</t>
  </si>
  <si>
    <t>REPELÓN</t>
  </si>
  <si>
    <t>SABANAGRANDE</t>
  </si>
  <si>
    <t>SANTA LUCÍA</t>
  </si>
  <si>
    <t>SANTO TOMÁS</t>
  </si>
  <si>
    <t>SOLEDAD</t>
  </si>
  <si>
    <t>SUÁN</t>
  </si>
  <si>
    <t>TUBARÁ</t>
  </si>
  <si>
    <t>USIACURÍ</t>
  </si>
  <si>
    <t>ACHÍ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</si>
  <si>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</si>
  <si>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</si>
  <si>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</si>
  <si>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</si>
  <si>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</si>
  <si>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</si>
  <si>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</si>
  <si>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CICUCO</t>
  </si>
  <si>
    <t>CLEMENCIA</t>
  </si>
  <si>
    <t>EL PEÑÓN</t>
  </si>
  <si>
    <t>HATILLO DE LOBA</t>
  </si>
  <si>
    <t>MAGANGUÉ</t>
  </si>
  <si>
    <t>MAHATES</t>
  </si>
  <si>
    <t>MARÍA LA BAJA</t>
  </si>
  <si>
    <t>MOMPÓS</t>
  </si>
  <si>
    <t>MONTECRISTO</t>
  </si>
  <si>
    <t>NOROSÍ</t>
  </si>
  <si>
    <t>PINILLOS</t>
  </si>
  <si>
    <t>REGIDOR</t>
  </si>
  <si>
    <t>RÍO VIEJO</t>
  </si>
  <si>
    <t>SAN CRISTÓBAL</t>
  </si>
  <si>
    <t>SAN FERNANDO</t>
  </si>
  <si>
    <t xml:space="preserve">SAN JACINTO DEL </t>
  </si>
  <si>
    <t>SAN JACINTO</t>
  </si>
  <si>
    <t>SAN JUAN NEPOMUCENO</t>
  </si>
  <si>
    <t>SAN MARTÍN DE LOBA</t>
  </si>
  <si>
    <t>SAN PABLO</t>
  </si>
  <si>
    <t>SANTA ROSA</t>
  </si>
  <si>
    <t>SANTA ROSA DEL SUR</t>
  </si>
  <si>
    <t>SIMITÍ</t>
  </si>
  <si>
    <t>SOPLAVIENTO</t>
  </si>
  <si>
    <t>TALAIGUA NUEVO</t>
  </si>
  <si>
    <t>TURBACO</t>
  </si>
  <si>
    <t>TURBANÁ</t>
  </si>
  <si>
    <t>ALMEIDA</t>
  </si>
  <si>
    <t>AQUITANIA</t>
  </si>
  <si>
    <t>ARCABUCO</t>
  </si>
  <si>
    <t>BELÉN</t>
  </si>
  <si>
    <t>BERBEO</t>
  </si>
  <si>
    <t>BETÉITIVA</t>
  </si>
  <si>
    <t>BOAVITA</t>
  </si>
  <si>
    <t>BUSBANZÁ</t>
  </si>
  <si>
    <t>CAMPOHERMOSO</t>
  </si>
  <si>
    <t>CHINAVITA</t>
  </si>
  <si>
    <t>CHIQUINQUIRÁ</t>
  </si>
  <si>
    <t>CHÍQUIZA</t>
  </si>
  <si>
    <t>CHISCAS</t>
  </si>
  <si>
    <t>CHITA</t>
  </si>
  <si>
    <t>CHITARAQUE</t>
  </si>
  <si>
    <t>CHIVATÁ</t>
  </si>
  <si>
    <t>CHIVOR</t>
  </si>
  <si>
    <t>CIÉNEGA</t>
  </si>
  <si>
    <t>CÓMBITA</t>
  </si>
  <si>
    <t>COPER</t>
  </si>
  <si>
    <t>CORRALES</t>
  </si>
  <si>
    <t>COVARACHÍA</t>
  </si>
  <si>
    <t>CUCAITA</t>
  </si>
  <si>
    <t>CUÍTIVA</t>
  </si>
  <si>
    <t>EL COCUY</t>
  </si>
  <si>
    <t>EL ESPINO</t>
  </si>
  <si>
    <t>FIRAVITOBA</t>
  </si>
  <si>
    <t>FLORESTA</t>
  </si>
  <si>
    <t>GACHANTIVÁ</t>
  </si>
  <si>
    <t>GÁMEZA</t>
  </si>
  <si>
    <t>GARAGOA</t>
  </si>
  <si>
    <t>GUACAMAYAS</t>
  </si>
  <si>
    <t>GUATEQUE</t>
  </si>
  <si>
    <t>GUAYATÁ</t>
  </si>
  <si>
    <t>GÜICÁN</t>
  </si>
  <si>
    <t>IZA</t>
  </si>
  <si>
    <t>JENESANO</t>
  </si>
  <si>
    <t>LA CAPILLA</t>
  </si>
  <si>
    <t>LA UVITA</t>
  </si>
  <si>
    <t>LABRANZAGRANDE</t>
  </si>
  <si>
    <t>MACANAL</t>
  </si>
  <si>
    <t>MARIPÍ</t>
  </si>
  <si>
    <t>MIRAFLORES</t>
  </si>
  <si>
    <t>MONGUA</t>
  </si>
  <si>
    <t>MONGUÍ</t>
  </si>
  <si>
    <t>MONIQUIRÁ</t>
  </si>
  <si>
    <t>MOTAVITA</t>
  </si>
  <si>
    <t>MUZO</t>
  </si>
  <si>
    <t>NOBSA</t>
  </si>
  <si>
    <t>NUEVO COLÓN</t>
  </si>
  <si>
    <t>OICATÁ</t>
  </si>
  <si>
    <t>OTANCHE</t>
  </si>
  <si>
    <t>PACHAVITA</t>
  </si>
  <si>
    <t>PANQUEBA</t>
  </si>
  <si>
    <t>PAYA</t>
  </si>
  <si>
    <t>PAZ DEL RÍO</t>
  </si>
  <si>
    <t>PESCA</t>
  </si>
  <si>
    <t>PISBA</t>
  </si>
  <si>
    <t>QUÍPAMA</t>
  </si>
  <si>
    <t>RAMIRIQUÍ</t>
  </si>
  <si>
    <t>RÁQUIRA</t>
  </si>
  <si>
    <t>RONDÓN</t>
  </si>
  <si>
    <t>SABOYÁ</t>
  </si>
  <si>
    <t>SÁCHICA</t>
  </si>
  <si>
    <t>SAMACÁ</t>
  </si>
  <si>
    <t>SAN EDUARDO</t>
  </si>
  <si>
    <t>SAN JOSÉ DE PARE</t>
  </si>
  <si>
    <t>SAN LUIS DE GACENO</t>
  </si>
  <si>
    <t>SAN MATEO</t>
  </si>
  <si>
    <t>SAN MIGUEL DE SEMA</t>
  </si>
  <si>
    <t>SAN PABLO DE BORBUR</t>
  </si>
  <si>
    <t>SANTA MARÍA</t>
  </si>
  <si>
    <t>SANTA ROSA DE VITERBO</t>
  </si>
  <si>
    <t>SANTA SOFÍA</t>
  </si>
  <si>
    <t>SATIVANORTE</t>
  </si>
  <si>
    <t>SATIVASUR</t>
  </si>
  <si>
    <t>SIACHOQUE</t>
  </si>
  <si>
    <t>SOATÁ</t>
  </si>
  <si>
    <t>SOCHA</t>
  </si>
  <si>
    <t>SOCOTÁ</t>
  </si>
  <si>
    <t>SOGAMOSO</t>
  </si>
  <si>
    <t>SOMONDOCO</t>
  </si>
  <si>
    <t>SORA</t>
  </si>
  <si>
    <t>SORACÁ</t>
  </si>
  <si>
    <t>SOTAQUIRÁ</t>
  </si>
  <si>
    <t>SUSACÓN</t>
  </si>
  <si>
    <t>SUTAMARCHÁN</t>
  </si>
  <si>
    <t>SUTATENZA</t>
  </si>
  <si>
    <t>TASCO</t>
  </si>
  <si>
    <t>TENZA</t>
  </si>
  <si>
    <t>TIBANÁ</t>
  </si>
  <si>
    <t>TIBASOSA</t>
  </si>
  <si>
    <t>TINJACÁ</t>
  </si>
  <si>
    <t>TIPACOQUE</t>
  </si>
  <si>
    <t>TOCA</t>
  </si>
  <si>
    <t>TOGÜÍ</t>
  </si>
  <si>
    <t>TÓPAGA</t>
  </si>
  <si>
    <t>TOTA</t>
  </si>
  <si>
    <t>TUNUNGUÁ</t>
  </si>
  <si>
    <t>TURMEQUÉ</t>
  </si>
  <si>
    <t>TUTAZÁ</t>
  </si>
  <si>
    <t>ÚMBITA</t>
  </si>
  <si>
    <t>VENTAQUEMADA</t>
  </si>
  <si>
    <t>VILLA DE LEYVA</t>
  </si>
  <si>
    <t>VIRACACHÁ</t>
  </si>
  <si>
    <t>ZETAQUIRA</t>
  </si>
  <si>
    <t>BARRANCOMINAS</t>
  </si>
  <si>
    <t>INÍRIDA</t>
  </si>
  <si>
    <t>CUMARIBO</t>
  </si>
  <si>
    <t>LA PRIMAVERA</t>
  </si>
  <si>
    <t>SANTA ROSALÍA</t>
  </si>
  <si>
    <t>ALCALÁ</t>
  </si>
  <si>
    <t>ANDALUCÍA</t>
  </si>
  <si>
    <t>ANSERMANUEVO</t>
  </si>
  <si>
    <t>BUGA</t>
  </si>
  <si>
    <t>BUGALAGRANDE</t>
  </si>
  <si>
    <t>CAICEDONIA</t>
  </si>
  <si>
    <t>CARTAGO</t>
  </si>
  <si>
    <t>DAGUA</t>
  </si>
  <si>
    <t>EL ÁGUILA</t>
  </si>
  <si>
    <t>EL CAIRO</t>
  </si>
  <si>
    <t>EL CERRITO</t>
  </si>
  <si>
    <t>EL DOVIO</t>
  </si>
  <si>
    <t>FLORIDA</t>
  </si>
  <si>
    <t>GINEBRA</t>
  </si>
  <si>
    <t>GUACARÍ</t>
  </si>
  <si>
    <t>JAMUNDÍ</t>
  </si>
  <si>
    <t>LA CUMBRE</t>
  </si>
  <si>
    <t>PALMIRA</t>
  </si>
  <si>
    <t>PRADERA</t>
  </si>
  <si>
    <t>RIOFRÍO</t>
  </si>
  <si>
    <t>ROLDANILLO</t>
  </si>
  <si>
    <t>SAN PEDRO</t>
  </si>
  <si>
    <t>SEVILLA</t>
  </si>
  <si>
    <t>TULUÁ</t>
  </si>
  <si>
    <t>ULLOA</t>
  </si>
  <si>
    <t>VERSALLES</t>
  </si>
  <si>
    <t>VIJES</t>
  </si>
  <si>
    <t>YOTOCO</t>
  </si>
  <si>
    <t>YUMBO</t>
  </si>
  <si>
    <t>ZARZAL</t>
  </si>
  <si>
    <t>ALPUJARRA</t>
  </si>
  <si>
    <t>AMBALEMA</t>
  </si>
  <si>
    <t>ANZOÁTEGUI</t>
  </si>
  <si>
    <t>ATACO</t>
  </si>
  <si>
    <t>CAJAMARCA</t>
  </si>
  <si>
    <t>CARMEN DE APICALÁ</t>
  </si>
  <si>
    <t>CASABIANCA</t>
  </si>
  <si>
    <t>CHAPARRAL</t>
  </si>
  <si>
    <t>COYAIMA</t>
  </si>
  <si>
    <t>CUNDAY</t>
  </si>
  <si>
    <t>FALAN</t>
  </si>
  <si>
    <t>FLANDES</t>
  </si>
  <si>
    <t>GUAMO</t>
  </si>
  <si>
    <t>HERVEO</t>
  </si>
  <si>
    <t>HONDA</t>
  </si>
  <si>
    <t>ICONONZO</t>
  </si>
  <si>
    <t>LÉRIDA</t>
  </si>
  <si>
    <t>LÍBANO</t>
  </si>
  <si>
    <t>MARIQUITA</t>
  </si>
  <si>
    <t>MELGAR</t>
  </si>
  <si>
    <t>NATAGAIMA</t>
  </si>
  <si>
    <t>PALOCABILDO</t>
  </si>
  <si>
    <t>PIEDRAS</t>
  </si>
  <si>
    <t>PLANADAS</t>
  </si>
  <si>
    <t>PURIFICACIÓN</t>
  </si>
  <si>
    <t>RIOBLANCO</t>
  </si>
  <si>
    <t>RONCESVALLES</t>
  </si>
  <si>
    <t>ROVIRA</t>
  </si>
  <si>
    <t>SAN ANTONIO</t>
  </si>
  <si>
    <t>SANTA ISABEL</t>
  </si>
  <si>
    <t>SUÁREZ</t>
  </si>
  <si>
    <t>VALLE DE SAN JUAN</t>
  </si>
  <si>
    <t>VENADILLO</t>
  </si>
  <si>
    <t>VILLAHERMOSA</t>
  </si>
  <si>
    <t>VILLARRICA</t>
  </si>
  <si>
    <t>CAIMITO</t>
  </si>
  <si>
    <t>CHALÁN</t>
  </si>
  <si>
    <t>COROZAL</t>
  </si>
  <si>
    <t>COVEÑAS</t>
  </si>
  <si>
    <t>EL ROBLE</t>
  </si>
  <si>
    <t>GUARANDA</t>
  </si>
  <si>
    <t>LOS PALMITOS</t>
  </si>
  <si>
    <t>MAJAGUAL</t>
  </si>
  <si>
    <t>MORROA</t>
  </si>
  <si>
    <t>OVEJAS</t>
  </si>
  <si>
    <t>SAMPUÉS</t>
  </si>
  <si>
    <t>SAN ANTONIO DE PALMITO</t>
  </si>
  <si>
    <t>SAN BENITO ABAD</t>
  </si>
  <si>
    <t>SAN JUAN DE BETULIA</t>
  </si>
  <si>
    <t>SAN MARCOS</t>
  </si>
  <si>
    <t>SAN ONOFRE</t>
  </si>
  <si>
    <t>SINCÉ</t>
  </si>
  <si>
    <t>TOLÚ</t>
  </si>
  <si>
    <t>TOLÚ VIEJO</t>
  </si>
  <si>
    <t>AGUADA</t>
  </si>
  <si>
    <t>ALBANIA</t>
  </si>
  <si>
    <t>ARATOCA</t>
  </si>
  <si>
    <t>ARBOLEDAS</t>
  </si>
  <si>
    <t>BARICHARA</t>
  </si>
  <si>
    <t>BARRANCABERMEJA</t>
  </si>
  <si>
    <t>CALIFORNIA</t>
  </si>
  <si>
    <t>CAPITANEJO</t>
  </si>
  <si>
    <t>CARCASÍ</t>
  </si>
  <si>
    <t>CEPITÁ</t>
  </si>
  <si>
    <t>CERRITO</t>
  </si>
  <si>
    <t>CHARALÁ</t>
  </si>
  <si>
    <t>CHARTA</t>
  </si>
  <si>
    <t>CHIMA</t>
  </si>
  <si>
    <t>CHIPATÁ</t>
  </si>
  <si>
    <t>CIMITARRA</t>
  </si>
  <si>
    <t>CONFINES</t>
  </si>
  <si>
    <t>CONTRATACIÓN</t>
  </si>
  <si>
    <t>COROMORO</t>
  </si>
  <si>
    <t>CURITÍ</t>
  </si>
  <si>
    <t>DURANÍA</t>
  </si>
  <si>
    <t>EL CARMEN DE CHUCURÍ</t>
  </si>
  <si>
    <t>EL GUACAMAYO</t>
  </si>
  <si>
    <t>EL PLAYÓN</t>
  </si>
  <si>
    <t>EL SOCORRO</t>
  </si>
  <si>
    <t>ENCINO</t>
  </si>
  <si>
    <t>ENCISO</t>
  </si>
  <si>
    <t>FLORIÁN</t>
  </si>
  <si>
    <t>FLORIDABLANCA</t>
  </si>
  <si>
    <t>GALÁN</t>
  </si>
  <si>
    <t>GÁMBITA</t>
  </si>
  <si>
    <t>GIRÓN</t>
  </si>
  <si>
    <t>GUAPOTÁ</t>
  </si>
  <si>
    <t>GUAVATÁ</t>
  </si>
  <si>
    <t>GÜEPSA</t>
  </si>
  <si>
    <t>HATO</t>
  </si>
  <si>
    <t>JESÚS MARÍA</t>
  </si>
  <si>
    <t>JORDÁN</t>
  </si>
  <si>
    <t>LA BELLEZA</t>
  </si>
  <si>
    <t>LANDÁZURI</t>
  </si>
  <si>
    <t>LEBRIJA</t>
  </si>
  <si>
    <t>LOS SANTOS</t>
  </si>
  <si>
    <t>MACARAVITA</t>
  </si>
  <si>
    <t>MÁLAGA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</si>
  <si>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</si>
  <si>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</si>
  <si>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</si>
  <si>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</si>
  <si>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</si>
  <si>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</si>
  <si>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</si>
  <si>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</si>
  <si>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PÁRAMO</t>
  </si>
  <si>
    <t>PIEDECUESTA</t>
  </si>
  <si>
    <t>PINCHOTE</t>
  </si>
  <si>
    <t>PUENTE NACIONAL</t>
  </si>
  <si>
    <t>PUERTO PARRA</t>
  </si>
  <si>
    <t>PUERTO WILCHES</t>
  </si>
  <si>
    <t>SABANA DE TORRES</t>
  </si>
  <si>
    <t>SAN BENITO</t>
  </si>
  <si>
    <t>SAN GIL</t>
  </si>
  <si>
    <t>SAN JOAQUÍN</t>
  </si>
  <si>
    <t>SAN JOSÉ DE MIRANDA</t>
  </si>
  <si>
    <t>SAN VICENTE DE CHUCURÍ</t>
  </si>
  <si>
    <t>SANTA HELENA DEL OPÓN</t>
  </si>
  <si>
    <t>SIMACOTA</t>
  </si>
  <si>
    <t>SUAITA</t>
  </si>
  <si>
    <t>SURATÁ</t>
  </si>
  <si>
    <t>TONA</t>
  </si>
  <si>
    <t>VALLE DE SAN JOSÉ</t>
  </si>
  <si>
    <t>VÉLEZ</t>
  </si>
  <si>
    <t>VETAS</t>
  </si>
  <si>
    <t>ZAPATOCA</t>
  </si>
  <si>
    <t>APÍA</t>
  </si>
  <si>
    <t>BALBOA</t>
  </si>
  <si>
    <t>BELÉN DE UMBRÍA</t>
  </si>
  <si>
    <t>DOSQUEBRADAS</t>
  </si>
  <si>
    <t>GUÁTICA</t>
  </si>
  <si>
    <t>LA CELIA</t>
  </si>
  <si>
    <t>LA VIRGINIA</t>
  </si>
  <si>
    <t>MISTRATÓ</t>
  </si>
  <si>
    <t>PUEBLO RICO</t>
  </si>
  <si>
    <t>QUINCHÍA</t>
  </si>
  <si>
    <t>SANTA ROSA DE CABAL</t>
  </si>
  <si>
    <t>SANTUARIO</t>
  </si>
  <si>
    <t>CALARCÁ</t>
  </si>
  <si>
    <t>CIRCASIA</t>
  </si>
  <si>
    <t>FILANDIA</t>
  </si>
  <si>
    <t>GÉNOVA</t>
  </si>
  <si>
    <t>LA TEBAIDA</t>
  </si>
  <si>
    <t>PIJAO</t>
  </si>
  <si>
    <t>QUIMBAYA</t>
  </si>
  <si>
    <t>SALENTO</t>
  </si>
  <si>
    <t>COLÓN</t>
  </si>
  <si>
    <t>ORITO</t>
  </si>
  <si>
    <t>PUERTO ASÍS</t>
  </si>
  <si>
    <t>PUERTO CAICEDO</t>
  </si>
  <si>
    <t>PUERTO GUZMÁN</t>
  </si>
  <si>
    <t>PUERTO LEGUÍZAMO</t>
  </si>
  <si>
    <t>SIBUNDOY</t>
  </si>
  <si>
    <t>VILLAGARZÓN</t>
  </si>
  <si>
    <t>BRASILIA2° SECTOR</t>
  </si>
  <si>
    <t>BRASILIA3° SECTOR</t>
  </si>
  <si>
    <t>VILLASDEL RECUERDO</t>
  </si>
  <si>
    <t>ANCUYA</t>
  </si>
  <si>
    <t>BARBACOAS</t>
  </si>
  <si>
    <t>BUESACO</t>
  </si>
  <si>
    <t>CHACHAGÜÍ</t>
  </si>
  <si>
    <t>LA PAZ( EL CEBADAL)</t>
  </si>
  <si>
    <t>CONSACÁ</t>
  </si>
  <si>
    <t>CONTADERO</t>
  </si>
  <si>
    <t>LA RECONQUISTA(VILLA ESTHER)</t>
  </si>
  <si>
    <t>CUMBAL</t>
  </si>
  <si>
    <t>CUMBITARA</t>
  </si>
  <si>
    <t>EL CHARCO</t>
  </si>
  <si>
    <t>PALERMO SUR- BRISAS</t>
  </si>
  <si>
    <t>EL ROSARIO</t>
  </si>
  <si>
    <t>EL TABLÓN</t>
  </si>
  <si>
    <t>EL TAMBO</t>
  </si>
  <si>
    <t>FRANCISCO PIZARRO</t>
  </si>
  <si>
    <t>FUNES</t>
  </si>
  <si>
    <t>GUACHUCAL</t>
  </si>
  <si>
    <t>GUAITARILLA</t>
  </si>
  <si>
    <t>GUALMATÁN</t>
  </si>
  <si>
    <t>ILES</t>
  </si>
  <si>
    <t>IMUÉS</t>
  </si>
  <si>
    <t>IPIALES</t>
  </si>
  <si>
    <t>LA CRUZ</t>
  </si>
  <si>
    <t>LA FLORIDA</t>
  </si>
  <si>
    <t>LA FONTANA IY II</t>
  </si>
  <si>
    <t>LA LLANADA</t>
  </si>
  <si>
    <t>LA TOLA</t>
  </si>
  <si>
    <t>MAGÜÍ PAYÁN</t>
  </si>
  <si>
    <t>OLAYA HERRERA</t>
  </si>
  <si>
    <t>POLICARPA</t>
  </si>
  <si>
    <t>POTOSÍ</t>
  </si>
  <si>
    <t>PUERRES</t>
  </si>
  <si>
    <t>PUPIALES</t>
  </si>
  <si>
    <t>SAMANIEGO</t>
  </si>
  <si>
    <t>SANDONÁ</t>
  </si>
  <si>
    <t>SAN BERNARDO</t>
  </si>
  <si>
    <t>SAN JOSÉ DE ALBÁN</t>
  </si>
  <si>
    <t>SAN LORENZO</t>
  </si>
  <si>
    <t>SAN PEDRO DE CARTAGO</t>
  </si>
  <si>
    <t>SAPUYES</t>
  </si>
  <si>
    <t>TAMINANGO</t>
  </si>
  <si>
    <t>TANGUA</t>
  </si>
  <si>
    <t>TUMACO</t>
  </si>
  <si>
    <t>TÚQUERRES</t>
  </si>
  <si>
    <t>YACUANQUER</t>
  </si>
  <si>
    <t>ACACÍAS</t>
  </si>
  <si>
    <t>BARRANCA DE UPÍA</t>
  </si>
  <si>
    <t>CABUYARO</t>
  </si>
  <si>
    <t>CASTILLA LA NUEVA</t>
  </si>
  <si>
    <t>CUBARRAL</t>
  </si>
  <si>
    <t>CUMARAL</t>
  </si>
  <si>
    <t>EL CALVARIO</t>
  </si>
  <si>
    <t>EL CASTILLO</t>
  </si>
  <si>
    <t>EL DORADO</t>
  </si>
  <si>
    <t>FUENTE DE ORO</t>
  </si>
  <si>
    <t>GUAMAL</t>
  </si>
  <si>
    <t>LA MACARENA</t>
  </si>
  <si>
    <t>LA URIBE</t>
  </si>
  <si>
    <t>LEJANÍAS</t>
  </si>
  <si>
    <t>MAPIRIPÁN</t>
  </si>
  <si>
    <t>MESETAS</t>
  </si>
  <si>
    <t>PUERTO CONCORDIA</t>
  </si>
  <si>
    <t>PUERTO GAITÁN</t>
  </si>
  <si>
    <t>PUERTO LLERAS</t>
  </si>
  <si>
    <t>PUERTO LÓPEZ</t>
  </si>
  <si>
    <t>PUERTO RICO</t>
  </si>
  <si>
    <t>SAN CARLOS DE GUAROA</t>
  </si>
  <si>
    <t>SAN JUAN DE ARAMA</t>
  </si>
  <si>
    <t>SAN JUANITO</t>
  </si>
  <si>
    <t>SAN MARTÍN</t>
  </si>
  <si>
    <t>GIBRALTARSUR</t>
  </si>
  <si>
    <t>ALGARROBO</t>
  </si>
  <si>
    <t>ARACATACA</t>
  </si>
  <si>
    <t>CERRO DE SAN ANTONIO</t>
  </si>
  <si>
    <t>CHIBOLO</t>
  </si>
  <si>
    <t>CIÉNAGA</t>
  </si>
  <si>
    <t>FUNDACIÓN</t>
  </si>
  <si>
    <t>LUCERO BAJO SECT.LA CONQUISTA</t>
  </si>
  <si>
    <t>NUEVA GRANADA</t>
  </si>
  <si>
    <t>PIJIÑO DEL CARMEN</t>
  </si>
  <si>
    <t>PIVIJAY</t>
  </si>
  <si>
    <t>PLATO</t>
  </si>
  <si>
    <t>PUEBLO VIEJO</t>
  </si>
  <si>
    <t>REMOLINO</t>
  </si>
  <si>
    <t>SABANAS DE SAN ÁNGEL</t>
  </si>
  <si>
    <t>SALAMINA</t>
  </si>
  <si>
    <t>SAN SEBASTIÁN DE BUENAVISTA</t>
  </si>
  <si>
    <t>SAN ZENÓN</t>
  </si>
  <si>
    <t>SANTA ANA</t>
  </si>
  <si>
    <t>SANTA BÁRBARA DE PINTO</t>
  </si>
  <si>
    <t>SITIONUEVO</t>
  </si>
  <si>
    <t>TENERIFE</t>
  </si>
  <si>
    <t>ZAPAYÁN</t>
  </si>
  <si>
    <t>BARRANCAS</t>
  </si>
  <si>
    <t>DIBULLA</t>
  </si>
  <si>
    <t>DISTRACCIÓN</t>
  </si>
  <si>
    <t>EL MOLINO</t>
  </si>
  <si>
    <t>HATONUEVO</t>
  </si>
  <si>
    <t>LA JAGUA DEL PILAR</t>
  </si>
  <si>
    <t>MAICAO</t>
  </si>
  <si>
    <t>MANAURE</t>
  </si>
  <si>
    <t xml:space="preserve">SAN JUAN DEL </t>
  </si>
  <si>
    <t>URIBIA</t>
  </si>
  <si>
    <t>URUMITA</t>
  </si>
  <si>
    <t>AGRADO</t>
  </si>
  <si>
    <t>AIPE</t>
  </si>
  <si>
    <t>ALGECIRAS</t>
  </si>
  <si>
    <t>ALTAMIRA</t>
  </si>
  <si>
    <t>BARAYA</t>
  </si>
  <si>
    <t>CAMPOALEGRE</t>
  </si>
  <si>
    <t>EL PITAL</t>
  </si>
  <si>
    <t>ELÍAS</t>
  </si>
  <si>
    <t>GIGANTE</t>
  </si>
  <si>
    <t>HOBO</t>
  </si>
  <si>
    <t>ÍQUIRA</t>
  </si>
  <si>
    <t>ISNOS</t>
  </si>
  <si>
    <t>LA ARGENTINA</t>
  </si>
  <si>
    <t>LA PLATA</t>
  </si>
  <si>
    <t>NÁTAGA</t>
  </si>
  <si>
    <t>PAICOL</t>
  </si>
  <si>
    <t>PALERMO</t>
  </si>
  <si>
    <t>PALESTINA</t>
  </si>
  <si>
    <t>PITALITO</t>
  </si>
  <si>
    <t>SALADOBLANCO</t>
  </si>
  <si>
    <t>SAN AGUSTÍN</t>
  </si>
  <si>
    <t>TARQUI</t>
  </si>
  <si>
    <t>TELLO</t>
  </si>
  <si>
    <t>TERUEL</t>
  </si>
  <si>
    <t>TESALIA</t>
  </si>
  <si>
    <t>TIMANÁ</t>
  </si>
  <si>
    <t>VILLAVIEJA</t>
  </si>
  <si>
    <t>YAGUARÁ</t>
  </si>
  <si>
    <t>EL RETORNO</t>
  </si>
  <si>
    <t>SAN JOSÉ DELGUAVIARE</t>
  </si>
  <si>
    <t>AGUA DE DIOS</t>
  </si>
  <si>
    <t>SAN RAFAELDEL ALTO DE LA ESTANCIA</t>
  </si>
  <si>
    <t>ALBÁN</t>
  </si>
  <si>
    <t>ANAPOIMA</t>
  </si>
  <si>
    <t>ANOLAIMA</t>
  </si>
  <si>
    <t>APULO</t>
  </si>
  <si>
    <t>ARBELÁEZ</t>
  </si>
  <si>
    <t>BITUIMA</t>
  </si>
  <si>
    <t>BOJACÁ</t>
  </si>
  <si>
    <t>CACHIPAY</t>
  </si>
  <si>
    <t>CAJICÁ</t>
  </si>
  <si>
    <t>CAPARRAPÍ</t>
  </si>
  <si>
    <t>CÁQUEZA</t>
  </si>
  <si>
    <t>CARMEN DE CARUPA</t>
  </si>
  <si>
    <t>CHAGUANÍ</t>
  </si>
  <si>
    <t>CHÍA</t>
  </si>
  <si>
    <t>CHIPAQUE</t>
  </si>
  <si>
    <t>CHOACHÍ</t>
  </si>
  <si>
    <t>CHOCONTÁ</t>
  </si>
  <si>
    <t>COTA</t>
  </si>
  <si>
    <t>CUCUNUBÁ</t>
  </si>
  <si>
    <t>EL COLEGIO</t>
  </si>
  <si>
    <t>EL ROSAL</t>
  </si>
  <si>
    <t>FACATATIVÁ</t>
  </si>
  <si>
    <t>FÓMEQUE</t>
  </si>
  <si>
    <t>FOSCA</t>
  </si>
  <si>
    <t>FUNZA</t>
  </si>
  <si>
    <t>FÚQUENE</t>
  </si>
  <si>
    <t>FUSAGASUGÁ</t>
  </si>
  <si>
    <t>GACHALÁ</t>
  </si>
  <si>
    <t>GACHANCIPÁ</t>
  </si>
  <si>
    <t>GACHETÁ</t>
  </si>
  <si>
    <t>GAMA</t>
  </si>
  <si>
    <t>GIRARDOT</t>
  </si>
  <si>
    <t>GUACHETÁ</t>
  </si>
  <si>
    <t>GUADUAS</t>
  </si>
  <si>
    <t>GUASCA</t>
  </si>
  <si>
    <t>GUATAQUÍ</t>
  </si>
  <si>
    <t>GUATAVITA</t>
  </si>
  <si>
    <t>GUAYABAL DE SÍQUIMA</t>
  </si>
  <si>
    <t>GUAYABETAL</t>
  </si>
  <si>
    <t>GUTIÉRREZ</t>
  </si>
  <si>
    <t>JERUSALÉN</t>
  </si>
  <si>
    <t>JUNÍN</t>
  </si>
  <si>
    <t>LA CALERA</t>
  </si>
  <si>
    <t>LA MESA</t>
  </si>
  <si>
    <t>LA PALMA</t>
  </si>
  <si>
    <t>LA PEÑA</t>
  </si>
  <si>
    <t>LA VEGA</t>
  </si>
  <si>
    <t>LENGUAZAQUE</t>
  </si>
  <si>
    <t>MACHETÁ</t>
  </si>
  <si>
    <t>MANTA</t>
  </si>
  <si>
    <t>NEMOCÓN</t>
  </si>
  <si>
    <t>NILO</t>
  </si>
  <si>
    <t>NIMAIMA</t>
  </si>
  <si>
    <t>NOCAIMA</t>
  </si>
  <si>
    <t>PACHO</t>
  </si>
  <si>
    <t>PAIME</t>
  </si>
  <si>
    <t>PANDI</t>
  </si>
  <si>
    <t>PARATEBUENO</t>
  </si>
  <si>
    <t>PASCA</t>
  </si>
  <si>
    <t>PUERTO SALGAR</t>
  </si>
  <si>
    <t>PULÍ</t>
  </si>
  <si>
    <t>QUEBRADANEGRA</t>
  </si>
  <si>
    <t>QUETAME</t>
  </si>
  <si>
    <t>QUIPILE</t>
  </si>
  <si>
    <t>SAN ANTONIO DEL TEQUENDAMA</t>
  </si>
  <si>
    <t>SAN JUAN DE RIOSECO</t>
  </si>
  <si>
    <t>SASAIMA</t>
  </si>
  <si>
    <t>SESQUILÉ</t>
  </si>
  <si>
    <t>SIBATÉ</t>
  </si>
  <si>
    <t>SILVANIA</t>
  </si>
  <si>
    <t>SIMIJACA</t>
  </si>
  <si>
    <t>SOPÓ</t>
  </si>
  <si>
    <t>SUBACHOQUE</t>
  </si>
  <si>
    <t>SUESCA</t>
  </si>
  <si>
    <t>SUPATÁ</t>
  </si>
  <si>
    <t>SUTATAUSA</t>
  </si>
  <si>
    <t>TAUSA</t>
  </si>
  <si>
    <t>TENA</t>
  </si>
  <si>
    <t>TENJO</t>
  </si>
  <si>
    <t>TIBACUY</t>
  </si>
  <si>
    <t>TIBIRITA</t>
  </si>
  <si>
    <t>TOCAIMA</t>
  </si>
  <si>
    <t>TOCANCIPÁ</t>
  </si>
  <si>
    <t>TOPAIPÍ</t>
  </si>
  <si>
    <t>UBALÁ</t>
  </si>
  <si>
    <t>UBAQUE</t>
  </si>
  <si>
    <t>UBATÉ</t>
  </si>
  <si>
    <t>UNE</t>
  </si>
  <si>
    <t>ÚTICA</t>
  </si>
  <si>
    <t>VIANÍ</t>
  </si>
  <si>
    <t>VILLAGÓMEZ</t>
  </si>
  <si>
    <t>VILLAPINZÓN</t>
  </si>
  <si>
    <t>VILLETA</t>
  </si>
  <si>
    <t>VIOTÁ</t>
  </si>
  <si>
    <t>YACOPÍ</t>
  </si>
  <si>
    <t>AGUADAS</t>
  </si>
  <si>
    <t>ANSERMA</t>
  </si>
  <si>
    <t>ARANZAZU</t>
  </si>
  <si>
    <t>BELALCÁZAR</t>
  </si>
  <si>
    <t>CHINCHINÁ</t>
  </si>
  <si>
    <t>FILADELFIA</t>
  </si>
  <si>
    <t>LA DORADA</t>
  </si>
  <si>
    <t>LA MERCED</t>
  </si>
  <si>
    <t>MANZANARES</t>
  </si>
  <si>
    <t>MARMATO</t>
  </si>
  <si>
    <t>MARQUETALIA</t>
  </si>
  <si>
    <t>NORCASIA</t>
  </si>
  <si>
    <t>PÁCORA</t>
  </si>
  <si>
    <t>PENSILVANIA</t>
  </si>
  <si>
    <t>SAMANÁ</t>
  </si>
  <si>
    <t>SAN JOSÉ</t>
  </si>
  <si>
    <t>SUPÍA</t>
  </si>
  <si>
    <t>VILLAMARÍA</t>
  </si>
  <si>
    <t>VITERBO</t>
  </si>
  <si>
    <t>BELÉN DE LOS ANDAQUÍES</t>
  </si>
  <si>
    <t>CARTAGENA DEL CHAIRÁ</t>
  </si>
  <si>
    <t>CURILLO</t>
  </si>
  <si>
    <t>EL DONCELLO</t>
  </si>
  <si>
    <t>EL PAUJIL</t>
  </si>
  <si>
    <t>LA MONTAÑITA</t>
  </si>
  <si>
    <t>MILÁN</t>
  </si>
  <si>
    <t>MORELIA</t>
  </si>
  <si>
    <t>SAN JOSÉ DEL FRAGUA</t>
  </si>
  <si>
    <t>SAN VICENTE DEL CAGUÁN</t>
  </si>
  <si>
    <t>SOLITA</t>
  </si>
  <si>
    <t>AGUAZUL</t>
  </si>
  <si>
    <t>CHÁMEZA</t>
  </si>
  <si>
    <t>HATO COROZAL</t>
  </si>
  <si>
    <t>LA SALINA</t>
  </si>
  <si>
    <t>MANÍ</t>
  </si>
  <si>
    <t>MONTERREY</t>
  </si>
  <si>
    <t>NUNCHÍA</t>
  </si>
  <si>
    <t>OROCUÉ</t>
  </si>
  <si>
    <t>PAZ DE ARIPORO</t>
  </si>
  <si>
    <t>PORE</t>
  </si>
  <si>
    <t>RECETOR</t>
  </si>
  <si>
    <t>SÁCAMA</t>
  </si>
  <si>
    <t>SAN LUIS DE PALENQUE</t>
  </si>
  <si>
    <t>TÁMARA</t>
  </si>
  <si>
    <t>TAURAMENA</t>
  </si>
  <si>
    <t>ALMAGUER</t>
  </si>
  <si>
    <t>BUENOS AIRES</t>
  </si>
  <si>
    <t>CAJIBÍO</t>
  </si>
  <si>
    <t>CALDONO</t>
  </si>
  <si>
    <t>CALOTO</t>
  </si>
  <si>
    <t>CORINTO</t>
  </si>
  <si>
    <t>GUACHENÉ</t>
  </si>
  <si>
    <t>GUAPÍ</t>
  </si>
  <si>
    <t>INZÁ</t>
  </si>
  <si>
    <t>JAMBALÓ</t>
  </si>
  <si>
    <t>LA SIERRA</t>
  </si>
  <si>
    <t>MERCADERES</t>
  </si>
  <si>
    <t>PIAMONTE</t>
  </si>
  <si>
    <t>PIENDAMÓ</t>
  </si>
  <si>
    <t>PUERTO TEJADA</t>
  </si>
  <si>
    <t>SAN SEBASTIÁN</t>
  </si>
  <si>
    <t xml:space="preserve"> DE QUILICHAO</t>
  </si>
  <si>
    <t>SILVIA</t>
  </si>
  <si>
    <t>TIMBÍO</t>
  </si>
  <si>
    <t>TIMBIQUÍ</t>
  </si>
  <si>
    <t>TORIBÍO</t>
  </si>
  <si>
    <t>TOTORÓ</t>
  </si>
  <si>
    <t>AGUACHICA</t>
  </si>
  <si>
    <t>AGUSTÍN CODAZZI</t>
  </si>
  <si>
    <t>ASTREA</t>
  </si>
  <si>
    <t>BECERRIL</t>
  </si>
  <si>
    <t>BOSCONIA</t>
  </si>
  <si>
    <t>CHIMICHAGUA</t>
  </si>
  <si>
    <t>CHIRIGUANÁ</t>
  </si>
  <si>
    <t>CURUMANÍ</t>
  </si>
  <si>
    <t>EL COPEY</t>
  </si>
  <si>
    <t>EL PASO</t>
  </si>
  <si>
    <t>GAMARRA</t>
  </si>
  <si>
    <t>LA GLORIA ()</t>
  </si>
  <si>
    <t>LA JAGUA DE IBIRICO</t>
  </si>
  <si>
    <t xml:space="preserve">MANAURE BALCÓN DEL </t>
  </si>
  <si>
    <t>PAILITAS</t>
  </si>
  <si>
    <t>PELAYA</t>
  </si>
  <si>
    <t>PUEBLO BELLO</t>
  </si>
  <si>
    <t>RÍO DE ORO</t>
  </si>
  <si>
    <t>SAN ALBERTO</t>
  </si>
  <si>
    <t>SAN DIEGO</t>
  </si>
  <si>
    <t>TAMALAMEQUE</t>
  </si>
  <si>
    <t>KENNEDY ORIENTAL SUPERMZ.7</t>
  </si>
  <si>
    <t>ZIPAQUIRÁ</t>
  </si>
  <si>
    <t>LA FISCALA SECTOR CENTRO</t>
  </si>
  <si>
    <t xml:space="preserve"> FECHA DE VERIFICACIÓN DEL ESQUEMA DE VACUNACIÓN</t>
  </si>
  <si>
    <t>Porcentaje de PUNTAJE SISBEN</t>
  </si>
  <si>
    <t>C1</t>
  </si>
  <si>
    <t>B3</t>
  </si>
  <si>
    <t>A4</t>
  </si>
  <si>
    <t>A2</t>
  </si>
  <si>
    <t>B1</t>
  </si>
  <si>
    <t>B4</t>
  </si>
  <si>
    <t>C4</t>
  </si>
  <si>
    <t>C5</t>
  </si>
  <si>
    <t>C2</t>
  </si>
  <si>
    <t>C6</t>
  </si>
  <si>
    <t>B6</t>
  </si>
  <si>
    <t>A3</t>
  </si>
  <si>
    <t>B2</t>
  </si>
  <si>
    <t>C3</t>
  </si>
  <si>
    <t>C7</t>
  </si>
  <si>
    <t>B7</t>
  </si>
  <si>
    <t>A5</t>
  </si>
  <si>
    <t>a. Pertenecientes a hogares con puntaje SISBEN</t>
  </si>
  <si>
    <t>b. Pertenecientes a familias identificadas a través de la Estrategia para la Superación de la Pobreza Extrema – Red UNIDOS.</t>
  </si>
  <si>
    <t>c. Niñas, niños y mujeres gestantes pertenecientes al programa Familias en Acción de Prosperidad Social.</t>
  </si>
  <si>
    <t>d. Niñas y niños egresados de la estrategia de atención y prevención de la desnutrición aguda (Centros de Recuperación Nutricional -CRN- y 1000 días para cambiar el mundo y unidades de búsqueda activa).</t>
  </si>
  <si>
    <t>e. Remitidos por las entidades del Sistema Nacional de Bienestar Familiar -SNBF- que se encuentren en situación de vulnerabilidad, riesgo de vulneración de derechos o programas de protección del ICBF.</t>
  </si>
  <si>
    <t>f. Víctimas de hechos violentos asociados al conflicto armado, de acuerdo con las directrices establecidas en la Ley 1448 de 2011 y los Decretos ley 4633, 4634 y 4635 de 2011, así como la Sentencia T-025 de 2004 proferida por la Corte Constitucional y demás desarrollos jurisprudenciales en torno a la existencia de un estado de cosas inconstitucional; para lo cual se considerarán aquellos cuyo estado se encuentre incluido dentro del RUV.</t>
  </si>
  <si>
    <t>g. Pertenecientes a comunidades étnicas (indígenas, comunidades negras, afrocolombianas, Palenqueros, Raizales y Rrom), que demanden el servicio.</t>
  </si>
  <si>
    <t>h. Niños y niñas con discapacidad que requieren diversos tipos de apoyo para su participación efectiva y que demandan acompañamiento en las actividades de cuidado; así como los que sean remitidos por las entidades del SNBF con base en el registro para la localización y caracterización de personas con discapacidad del Ministerio de Salud y Protección Social, como de los comités territoriales y locales de discapacidad y las entidades territoriales en salud.</t>
  </si>
  <si>
    <t>i. Usuarios del subsidio en especie para población vulnerable, del que trata el artículo 12 de la Ley 1537 de 2012 (Vivienda de Interés Social y Vivienda de Interés Prioritario), y el Decreto 1921 de 2012 o el que reglamente la materia.</t>
  </si>
  <si>
    <t>j. Niñas y niños cuyos padres estén en establecimientos de reclusión.</t>
  </si>
  <si>
    <t>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</t>
  </si>
  <si>
    <t>l. Niñas y niños remitidos del servicio HCB FAMI y DIMF que al cumplir los dos (2) años deben transitar a otros servicios de educación inicial de atención permanente.</t>
  </si>
  <si>
    <t>m. Niñas y niños cuyos padres estén activos en la ruta de reincorporación e identificados en las bases de datos remitidas de forma oficial al ICBF por la Agencia para la Reincorporación y la Normalización – ARN.</t>
  </si>
  <si>
    <t>n. Para el servicio de Hogar Infantil se atenderá prioritariamente niños y niñas hijos de trabajadores que evidencien vinculación laboral y demás requisitos establecidos en la resolución 1740 de 2010.</t>
  </si>
  <si>
    <t>CRITERIOS DE FOCALIZACION</t>
  </si>
  <si>
    <t>CRITERIOS_DE_FOCALIZACION</t>
  </si>
  <si>
    <t>SI NO CUMPLE CON NINGUN CRITERIO, CUENTA CON EL ACTA DONDE JUSTIFICA QUE EL BENEFICIARIO REQUIERE LA ATENCION</t>
  </si>
  <si>
    <t>PESO AL NACER (EN KILOGRAMOS) *</t>
  </si>
  <si>
    <t>TALLA AL NACER (EN CENTÍMETROS) *</t>
  </si>
  <si>
    <t>NIÑOS Y NIÑAS DE 6 MESES A 11 MESES 29 DIAS</t>
  </si>
  <si>
    <t>NIÑOS Y NIÑAS MAYORES DE 1 AÑO</t>
  </si>
  <si>
    <t>LORENZO ALCANTUZ I SECTOR</t>
  </si>
  <si>
    <t>E1</t>
  </si>
  <si>
    <t>ABREVIATURA</t>
  </si>
  <si>
    <t>E3</t>
  </si>
  <si>
    <t>E2</t>
  </si>
  <si>
    <t>E4</t>
  </si>
  <si>
    <t>E5</t>
  </si>
  <si>
    <t>E6</t>
  </si>
  <si>
    <t>E7</t>
  </si>
  <si>
    <t>E8</t>
  </si>
  <si>
    <t>E9</t>
  </si>
  <si>
    <t>E10</t>
  </si>
  <si>
    <t>K1</t>
  </si>
  <si>
    <t>K1 SAT</t>
  </si>
  <si>
    <t>K2</t>
  </si>
  <si>
    <t>K2 SAT</t>
  </si>
  <si>
    <t>K3</t>
  </si>
  <si>
    <t>K3 SAT</t>
  </si>
  <si>
    <t>K4</t>
  </si>
  <si>
    <t>K5</t>
  </si>
  <si>
    <t>K6</t>
  </si>
  <si>
    <t>K7</t>
  </si>
  <si>
    <t>INGRESA POR:</t>
  </si>
  <si>
    <t>SISBEN</t>
  </si>
  <si>
    <t>A1</t>
  </si>
  <si>
    <t>B5</t>
  </si>
  <si>
    <t>o. Ingresos iguales o inferiores a 1.5 Smlv</t>
  </si>
  <si>
    <t>PAIS DE NACIMIENTO PAPÁ</t>
  </si>
  <si>
    <t>PAIS DE NACIMIENTO MAMÁ</t>
  </si>
  <si>
    <t>Cuenta de DISCAPACIDAD</t>
  </si>
  <si>
    <t>Cuenta de DISCAPACIDAD2</t>
  </si>
  <si>
    <t>DISCAPACIDAD CERTIFICADA</t>
  </si>
  <si>
    <t>DEPARTAMENTO DE NACIMIENTO ACUDIENTE</t>
  </si>
  <si>
    <t>MUNICIPIO DE NACIMIENTO ACUDIENTE</t>
  </si>
  <si>
    <t>DEPARTAMENTO DE NACIMIENTO PAPÁ</t>
  </si>
  <si>
    <t>MUNICIPIO DE NACIMIENTO PAPÁ</t>
  </si>
  <si>
    <t>DEPARTAMENTO DE NACIMIENTO MAMÁ</t>
  </si>
  <si>
    <t>MUNICIPIO DE NACIMIENTO MAMÁ</t>
  </si>
  <si>
    <t>M1</t>
  </si>
  <si>
    <t>S1</t>
  </si>
  <si>
    <t>S2</t>
  </si>
  <si>
    <t>U1</t>
  </si>
  <si>
    <t>U2</t>
  </si>
  <si>
    <t>U3</t>
  </si>
  <si>
    <t>U4</t>
  </si>
  <si>
    <t>U5</t>
  </si>
  <si>
    <t>U6</t>
  </si>
  <si>
    <t>U7</t>
  </si>
  <si>
    <t>U8</t>
  </si>
  <si>
    <t xml:space="preserve">ABRAHAM LINCOLN T3 </t>
  </si>
  <si>
    <t>NOMBRE UNIDAD</t>
  </si>
  <si>
    <t>CRECIENDO CON AMOR EN FAMILIA</t>
  </si>
  <si>
    <t>MUNDO DE COLORES</t>
  </si>
  <si>
    <t>GRAN BRITALIA T2</t>
  </si>
  <si>
    <t>M2  GALAN</t>
  </si>
  <si>
    <t>CASA EGIPTO</t>
  </si>
  <si>
    <t>SANTA BARBARA</t>
  </si>
  <si>
    <t>SAN JUAN A</t>
  </si>
  <si>
    <t>TRIANGULO</t>
  </si>
  <si>
    <t>M1  AMBA CHAKE</t>
  </si>
  <si>
    <t>M2</t>
  </si>
  <si>
    <t>M3  EDUARDO SANTOS</t>
  </si>
  <si>
    <t>M3</t>
  </si>
  <si>
    <t xml:space="preserve">M4  MUZUUN MUNDO MEJOR </t>
  </si>
  <si>
    <t>M4</t>
  </si>
  <si>
    <t>CODIGO DE UNIDAD</t>
  </si>
  <si>
    <t>TORRES</t>
  </si>
  <si>
    <t>ANDRES</t>
  </si>
  <si>
    <t>RODRIGUEZ</t>
  </si>
  <si>
    <t>PAOLA</t>
  </si>
  <si>
    <t xml:space="preserve">LUIS </t>
  </si>
  <si>
    <t>ADRIANA</t>
  </si>
  <si>
    <t>LEON</t>
  </si>
  <si>
    <t>CLAUDIA</t>
  </si>
  <si>
    <t>PORRAS</t>
  </si>
  <si>
    <t>MONICA</t>
  </si>
  <si>
    <t>LAURA</t>
  </si>
  <si>
    <t>DIEGO</t>
  </si>
  <si>
    <t>MOTIVO DE EGRESO</t>
  </si>
  <si>
    <t>SI EL MOTIVO DE EGRESO ES "OTRO", INDIQUE EL POR QUÉ</t>
  </si>
  <si>
    <t>SD</t>
  </si>
  <si>
    <t>NO</t>
  </si>
  <si>
    <t>DC500CA5B8D042B4A5FAA67919A3134E17207</t>
  </si>
  <si>
    <t>5231EF66A2B647A79E0B95B386BC82CB47150</t>
  </si>
  <si>
    <t>37251F7FAFEC4F80B0AAB701F410436213350</t>
  </si>
  <si>
    <t>88AC49AE2E3845A890F640FF4CE420DB49370</t>
  </si>
  <si>
    <t>33D26AE2F85B4DF8932BFAEC32CDA71C483</t>
  </si>
  <si>
    <t>363C2CA636144D5DBD336D3A7650ABE139320</t>
  </si>
  <si>
    <t>E1732B84EC444CB7BAB271C3F86D0ED715660</t>
  </si>
  <si>
    <t>835C918A154C495B9A8257A9AE0635BA35823</t>
  </si>
  <si>
    <t>EL UVAL</t>
  </si>
  <si>
    <t>MONSALVE</t>
  </si>
  <si>
    <t xml:space="preserve">LEON </t>
  </si>
  <si>
    <t xml:space="preserve">RC </t>
  </si>
  <si>
    <t xml:space="preserve">SANCHEZ </t>
  </si>
  <si>
    <t>PUERTA AL LLANO</t>
  </si>
  <si>
    <t>SALGUERO</t>
  </si>
  <si>
    <t>LACEY</t>
  </si>
  <si>
    <t>LA ESPERANZA SUR</t>
  </si>
  <si>
    <t xml:space="preserve">ANGIE </t>
  </si>
  <si>
    <t xml:space="preserve">PAOLA </t>
  </si>
  <si>
    <t xml:space="preserve">CASTAÑO </t>
  </si>
  <si>
    <t>COMUNEROS</t>
  </si>
  <si>
    <t>EL NUEVO PORTAL</t>
  </si>
  <si>
    <t>ALFONSO LOPEZ SECTOR BUENOS AIRES</t>
  </si>
  <si>
    <t>EL PROGRESO USME</t>
  </si>
  <si>
    <t>EL PARAISO</t>
  </si>
  <si>
    <t>EL NUEVO PORTAL II</t>
  </si>
  <si>
    <t>EL REFUGIO I</t>
  </si>
  <si>
    <t>LOS SOCHES</t>
  </si>
  <si>
    <t xml:space="preserve">MARIA PAULA </t>
  </si>
  <si>
    <t>ALFONSO LOPEZ SECTOR EL PROGRESO</t>
  </si>
  <si>
    <t>NUEVO PORVENIR (59)</t>
  </si>
  <si>
    <t>EL REFUGIO</t>
  </si>
  <si>
    <t>LA REFORMA</t>
  </si>
  <si>
    <t>VILLA HERMOSA</t>
  </si>
  <si>
    <t>PORTAL DEL DIVINO</t>
  </si>
  <si>
    <t>ALFONSO LOPEZ SECTOR CHARALA</t>
  </si>
  <si>
    <t>EL CURUBO</t>
  </si>
  <si>
    <t>BOLONIA</t>
  </si>
  <si>
    <t>LA ORQUIDEA USME</t>
  </si>
  <si>
    <t>EL PORTAL DEL DIVINO</t>
  </si>
  <si>
    <t>REFUGIO I</t>
  </si>
  <si>
    <t>EL NUEVO PORTAL 2</t>
  </si>
  <si>
    <t>ALFONSO LOPEZ</t>
  </si>
  <si>
    <t>EL BOSQUE</t>
  </si>
  <si>
    <t>LA AURORA</t>
  </si>
  <si>
    <t>EL REFUGIO I Y II</t>
  </si>
  <si>
    <t>NICO</t>
  </si>
  <si>
    <t>BRISAS DEL LLANO</t>
  </si>
  <si>
    <t>YOMASITA</t>
  </si>
  <si>
    <t>ALFONSO LÓPEZ</t>
  </si>
  <si>
    <t>SEM 23</t>
  </si>
  <si>
    <t>40 SEMANAS</t>
  </si>
  <si>
    <t>SURAMERICANA</t>
  </si>
  <si>
    <t>SANITAS</t>
  </si>
  <si>
    <t xml:space="preserve">NOMBRE </t>
  </si>
  <si>
    <t>NUMERO</t>
  </si>
  <si>
    <t>ALAN STICK ALARCON PANQUEBA</t>
  </si>
  <si>
    <t>ANGEL	MANUEL	MARTINEZ	MORENO</t>
  </si>
  <si>
    <t xml:space="preserve"> DALIT GIL TARQUINO </t>
  </si>
  <si>
    <t>ENMANUEL JOSE YEPEZ	MENDOZA</t>
  </si>
  <si>
    <t>IAN	SAMUEL	GARAVITO	SANCHEZ</t>
  </si>
  <si>
    <t>JEREMY	JOSE 	GARZON	GARCIA</t>
  </si>
  <si>
    <t>JESUS	FARITH	CAMARGO	ZAMBRANO</t>
  </si>
  <si>
    <t>JUAN	ESTEBAN	SERRANO	RESTREPO</t>
  </si>
  <si>
    <t xml:space="preserve">  KYLIAN	 	VEGA	PAEZ</t>
  </si>
  <si>
    <t>MAICOL	ANDRES	SUAREZ	MUCUTUY</t>
  </si>
  <si>
    <t>MATIAS	ALEXANDER	VARELA	LAGUNA</t>
  </si>
  <si>
    <t xml:space="preserve">MIGUEL 	ANGEL 	LASSO	GUZMAN </t>
  </si>
  <si>
    <t>SAID	JOZEF	RODRIGUEZ	CORONADO</t>
  </si>
  <si>
    <t>SAMUEL	JOAO	GARCIA	GUERRERO</t>
  </si>
  <si>
    <t>ANNY	DAYAN	OSPINA	CALDERON</t>
  </si>
  <si>
    <t>ANTHONELLA	 	MARTINEZ	LOPEZ</t>
  </si>
  <si>
    <t>DANNA	VALENTINA	MEJIA 	CUBIDES</t>
  </si>
  <si>
    <t>DANNA	VICTORIA	BELTRAN	CARDOZO</t>
  </si>
  <si>
    <t>DELLY 	SOFIA	GUZMAN	ARDILA</t>
  </si>
  <si>
    <t>DEISY DALLANA MIRAÑA CRUZ</t>
  </si>
  <si>
    <t>EMILY 	MARIANA	ROCHA	ROZO</t>
  </si>
  <si>
    <t>LAURA 	CAMILA	RODRIGUEZ	CASTAÑEDA</t>
  </si>
  <si>
    <t>NICOL	CAMILA	MANAIDEKE	KUETGAJE</t>
  </si>
  <si>
    <t>SAHILY 	GABRIELA 	SABOGAL	MARTINEZ</t>
  </si>
  <si>
    <t>SAMARA	 	QUESADA	ESQUIVEL</t>
  </si>
  <si>
    <t>ISAAC JOSUE VARGAS  TRASLAVIÑA</t>
  </si>
  <si>
    <t>MARIA  JULIANA PINTO  ANDRADE</t>
  </si>
  <si>
    <t>SHARICK LUCIANA POVEDA  ARDILA</t>
  </si>
  <si>
    <t>ALAN SANTIAGO PINEDA  GUZMAN</t>
  </si>
  <si>
    <t>ANDREY SMIITH AVILA  GOMEZ</t>
  </si>
  <si>
    <t>SCARLETT  QUIROGA  GONZALEZ</t>
  </si>
  <si>
    <t>MACKENZIE  QUIROGA  GONZALEZ</t>
  </si>
  <si>
    <t>EUMAR DAVID HERNANDEZ  VARGAS</t>
  </si>
  <si>
    <t>LIAM EDUARDO HERNANDEZ  VARGAS</t>
  </si>
  <si>
    <t>EIMY TAMARA ROMERO   CUEVAS</t>
  </si>
  <si>
    <t>SALOME  BONILLA  CUENCA</t>
  </si>
  <si>
    <t>THIAGO CAMILO REYES  MARTINEZ</t>
  </si>
  <si>
    <t>LICETH MARIANA OLARTE  SANCHEZ</t>
  </si>
  <si>
    <t>DEIVIS MATHIAS COLEY  BRITO</t>
  </si>
  <si>
    <t>JUAN DIEGO ARDILA  ROBAYO</t>
  </si>
  <si>
    <t>SAMUEL  DIAZ  CHARRY</t>
  </si>
  <si>
    <t>LIAM JARED FORERO  VIVAS</t>
  </si>
  <si>
    <t>LIZETH ROSARIO ARDILA  MORALES</t>
  </si>
  <si>
    <t>ZOE  LEGUIZAMON  CRUZ</t>
  </si>
  <si>
    <t>ALAN ANDREY OSPINA  RODRIGUEZ</t>
  </si>
  <si>
    <t>VALENTINA ALAHAYA LEAL  GELVIZ</t>
  </si>
  <si>
    <t>ADRIAN MIGUEL SANCHEZ  RICO</t>
  </si>
  <si>
    <t>DAVID SANTIAGO OSPINA  GARCIA</t>
  </si>
  <si>
    <t>ROBERT LENOEL LOPEZ  RONDON</t>
  </si>
  <si>
    <t>MIAH NAHOMI MERCHAN  PARADA</t>
  </si>
  <si>
    <t>NAHOMI  AVILA  DIAZ</t>
  </si>
  <si>
    <t>CRISTOPHER CAMILO GUIO  ABRIL</t>
  </si>
  <si>
    <t>THIAGO  PERDOMO CANO</t>
  </si>
  <si>
    <t>IAN SEBASTIAN RAMIREZ VARGAS</t>
  </si>
  <si>
    <t>AXEL  ISAIAS MORENO MENDOZA</t>
  </si>
  <si>
    <t>VICTORIA CATTLEYA VIVAS PALACIO</t>
  </si>
  <si>
    <t>MIA CATALINA SANDOVAL PIMIENTEL</t>
  </si>
  <si>
    <t>ISABELLA  GODOY MENDEZ</t>
  </si>
  <si>
    <t>OSCAR YECID MOSQUERA CORDONA</t>
  </si>
  <si>
    <t>JULIAN  MATEO QUIÑONES  CASANOVA</t>
  </si>
  <si>
    <t>JOSEPH MATHIAS PINTO CAMPOS</t>
  </si>
  <si>
    <t>JESUS  GIOVANNY BOGOTA ARMERO</t>
  </si>
  <si>
    <t>BENYAMIN ANDRES  MEDINA  SANCHEZ</t>
  </si>
  <si>
    <t>DILAN JERONIMO PRADO OTAVO</t>
  </si>
  <si>
    <t>GABRIELA  DIAZ GIRALDO</t>
  </si>
  <si>
    <t>ANTHONY DAMIAN ORTIZ SANTOS</t>
  </si>
  <si>
    <t>AARON DAVID RODRIGUEZ CARCAMO</t>
  </si>
  <si>
    <t>MARIANA  CHAVEZ MENDIETA</t>
  </si>
  <si>
    <t xml:space="preserve">AURORA  CELESTE  SALAZAR  RODRIGUEZ </t>
  </si>
  <si>
    <t>IAN MATIAS VIASUS VEGA</t>
  </si>
  <si>
    <t>ADHARA SOPHIA PATIÑO  SANCHEZ</t>
  </si>
  <si>
    <t>JHOSTIN ANDRES PEDRAZA BELTRAN</t>
  </si>
  <si>
    <t>OLIVER DAMIAN AYALA  MAZO</t>
  </si>
  <si>
    <t>EMMA VICTORIA BOHORQUEZ GUERRERO</t>
  </si>
  <si>
    <t>ZOE VALERIA ALBARRACIN LUNA</t>
  </si>
  <si>
    <t>ANNYE HINATA TREJOS GONZALEZ</t>
  </si>
  <si>
    <t>IKER JERONIMO RODRIGUEZ PEREZ</t>
  </si>
  <si>
    <t>SAMARA CRISTINA  YUNDA SANCHEZ</t>
  </si>
  <si>
    <t>SIMONE   BECERRA  MORA</t>
  </si>
  <si>
    <t>EILYN MARIANA SALAMANCA COY</t>
  </si>
  <si>
    <t>CRISTIAN DANIEL ORTIZ SANCHEZ</t>
  </si>
  <si>
    <t>ASLY SARAI SOSA MEJIA</t>
  </si>
  <si>
    <t>ASHLLY AZUMY AYALA MATAPI</t>
  </si>
  <si>
    <t>DOMINIK SANTIAGO SANCHEZ RINCON</t>
  </si>
  <si>
    <t xml:space="preserve">LEANDRO VIDAL RODRIGUEZ CABADIA </t>
  </si>
  <si>
    <t>ABRICBANDAUU JHONDIRVINSON ACACHUCURA ASTROIDA</t>
  </si>
  <si>
    <t>INGRIT SALOME GARCIA MARTINEZ</t>
  </si>
  <si>
    <t>GABRIELLA  FIGUEROA TOVAR</t>
  </si>
  <si>
    <t>JUANA VALENTINA SACRISTAN MARTINEZ</t>
  </si>
  <si>
    <t>IAN ALEJANDRO GARZON PEREZ</t>
  </si>
  <si>
    <t>DAVID ORLANDO LASSO GUZMAN</t>
  </si>
  <si>
    <t xml:space="preserve">DOMINIK SAMUEL PRADA MOSQUERA </t>
  </si>
  <si>
    <t xml:space="preserve">HECTOR  SEBASTIAN  LEON  MARTINEZ </t>
  </si>
  <si>
    <t>NAHOMY VALERIA CASTRO TORBELLO</t>
  </si>
  <si>
    <t>DAMIAN STEBAN HINCAPIE GALINDO</t>
  </si>
  <si>
    <t>MATIAS YESID ROMERO GONZALEZ</t>
  </si>
  <si>
    <t>RORY SALOME SALGUERO CRUZ</t>
  </si>
  <si>
    <t>CARINA  VARGAS GUIZA</t>
  </si>
  <si>
    <t>CARLOS ESTEBAN ARAUCA ANACONDA</t>
  </si>
  <si>
    <t>JHOJAN ANDRES ROMERO  GONZALEZ</t>
  </si>
  <si>
    <t xml:space="preserve">KEYDY ANESSA BERMUDEZ  GARCIA </t>
  </si>
  <si>
    <t>ALAN  MATHIAS GARZON  GUZMAN</t>
  </si>
  <si>
    <t>ANGEL  SANTIAGO  GARZON   ALZATE</t>
  </si>
  <si>
    <t>BRYANNA  VALENTINA FIGUEREDO  ACOSTA</t>
  </si>
  <si>
    <t>KAROL DAYANA MENDEZ  TAMARA</t>
  </si>
  <si>
    <t>HELEN GABRIELA  OCAMPO  GRACIA</t>
  </si>
  <si>
    <t xml:space="preserve">ISABELLA   NAVARRO  RODRIGUEZ </t>
  </si>
  <si>
    <t>JESUS ALEJANDRO BADILLO   RODRIGUEZ</t>
  </si>
  <si>
    <t xml:space="preserve">JUAN  MANUEL ROBLES  VALBUENA </t>
  </si>
  <si>
    <t>SOL MARIA AGUDELO  CABANZO</t>
  </si>
  <si>
    <t>LAUREN SOFIA MARIN  VARGAS</t>
  </si>
  <si>
    <t xml:space="preserve">MANUEL  ALEJANDRO  CASTILLO   FONSECA </t>
  </si>
  <si>
    <t>MIA  MICHELLE  AMAYA   PRIETO</t>
  </si>
  <si>
    <t xml:space="preserve">MIGUEL  STICK  PATIÑO  MORA </t>
  </si>
  <si>
    <t>VALERHY CELESTE PARADA  PEDREROS</t>
  </si>
  <si>
    <t>THADEO DE JESUS  RODRIGUEZ  URRIBARRI</t>
  </si>
  <si>
    <t>VALERY KATELEYA PEREZ  CORREAL</t>
  </si>
  <si>
    <t>THIAGO  BRJARANO  CARVAJAL</t>
  </si>
  <si>
    <t>EMILY SARAY BEJARANO  BEJARANO</t>
  </si>
  <si>
    <t>MAILEN CATALINA VILLANUEVA  LEIVA</t>
  </si>
  <si>
    <t>DAFNE NOEMI AMU  RIOS</t>
  </si>
  <si>
    <t>LIA SAMANTHA QUINCHE  MARIN</t>
  </si>
  <si>
    <t xml:space="preserve">EILEEN CELESTE PATARROYO  </t>
  </si>
  <si>
    <t>ANGEL MARTÍN CRUZ  LONDOÑO</t>
  </si>
  <si>
    <t>IAN SAALOMON SALAS ANZA</t>
  </si>
  <si>
    <t>YENNY YASMIN RODRIGUEZ  BELLO</t>
  </si>
  <si>
    <t>YESENIA  HERRERA  IDARRAGA</t>
  </si>
  <si>
    <t>YOMARY  PALACIOS  ASPRILLA</t>
  </si>
  <si>
    <t>YURY  VIVIANA LOZANO  CARMONA</t>
  </si>
  <si>
    <t>ELIAN JOSUE URREGO  VALBUENA</t>
  </si>
  <si>
    <t>DANNA CELESTE LONDOÑO LOPEZ</t>
  </si>
  <si>
    <t xml:space="preserve">MARIA  SALOME  LOPEZ   USECHE </t>
  </si>
  <si>
    <t>SAILLY SAMARA FARFAN  RAMOS</t>
  </si>
  <si>
    <t>VALERIA  RUBIANO  BACHILLER</t>
  </si>
  <si>
    <t>ZABDIEL ALESSANDRO RODRIGUEZ AGUILAR</t>
  </si>
  <si>
    <t>KAREN MAYERLY ARDILA  JIMENEZ</t>
  </si>
  <si>
    <t>LADY TATIANA GARCIA  SANCHEZ</t>
  </si>
  <si>
    <t>LAURA JULIENT PEREZ  CHINGATE</t>
  </si>
  <si>
    <t>LAURA NATALIA GALINDO  RODRIGUEZ</t>
  </si>
  <si>
    <t>LISA GERTUDIS MUCUTUY  CRUZ</t>
  </si>
  <si>
    <t>LUZ ADRIANA ACOSTA  MORENO</t>
  </si>
  <si>
    <t>MARIA PAULA AGAMEZ  GIACOMETTO</t>
  </si>
  <si>
    <t>MARTHA VERONICA DUQUE  SANABRIA</t>
  </si>
  <si>
    <t>MARYI KATHERIN BUITRAGO  CASTAÑO</t>
  </si>
  <si>
    <t>MARYLYN  LINARES  URREA</t>
  </si>
  <si>
    <t>NATALIA GISSET COLO  ROZO</t>
  </si>
  <si>
    <t>NELFY JANETH FLOREZ  CRUZ</t>
  </si>
  <si>
    <t xml:space="preserve">NICOL DANIELA  RICO   RAMIREZ </t>
  </si>
  <si>
    <t>NIDIA VICTORIA GONZALEZ   FRANCO</t>
  </si>
  <si>
    <t>NOLYN JULIETH ORTEGA  MONROY</t>
  </si>
  <si>
    <t>OLGA SENAIDA BUSTOS  LOPEZ</t>
  </si>
  <si>
    <t>PAULA ANDREA ATEHORTUA  JEREZ</t>
  </si>
  <si>
    <t>PRISCILA  LOPEZ  KIRIATEKE</t>
  </si>
  <si>
    <t>VIVIANA YIBELY PEREZ   LEON</t>
  </si>
  <si>
    <t>WENDY GINETH PEÑA  ARIAS</t>
  </si>
  <si>
    <t>ALEJANDRINA   DELGADO  MONGUI</t>
  </si>
  <si>
    <t>ANDREA  PAOLA GARZON   SALINAS</t>
  </si>
  <si>
    <t xml:space="preserve">ASTRID  CAROLINA  HERRERA   ACOSTA </t>
  </si>
  <si>
    <t>CLAUDIA PATRICIA  MONSALVE   MONSALVE</t>
  </si>
  <si>
    <t xml:space="preserve">DAYANA  YICET  RIAÑO   MONSALVE </t>
  </si>
  <si>
    <t>DAYANA YINETH ORTEGA  BOCANEGRA</t>
  </si>
  <si>
    <t>DORIS MARINA ANGULO  RAMOS</t>
  </si>
  <si>
    <t>ELENA  YSABEL ARIETA   GOMEZ</t>
  </si>
  <si>
    <t>ERIKA  JHOANNA BENITEZ   LEON</t>
  </si>
  <si>
    <t xml:space="preserve">FLOR  ERMINDA NINCO  </t>
  </si>
  <si>
    <t>GERALDINE  GUERRERO  CARRILLO</t>
  </si>
  <si>
    <t xml:space="preserve">GILMA YERICA RODRIGUEZ   FRANCO </t>
  </si>
  <si>
    <t>GINA MELITZA ANGULO  ANGULO</t>
  </si>
  <si>
    <t>GINA VANESSA LADINO   BERNAL</t>
  </si>
  <si>
    <t>HEIDY  DAYANA SIERRA   BECERRA</t>
  </si>
  <si>
    <t>HEIDYTH JAQUELINE HERNANDEZ  MARTINEZ</t>
  </si>
  <si>
    <t>HELEN ALEXA MARIÑO  MARTINEZ</t>
  </si>
  <si>
    <t>JENNIFER ALEXANDRA SÁNCHEZ  GAONA</t>
  </si>
  <si>
    <t>JENNY CAROLINA GUZMAN  TIBAQUIRA</t>
  </si>
  <si>
    <t>JULIETH PAOLA HERNANDEZ  SEPULVEDA</t>
  </si>
  <si>
    <t>CRISTINA ISABELLA LEON LEON</t>
  </si>
  <si>
    <t>ARIAM DAVID CORDOBA LUGO</t>
  </si>
  <si>
    <t>JUAN URIEL RODRIGUEZ LEON</t>
  </si>
  <si>
    <t>DYLAN SANTIAGO GUEVARA GUEDEZ</t>
  </si>
  <si>
    <t>MATHIAS ALESSANDRO GUEVARA RODRIGUEZ</t>
  </si>
  <si>
    <t xml:space="preserve">ARANZA SOFIA GARCIA MAVAREZ </t>
  </si>
  <si>
    <t>LUCIANA QUIROGA CHARRY</t>
  </si>
  <si>
    <t>EITHAN EMMANUEL PINTO OROZCO</t>
  </si>
  <si>
    <t xml:space="preserve">DARIANNA ALEXANDRA SOTO CARDENAS </t>
  </si>
  <si>
    <t xml:space="preserve">LEIDY XIOMARA MEDINA APONTE </t>
  </si>
  <si>
    <t xml:space="preserve">NICOLAS SANTIAGO RAMIREZ AGUILAR </t>
  </si>
  <si>
    <t xml:space="preserve">JUAN DAVID MARTINEZ TAUTIVA </t>
  </si>
  <si>
    <t>ERICK RUBIO RAMIREZ</t>
  </si>
  <si>
    <t>ALAN ZAID PRADO HINCAPIE</t>
  </si>
  <si>
    <t>JHONSI SABASTIAN RIASCOS CARABALI</t>
  </si>
  <si>
    <t>RONNY EMMANUEL CAÑA GUEVARA</t>
  </si>
  <si>
    <t xml:space="preserve">SAMUEL ALEJANDRO MENA LADERA </t>
  </si>
  <si>
    <t xml:space="preserve">OWEN ANDREY MACIAS RODRIGUEZ </t>
  </si>
  <si>
    <t>WENDY SALOME MURILLO RAMIREZ</t>
  </si>
  <si>
    <t xml:space="preserve">LINDA GUADALUPE ROJAS LEON </t>
  </si>
  <si>
    <t>JOEL ELIAM RUSSO GONZALEZ</t>
  </si>
  <si>
    <t>DAVIANNY JERUSALEMA CAÑA GUEVARA</t>
  </si>
  <si>
    <t xml:space="preserve">DAYLIN CELESTE RIVERA GUEVARA </t>
  </si>
  <si>
    <t>EMILY SOFIA FORERO  SANABRIA</t>
  </si>
  <si>
    <t>MICHAEL DANIEL RODRIGUEZ   GONZALEZ</t>
  </si>
  <si>
    <t>AXELL JOHANNY SIERRA   CONTRERAS</t>
  </si>
  <si>
    <t>JUAN  SEBASTIAN SANCHEZ   JAMIOY</t>
  </si>
  <si>
    <t>JESUAN MANUEL MORA  BAZAN</t>
  </si>
  <si>
    <t>LIAM SAMUEL CIRO  GALLEGO</t>
  </si>
  <si>
    <t>JOSTHIN GABRIEL RAMOS  HERRERA</t>
  </si>
  <si>
    <t>SALOME   MALDONADO BOCANEGRA</t>
  </si>
  <si>
    <t>LIZBETH DAYANA CAÑIZARES LOPEZ</t>
  </si>
  <si>
    <t>ANGI  MELISA PORRAS CHARRIS</t>
  </si>
  <si>
    <t>MATHEW  PINZON PARDO</t>
  </si>
  <si>
    <t>ERICK SANTIAGO CAMELO RUEDA</t>
  </si>
  <si>
    <t>EMILY SHARIK RODRIGUEZ LOPEZ</t>
  </si>
  <si>
    <t>YENIFER MARIANA GONZALEZ  ZUBIETA</t>
  </si>
  <si>
    <t>NATALIA PAOLA GUERRA SALAZAR</t>
  </si>
  <si>
    <t>JULIAN SAID ORTIZ LOPEZ</t>
  </si>
  <si>
    <t>YLIANA  VICTORIA  VILLALOBOS TORRES</t>
  </si>
  <si>
    <t>ELIAS DAVID MORALES RAMOS</t>
  </si>
  <si>
    <t>ELENA     QUIÑONEZ PRECIADO</t>
  </si>
  <si>
    <t>EMILY  DAHIAN MURILLO URREGO</t>
  </si>
  <si>
    <t>MATHIAS ALEJANDRO  NUÑEZ SECO</t>
  </si>
  <si>
    <t>LEONARDO ALFONSO RODRIGUEZ HIDALGO</t>
  </si>
  <si>
    <t>DANNA SOFIA MARTINEZ SANCHEZ</t>
  </si>
  <si>
    <t>JEFFERSON ALEXANDER ECHEVERRY  CHARRY</t>
  </si>
  <si>
    <t>DANIEL MATIAS MEJIA CUBIDES</t>
  </si>
  <si>
    <t>DULLCE PALOMA  CASTRO ORTIZ</t>
  </si>
  <si>
    <t>LIAM ESTEBAN FARFAN CAVIEDES</t>
  </si>
  <si>
    <t>MIA ISABELLA POVEDA VERGARA</t>
  </si>
  <si>
    <t>LILA  VALERIA JIMENEZ AGAMEZ</t>
  </si>
  <si>
    <t>THOMAS FELIPE SUESCA URREGO</t>
  </si>
  <si>
    <t>DENAYLIN ROSARIO TORRADO ROCHA</t>
  </si>
  <si>
    <t>LIA  LUCIANA SANDOVAL BERNAL</t>
  </si>
  <si>
    <t>THIAGO DAVID CLAVIJO RUEDA</t>
  </si>
  <si>
    <t>IAN SMITH PAZO MEJIA</t>
  </si>
  <si>
    <t>SARA VALENTINA BERNAL GAONA</t>
  </si>
  <si>
    <t>DANNA  SOFIA  MOSQUERA  CHAUX</t>
  </si>
  <si>
    <t>ADRIAN ALEJANDRO  MENESES DIAZ</t>
  </si>
  <si>
    <t>GREISY CELESTE GAGUMA LOPEZ</t>
  </si>
  <si>
    <t>YORDAN SMITH FERNANDEZ MORENO</t>
  </si>
  <si>
    <t>ABBY LUCIA  HERRERA  PAEZ</t>
  </si>
  <si>
    <t>IAN SANTIAGO RODRIGUEZ  PIÑEROS</t>
  </si>
  <si>
    <t>EITHAN ZAID RODRIGUEZ DIAZ</t>
  </si>
  <si>
    <t>JOSEPH DANIEL VIANCHA GARCIA</t>
  </si>
  <si>
    <t>EMMA DANIELA SOLIPA BETANCOURTH</t>
  </si>
  <si>
    <t>EMILI  SAMANTA  YAINA BRASBI</t>
  </si>
  <si>
    <t xml:space="preserve">HELLEN  SALOME  GOMEZ  MOSQUERA </t>
  </si>
  <si>
    <t>DANNA  NICOL AMAYA HERNANDEZ</t>
  </si>
  <si>
    <t>AMY MARIANE VASQUEZ MESA</t>
  </si>
  <si>
    <t>GABRIEL JOSUE SOTO ROMAN</t>
  </si>
  <si>
    <t>EMILY  TORO MORENO</t>
  </si>
  <si>
    <t>ABBYS LEONOR  VARGAS  CASTILLO</t>
  </si>
  <si>
    <t>LIAM FABIAN PRIETO PORTELA</t>
  </si>
  <si>
    <t>THIAGO  BARON VILLAMIL</t>
  </si>
  <si>
    <t>LUNA ISABELLA MARTINEZ SANCHEZ</t>
  </si>
  <si>
    <t>JESUS ALEJANDRO  BADILLO  RODRIGUEZ</t>
  </si>
  <si>
    <t>HELEN  MARIANA ALBINO MARTINEZ</t>
  </si>
  <si>
    <t>LIA CHARLOTTE ALVARADO JIMENEZ</t>
  </si>
  <si>
    <t>u3</t>
  </si>
  <si>
    <t>BRAZUELOS</t>
  </si>
  <si>
    <t>OSWALDO</t>
  </si>
  <si>
    <t>LUCILA</t>
  </si>
  <si>
    <t>ALEX</t>
  </si>
  <si>
    <t xml:space="preserve">JOSE </t>
  </si>
  <si>
    <t>LAURA (NOVIA JOSE)</t>
  </si>
  <si>
    <t>NATA</t>
  </si>
  <si>
    <t>HILANDO CAMINOS</t>
  </si>
  <si>
    <t>MAYORES A 3 AÑOS</t>
  </si>
  <si>
    <t>PORTAL DE ORIENTE</t>
  </si>
  <si>
    <t>DUARTE</t>
  </si>
  <si>
    <t>CHICO SUR</t>
  </si>
  <si>
    <t>JENNIFER</t>
  </si>
  <si>
    <t>LA ESMERALDA EL RECUERDO</t>
  </si>
  <si>
    <t>ANM</t>
  </si>
  <si>
    <t>EL NUEVO PORTAL LL RURAL</t>
  </si>
  <si>
    <t>BARRIO SIN LEGALIZAR</t>
  </si>
  <si>
    <t>EMILCE SANCHEZ - MARTHA PACASUCA</t>
  </si>
  <si>
    <t>GLORIA GUERRA - KAROL</t>
  </si>
  <si>
    <t>EL TUNO</t>
  </si>
  <si>
    <t>ZONA SIN LEGALIZAR (EL MIRADOR DE LA ESMERALDA CASA 3)</t>
  </si>
  <si>
    <t>ZONA SIN LEGALIZAR (POLIGONO 195 EL REFUGIO LA ESMERALDA)</t>
  </si>
  <si>
    <t>NUEVO PORTAL</t>
  </si>
  <si>
    <t>UVAL</t>
  </si>
  <si>
    <t>TIHUAQUE</t>
  </si>
  <si>
    <t>ANGIE YARA - YORMARY MENECES</t>
  </si>
  <si>
    <t>ANDREA ROJAS - TATIANA</t>
  </si>
  <si>
    <t>SALUD INDÍGENA ANAS WAYUU EPS</t>
  </si>
  <si>
    <t>B8</t>
  </si>
  <si>
    <t>VILLA DIANA</t>
  </si>
  <si>
    <t xml:space="preserve">ALFONSO LOPEZ </t>
  </si>
  <si>
    <t xml:space="preserve">SANITAS </t>
  </si>
  <si>
    <t>JUAN JOSE RONDON</t>
  </si>
  <si>
    <t xml:space="preserve">SAN PEDRO SUR </t>
  </si>
  <si>
    <t>CAPITAL SALUD</t>
  </si>
  <si>
    <t xml:space="preserve">CAPITAL SALUD </t>
  </si>
  <si>
    <t xml:space="preserve">COMPENSAR </t>
  </si>
  <si>
    <t>V</t>
  </si>
  <si>
    <t>B0AC49D07A014D5CA1F08EF76BF880AC43320</t>
  </si>
  <si>
    <t>ALASKA</t>
  </si>
  <si>
    <t>9D6DE873BA4E4CCFA8EEBE909ACFA43F32207</t>
  </si>
  <si>
    <t>DEDAF86721994CF08B703251615567C941120</t>
  </si>
  <si>
    <t>DA6646ADDC394F8FAED4380A24BC3C6A15170</t>
  </si>
  <si>
    <t>PPT</t>
  </si>
  <si>
    <t>FAMISANAR</t>
  </si>
  <si>
    <t>NUEVO PORTAL II</t>
  </si>
  <si>
    <t>COMPOSTELA III</t>
  </si>
  <si>
    <t>C9</t>
  </si>
  <si>
    <t>LA ESMERALDA</t>
  </si>
  <si>
    <t>EPS SURAMERCANA</t>
  </si>
  <si>
    <t>U2-MIS ANGELITOS</t>
  </si>
  <si>
    <t>NIKOL MALES - ANDREA ROCIO</t>
  </si>
  <si>
    <t>U3-SEMILLAS DE PAZ</t>
  </si>
  <si>
    <t>U4-TEJIENDO SABERES</t>
  </si>
  <si>
    <t>U5-GRANDES TALENTOS</t>
  </si>
  <si>
    <t>U1-VINCULOS DE AMOR</t>
  </si>
  <si>
    <t>DERITZA</t>
  </si>
  <si>
    <t>SALUD TOTAL</t>
  </si>
  <si>
    <t>ASMET</t>
  </si>
  <si>
    <t>JUAN REY SUR</t>
  </si>
  <si>
    <t>X</t>
  </si>
  <si>
    <t>LUNA ISAVELA RODRIGUEZ MONSALVE</t>
  </si>
  <si>
    <t>CRISTINA  ISABELLA  LEON  LEON</t>
  </si>
  <si>
    <t>DILAN  RAFAEL  BLANCO  MORENO</t>
  </si>
  <si>
    <t xml:space="preserve">DAYLIN  CELESTE  RIVERA  GUEVARA </t>
  </si>
  <si>
    <t xml:space="preserve">MARIA  SALOME  LOPEZ  USECHE </t>
  </si>
  <si>
    <t>LIAM DAMIAN FAJARDO GARZON</t>
  </si>
  <si>
    <t>DIANA ISABELLA VARGAS  LADINO</t>
  </si>
  <si>
    <t>OWEN  ANDREY MACIAS RODRIGUEZ</t>
  </si>
  <si>
    <t>ARANZA SOFIA  GARCIA  MAVAREZ</t>
  </si>
  <si>
    <t xml:space="preserve">LUCIANA   QUIROGA  CHARRI </t>
  </si>
  <si>
    <t>EITHAN  EMMANUEL  PINTO  OROZCO</t>
  </si>
  <si>
    <t>SARA AILYN FANDIÑO HERRERA</t>
  </si>
  <si>
    <t>SAMUEL  ALEJANDRO MENA  LADERA</t>
  </si>
  <si>
    <t xml:space="preserve">MARIA  DE LOS ANGELES  NELSON  MARTINEZ </t>
  </si>
  <si>
    <t>LEIDY XIOMARA  MEDINA  APONTE</t>
  </si>
  <si>
    <t>EVELIN  MARIANA MURILLO RODRIGUEZ</t>
  </si>
  <si>
    <t>JUAN   DAVID  MARTINEZ  TAUTIVA</t>
  </si>
  <si>
    <t>LINDA  GUADALUPE  ROJAS  LEON</t>
  </si>
  <si>
    <t>EMILY ISABELLA  ESPITIA URBINA</t>
  </si>
  <si>
    <t>ERICK  RUBIO RAMIREZ</t>
  </si>
  <si>
    <t>ERICK  SANTIAGO  BALDOVINO  LOPEZ</t>
  </si>
  <si>
    <t>AXELL JOHANNY SIERRA  CONTRERAS</t>
  </si>
  <si>
    <t xml:space="preserve">ALAN ZAID PRADO HINCAPIE </t>
  </si>
  <si>
    <t>GABRIEL  JESUS MONTILLA PINEDA</t>
  </si>
  <si>
    <t>SAMUEL JOAO GARCIA GUERRERO</t>
  </si>
  <si>
    <t>NAHOMI SOFIA ZARAZA BUITRAGO</t>
  </si>
  <si>
    <t>LIAM CALEB  ROJAS SANABRIA</t>
  </si>
  <si>
    <t>ANGEL MANUEL MARTINEZ MORENO</t>
  </si>
  <si>
    <t>JESUS FARITH CAMARGO ZAMBRANO</t>
  </si>
  <si>
    <t>EMILY SOFIA FORERO SANABRIA</t>
  </si>
  <si>
    <t>JHOJAN ANDRES ROMERO GONZALEZ</t>
  </si>
  <si>
    <t>JOSTHIN GABRIEL RAMOS HERRERA</t>
  </si>
  <si>
    <t>ALAN  ANDREY OSPINA RODRIGUEZ</t>
  </si>
  <si>
    <t>LUCIANA SALOME LEIVA ATEHORTUA</t>
  </si>
  <si>
    <t>HELLEN  MARIANA ALBINO MARTINEZ</t>
  </si>
  <si>
    <t>DANNA LUCIA DELGADO FANDIÑO</t>
  </si>
  <si>
    <t>LAURA CAMILA RODRIGUEZ CASTAÑEDA</t>
  </si>
  <si>
    <t>LUIS ANGEL ASPRILLA PALACIOS</t>
  </si>
  <si>
    <t>DERECK  ALEXIS BABATIVA RODRIGUEZ</t>
  </si>
  <si>
    <t>AIDAN MATHEUS DIAZ PATAQUIVA</t>
  </si>
  <si>
    <t>ALAN  STICK ALARCON PANQUEBA</t>
  </si>
  <si>
    <t>ROBERT LENOEL LOPEZ RONDON</t>
  </si>
  <si>
    <t>ALEJANDRINA   DELGADO MONGUI</t>
  </si>
  <si>
    <t>ERICK  ESTEBAN MORENO RIAÑO</t>
  </si>
  <si>
    <t>JULIETH DANIELA  GONZALEZ MACIAS</t>
  </si>
  <si>
    <t>LEIDY YINETH ABAUNZA VARGAS</t>
  </si>
  <si>
    <t>JUAN DAVID GUZMAN ARDILA</t>
  </si>
  <si>
    <t>INGRID  KATHERINE OSORIO QUINTERO</t>
  </si>
  <si>
    <t>SAMARA   LOZANO AYUDANTE</t>
  </si>
  <si>
    <t>BRITTNEY NATALY HERNANDEZ MENDIETA</t>
  </si>
  <si>
    <t>SARA GABRIELA MUÑOZ IJAJI</t>
  </si>
  <si>
    <t>EVELYN  BERMUDEZ  NOVOA</t>
  </si>
  <si>
    <t>JHOPSE GAEL VELASQUEZ SALAZAR</t>
  </si>
  <si>
    <t>YOGER ESTIWAR RIVAS RIVAS</t>
  </si>
  <si>
    <t>ANGEL  SANTIAGO  GARZON  ALZATE</t>
  </si>
  <si>
    <t>BRYANNA  VALENTINA FIGUEREDO ACOSTA</t>
  </si>
  <si>
    <t>CRISTOPHER   CAMILO GUIO ABRIL</t>
  </si>
  <si>
    <t>DEIILY  SOFIA GUZMAN ARDILA</t>
  </si>
  <si>
    <t xml:space="preserve">ISABELLA   NAVARRO RODRIGUEZ </t>
  </si>
  <si>
    <t>JESUS ALEJANDRO BADILLO  RODRIGUEZ</t>
  </si>
  <si>
    <t>JESUAN MANUEL MORA BAZAN</t>
  </si>
  <si>
    <t>JUAN  SEBASTIAN SANCHEZ  JAMIOY</t>
  </si>
  <si>
    <t xml:space="preserve">JUAN  MANUEL ROBLES VALBUENA </t>
  </si>
  <si>
    <t>JOSHUANNY YEISIMAR GUERRA GRATEROL</t>
  </si>
  <si>
    <t>LAUREN SOFIA MARIN VARGAS</t>
  </si>
  <si>
    <t xml:space="preserve">MANUEL  ALEJANDRO  CASTILLO  FONSECA </t>
  </si>
  <si>
    <t>JOHAN SEBASTIAN ESQUIVEL TOVAR</t>
  </si>
  <si>
    <t>MIGUEL  ANGEL  LASSO GUZMAN</t>
  </si>
  <si>
    <t>JUAN DAVID ROJAS ACEVEDO</t>
  </si>
  <si>
    <t>DANNA SOFIA ARIAS ROJAS</t>
  </si>
  <si>
    <t>LIAM EDUARDO HERNANDEZ VARGAS</t>
  </si>
  <si>
    <t>EUMAR DAVID HERNANDEZ VARGAS</t>
  </si>
  <si>
    <t>YUDY ESMERALDA ROJAS MONGUI</t>
  </si>
  <si>
    <t>JUAN SEBASTIAN LUCAS ESPINOSA</t>
  </si>
  <si>
    <t>BRIANNA  DIAZ PEREZ</t>
  </si>
  <si>
    <t>MOISES DAVID OLMOS BRAVO</t>
  </si>
  <si>
    <t>SAMUEL  DIAZ CHARRY</t>
  </si>
  <si>
    <t>SAMY BRIGITH ROA PARRA</t>
  </si>
  <si>
    <t>LEIDY CAROLINA BONILLA HERRERA</t>
  </si>
  <si>
    <t>MILTON DANIEL RODRIGUEZ GARCIA</t>
  </si>
  <si>
    <t>MADELIN  PALACIOS ZUÑIGA</t>
  </si>
  <si>
    <t>ANYI  MELISA PORRAS CHARRIS</t>
  </si>
  <si>
    <t>EDUAR JULIAN CASASBUENAS AREVALO</t>
  </si>
  <si>
    <t>SCARLETT  QUIROGA GONZALEZ</t>
  </si>
  <si>
    <t>MACKENZIE  QUIROGA GONZALEZ</t>
  </si>
  <si>
    <t>EMERSON GIOVANNI BAYONA NINCO</t>
  </si>
  <si>
    <t>VAIOLETH SARAY PEÑA COLO</t>
  </si>
  <si>
    <t>ERICK SANTIAGO CRUZ MUCUTUY</t>
  </si>
  <si>
    <t xml:space="preserve">JUAN JOSE ZAMBRANO  BUSTOS </t>
  </si>
  <si>
    <t>LUZ LINEY PAEZ LOPEZ</t>
  </si>
  <si>
    <t>ARIANA SOFIA QUITIAN RIVERA</t>
  </si>
  <si>
    <t>LIAM SANTIAGO VALERO SALINAS</t>
  </si>
  <si>
    <t>NICOL CAMILA MANAIDEKE KUETGAJE</t>
  </si>
  <si>
    <t>MAICOL ANDRES SUAREZ MUCUTUY</t>
  </si>
  <si>
    <t>DANNA  VALENTINA MEJIA CUBIDES</t>
  </si>
  <si>
    <t>DEYSI DALLANA MIRAÑA CRUZ</t>
  </si>
  <si>
    <t>JEREMY JOSE GARZON GARCIA</t>
  </si>
  <si>
    <t>GREYSI CELESTE  GUGUMA LOPEZ</t>
  </si>
  <si>
    <t>SAMARA   QUESADA ESQUIVEL</t>
  </si>
  <si>
    <t>SAID JOZEF RODRIGUEZ CORONADO</t>
  </si>
  <si>
    <t>ASHLY NOHAMI VELEZ VELANDIA</t>
  </si>
  <si>
    <t>ANTHONELLA  MARTINEZ LOPEZ</t>
  </si>
  <si>
    <t>JUAN ESTEBAN SERRANO RESTREPO</t>
  </si>
  <si>
    <t>IAN SAMUEL GARAVITO SANCHEZ</t>
  </si>
  <si>
    <t>EMILIANO  ORTEGA ACOSTA</t>
  </si>
  <si>
    <t>ANGEL SANTIAGO PISSO LINARES</t>
  </si>
  <si>
    <t xml:space="preserve">ERICK  SANTIAGO DIAZ DUQUE </t>
  </si>
  <si>
    <t>MATEO ANDRES RODRIGUEZ GALINDO</t>
  </si>
  <si>
    <t>YOSETH ESTEBAN GUEVARA BELTRAN</t>
  </si>
  <si>
    <t>HANNA VALENTINA ARIAS ROJAS</t>
  </si>
  <si>
    <t>LIAM JARED FORERO VIVAS</t>
  </si>
  <si>
    <t>ADRIAN YESSID SANCHEZ RODRIGUEZ</t>
  </si>
  <si>
    <t>EIMY  ISABELLA SUAREZ ROJAS</t>
  </si>
  <si>
    <t>ANYIE DAYANA SOL ARIZA</t>
  </si>
  <si>
    <t>NELSON  ADRIAN SANCHEZ ANGULO</t>
  </si>
  <si>
    <t>IRENE VALENTINA CRISALEZ CASTILLO</t>
  </si>
  <si>
    <t>BRIAN JOEL GUTIERREZ LOZANO</t>
  </si>
  <si>
    <t>ADHARA  DELGADO HERNANDEZ</t>
  </si>
  <si>
    <t>YENIFER MARIAN GONZALEZ ZUBIETA</t>
  </si>
  <si>
    <t>DULCE PALOMA CASTRO ORTIZ</t>
  </si>
  <si>
    <t>THIAGO  BEJARANO CARVAJAL</t>
  </si>
  <si>
    <t>LIA SAMANTHA QUINCHE MARIN</t>
  </si>
  <si>
    <t>JENNYFER ALEXANDRA SÁNCHEZ GAONA</t>
  </si>
  <si>
    <t>EMILY CHARLOTTE ZAMBRANO BUITRAGO</t>
  </si>
  <si>
    <t>MAILEN DANIELA GUZMAN ACOSTA</t>
  </si>
  <si>
    <t>CRISTOPHER JAEL LONDOÑO RAMIREZ</t>
  </si>
  <si>
    <t>ASHLEY VANESSA GALVIS MALDONADO</t>
  </si>
  <si>
    <t xml:space="preserve">SAMANTHA  VALENTINA  GONZALEZ URDANETA </t>
  </si>
  <si>
    <t>JOSEPH FELIPE AGUDELO AGUDELO</t>
  </si>
  <si>
    <t>LIAM SANTIAGO GUIZA MARTINEZ</t>
  </si>
  <si>
    <t>SHARLOT SUSET MARTINEZ OJEDA</t>
  </si>
  <si>
    <t>DEYLER STEVE GOMEZ TORRES</t>
  </si>
  <si>
    <t>MIA ISABELLA ORTIZ ROJAS</t>
  </si>
  <si>
    <t>DIYARET MIYELDY VALBUENA RODRIGUEZ</t>
  </si>
  <si>
    <t>EMILY DANIELA RODRIGUEZ VARGAS</t>
  </si>
  <si>
    <t>LESLIE ISEL VALENCIA ROBLEDO</t>
  </si>
  <si>
    <t>YALETSI  HERNANDEZ CHIRINOS</t>
  </si>
  <si>
    <t>EVAN  JOSE RUANO  OBREGON</t>
  </si>
  <si>
    <t>MELANI SOFIA TIRADO  VALENCIA</t>
  </si>
  <si>
    <t>ANGEL  DAVID  BRIÑEZ DIAZ</t>
  </si>
  <si>
    <t>EIMMY SALOME FERNANDEZ  VILLAMIL</t>
  </si>
  <si>
    <t>MARIANA ISABELLA MORENO VARGAS</t>
  </si>
  <si>
    <t>LIAM YOSSEF BOBADILLA MACIAS</t>
  </si>
  <si>
    <t>EMANUEL DAVID ALVAREZ CHIRINOS</t>
  </si>
  <si>
    <t>EMILY  JULIETH ACEVEDO SALAMANCA</t>
  </si>
  <si>
    <t>JADER LEANDRO GONZALEZ MORALES</t>
  </si>
  <si>
    <t xml:space="preserve">ANA  MARIA  PALMA MORENO </t>
  </si>
  <si>
    <t>ARNOL JOEL CAUPAZ LOPEZ</t>
  </si>
  <si>
    <t>YIDZA LORIETH LINARES PINEDA</t>
  </si>
  <si>
    <t>SANDRA MICHEL PIÑEROS HASTAMORIR</t>
  </si>
  <si>
    <t>TIFFANY VALENTINA CASTAÑEDA VACA</t>
  </si>
  <si>
    <t>LEON DAVID LINARES ZAMORA</t>
  </si>
  <si>
    <t>SHIRLEY NORELLY ROZO GARRIDO</t>
  </si>
  <si>
    <t>ANGIE JOHANNA MAZABUEL HURTADO</t>
  </si>
  <si>
    <t>AYLA MICHELLE DELGADO FANDIÑO</t>
  </si>
  <si>
    <t>EILEN ISABELLA LEON RODRIGUEZ</t>
  </si>
  <si>
    <t>YERAY JACOB BAUTISTA AMADO</t>
  </si>
  <si>
    <t>BENYAMIN  LEANDRO GARAVITO AMAYA</t>
  </si>
  <si>
    <t>SARA BELEN GONZALEZ MEDINA</t>
  </si>
  <si>
    <t>THIARA  SALOME PINILLA  MURILLO</t>
  </si>
  <si>
    <t>HELEN DARIANA GOMEZ OROZCO</t>
  </si>
  <si>
    <t>LIAM SANTIAGO CASTRO  PEÑA</t>
  </si>
  <si>
    <t>EITHAN ALEJANDRO AVILA TOVAR</t>
  </si>
  <si>
    <t>DEIVI  ALEXANDER GARZON OJEDA</t>
  </si>
  <si>
    <t>DANIEL MATHIAS  MEJIA CUBIDES</t>
  </si>
  <si>
    <t>PAUL  MARIANA HIGUERA  SANABRIA</t>
  </si>
  <si>
    <t>GINA PAOLA GOMEZ TETEYE</t>
  </si>
  <si>
    <t>YENIFER ANDREA BOHORQUEZ TRUJILLO</t>
  </si>
  <si>
    <t>DYLAN  ALEXANDER RODRIGUEZ YATE</t>
  </si>
  <si>
    <t>KEYLLIN ARIANA ALAPE ROJAS</t>
  </si>
  <si>
    <t>CARLOS SAMUEL LEON ROBAYO</t>
  </si>
  <si>
    <t>MARIA JOSE NOZA SANCHEZ</t>
  </si>
  <si>
    <t>IAN GIOVANNI MURCIA VANEGAS</t>
  </si>
  <si>
    <t>GINA PAOLA SANCHEZ RODRIGUEZ</t>
  </si>
  <si>
    <t>EVELYN  NIKOL CORTES TIMON</t>
  </si>
  <si>
    <t>JEREMY MANUEL ANGULO MENDOZA</t>
  </si>
  <si>
    <t>MARILENA PAOLA  MARTINEZ MENDOZA</t>
  </si>
  <si>
    <t xml:space="preserve">ALAN DAVID CRUZ </t>
  </si>
  <si>
    <t>EIMY SAMANTA GALINDO ROBAYO</t>
  </si>
  <si>
    <t>RICHARD DANIEL PINEDA SANCHEZ</t>
  </si>
  <si>
    <t>KYLLIAM MATIAS CHAVEZ TORRES</t>
  </si>
  <si>
    <t>SARAY SHARLOTH CHAVEZ SALINAS</t>
  </si>
  <si>
    <t>DAMIAN  JESUS GUILLEN  MOLINA</t>
  </si>
  <si>
    <t>MIA  ISABELLA VALLES GOMEZ</t>
  </si>
  <si>
    <t>EMILY  ISABELLA ORTIZ DAZA</t>
  </si>
  <si>
    <t xml:space="preserve">LIAM SAMUEL LATORRE BURBANO </t>
  </si>
  <si>
    <t>EMMANUEL  ALEJANDRO  ORTIZ DAZA</t>
  </si>
  <si>
    <t>AARON  ALEXANDER GIRALDO  HENAO</t>
  </si>
  <si>
    <t>ISABELLA  RICO URIBE</t>
  </si>
  <si>
    <t>DANIEL MATIAS RONDON  GIL</t>
  </si>
  <si>
    <t>JUAN DAVID VILLAMIL FONSECA</t>
  </si>
  <si>
    <t xml:space="preserve">VALERIS  JOSE  COLINA REFUNJOL </t>
  </si>
  <si>
    <t>MATHIAS  DEL JESUS  HERNANDEZ  RODRIGUEZ</t>
  </si>
  <si>
    <t xml:space="preserve">LUCIANA   CALLE ARBOLEDA </t>
  </si>
  <si>
    <t>DILAN GERONIMO VALERO RAMIREZ</t>
  </si>
  <si>
    <t xml:space="preserve">ALAN SMITH FULANO  GONZALEZ </t>
  </si>
  <si>
    <t>SALOME   LEON MONGUA</t>
  </si>
  <si>
    <t xml:space="preserve">VALERI SALOME  BAQUERO VALERO </t>
  </si>
  <si>
    <t>HEIMY LUCIANA BAUTISTA  TORRES</t>
  </si>
  <si>
    <t>MARIA PAULA RIVERA PARRA</t>
  </si>
  <si>
    <t xml:space="preserve">RONIELYS ALEJANDRA RAMIREZ REFUNJOL </t>
  </si>
  <si>
    <t>ALAN ANDRES GUTIERREZ RIVERA</t>
  </si>
  <si>
    <t>LUCIANA  ISABEL TORRES ALMANZA</t>
  </si>
  <si>
    <t>CRISTAL SAMANTHA CALDERON MUNAR</t>
  </si>
  <si>
    <t>SEBASTIAN ANDRES POLOCHE RODRIGUEZ</t>
  </si>
  <si>
    <t>DANNA VALERIA BERNAL TIBAVIJA</t>
  </si>
  <si>
    <t>ASHLEY VANESSA ALVAREZ SEIJAS</t>
  </si>
  <si>
    <t>JOSLEIDYS SOFIA GIL TORRES</t>
  </si>
  <si>
    <t>THIAGO ALEXANDER TORO GODOY</t>
  </si>
  <si>
    <t>IFFTAN JHUAN RUIZ HERNANDEZ</t>
  </si>
  <si>
    <t>DAMIAN STIVEN BERMUDEZ RIVERA</t>
  </si>
  <si>
    <t>JEAN PAUL BERMUDEZ RIVERA</t>
  </si>
  <si>
    <t>IHAN JESUS FIGUEROA SAUMETH</t>
  </si>
  <si>
    <t>ROSSE VALENTINA TORREALBA LINAREZ</t>
  </si>
  <si>
    <t>JERONIMO  CESPEDES LEON</t>
  </si>
  <si>
    <t>SOFIA ISABELLA BUÑAY ZERPA</t>
  </si>
  <si>
    <t>IAN ESTEBAN GUATIVA RIVEROS</t>
  </si>
  <si>
    <t>IVONNE SAMANTHA ROA OLAYA</t>
  </si>
  <si>
    <t>MARTIN JOEL GONZALEZ PINTO</t>
  </si>
  <si>
    <t>GIEOVANNY SUSET HERNANDEZ RODRIGUEZ</t>
  </si>
  <si>
    <t>KENYEL IZAIAS HERNANDEZ MILANO</t>
  </si>
  <si>
    <t>MIRIANYELIS DANIELA HERNANDEZ CABRERA</t>
  </si>
  <si>
    <t>MAILY SADIRA MACHADO GONZALEZ</t>
  </si>
  <si>
    <t>AILIN SAMARA DIAZ SANCHEZ</t>
  </si>
  <si>
    <t>AUSTIN ERICK CAICEDO QUINTERO</t>
  </si>
  <si>
    <t>EMILY  YULIANA  CANGREJO  SUAREZ</t>
  </si>
  <si>
    <t>ADRIEL SANTIAGO PARDO MONCALEANO</t>
  </si>
  <si>
    <t>MIRELY  CORDOA MORENO</t>
  </si>
  <si>
    <t>JUAN  CAMILO MORENO  BARRETO</t>
  </si>
  <si>
    <t xml:space="preserve">DAVID  SANTIAGO MORENO  ARAQUE </t>
  </si>
  <si>
    <t>DYLAN  SAMUEL  FLOREZ PEREZ</t>
  </si>
  <si>
    <t>ANGIE  PAOLA  AMAYA  MORENO</t>
  </si>
  <si>
    <t xml:space="preserve">SAMUEL IMANOL VIERA  MONTESINO </t>
  </si>
  <si>
    <t xml:space="preserve">ROXANA  CAROLINA  SOTO  URDANETA </t>
  </si>
  <si>
    <t>AHMANET SAMANTHA PUERTA  FLOREZ</t>
  </si>
  <si>
    <t>MAICOL  ADRIAN  PEÑA  CARDENAS</t>
  </si>
  <si>
    <t>HEIDY KATHERIN PEÑA  CARDENAS</t>
  </si>
  <si>
    <t>ANGEL DARIO PORRAS CARDENAS</t>
  </si>
  <si>
    <t>IVANA  DÍAZ GIL</t>
  </si>
  <si>
    <t>YASMIN YOHANA FINOL PEÑA</t>
  </si>
  <si>
    <t>KIRA LISNEY SEGURA ACOSTA</t>
  </si>
  <si>
    <t>JHOSELYN MARIAM CADENA VELANDIA</t>
  </si>
  <si>
    <t>LIHAN ANDRES ARDILA  CADENA</t>
  </si>
  <si>
    <t>SAMANTHA   FAJARDO  ACOSTA</t>
  </si>
  <si>
    <t>DANIEL DAVID GUTIERREZ SAMPER</t>
  </si>
  <si>
    <t>DANIELA ALEJANDRA MORAN  GUTIERREZ</t>
  </si>
  <si>
    <t>EMMANUEL  DE JESUS  ITURRIAGO VILLERO</t>
  </si>
  <si>
    <t>DAMIAN  FERLA LIZCANO</t>
  </si>
  <si>
    <t>ANGELES VICTORIA LINARES PEREZ</t>
  </si>
  <si>
    <t>ERICK JAMPIER FONSECA LAVACUDE</t>
  </si>
  <si>
    <t>EIMY JULIETH PAREDES DUGARTE</t>
  </si>
  <si>
    <t>CESAR AUGUSTO FUENMAYOR MENDOZA</t>
  </si>
  <si>
    <t>YULI SARAY GONZALEZ BULLA</t>
  </si>
  <si>
    <t>SALOME  ROMEO ROMERO</t>
  </si>
  <si>
    <t>AARON SANTIAGO PAEZ CASTAÑO</t>
  </si>
  <si>
    <t>EMILY SOFIA DIMATE VALERO</t>
  </si>
  <si>
    <t>MIA SAMANTHA VENERO HERRAN</t>
  </si>
  <si>
    <t>EMERSON FERNELY AREVALO BERNAL</t>
  </si>
  <si>
    <t>JOSE EDUARDO GARCIA  BAQUERO</t>
  </si>
  <si>
    <t>LINDA ANALY ROMERO GIRALDO</t>
  </si>
  <si>
    <t>EMMA ISABELLA ORJUELA SINISTERRA</t>
  </si>
  <si>
    <t>LUNA ESMERALDA VELASQUEZ ORTIZ</t>
  </si>
  <si>
    <t>ADELIN VICTORIA RIVAS PERAZA</t>
  </si>
  <si>
    <t>DULCE MARIA SINISTERRA SOLIS</t>
  </si>
  <si>
    <t>ANNY SHARAY SANCHEZ CUBIDES</t>
  </si>
  <si>
    <t>EVELYN SAMANTHA VARGAS DIAZ</t>
  </si>
  <si>
    <t>SARA VALENTINA AMAYA PLAZAS</t>
  </si>
  <si>
    <t>KEIDY ESTEFANIA CARDOZO GOMEZ</t>
  </si>
  <si>
    <t>ALIZON VANESSA MOSQUERA MOSQUERA</t>
  </si>
  <si>
    <t>LIAM JOEL QUINTERO AGUIAR</t>
  </si>
  <si>
    <t>MARA  ALEJANDRA  BALLEN  DAZA</t>
  </si>
  <si>
    <t>DAILYN SALOME QUIROGA GUIZA</t>
  </si>
  <si>
    <t>ANNY JULIETH CARO GARCIA</t>
  </si>
  <si>
    <t>BENJAMIN JOSUE JARABA PALMA</t>
  </si>
  <si>
    <t>JULIANA  GALINDO MACHADO</t>
  </si>
  <si>
    <t>CAROL DAYANA ROMERO GARCIA</t>
  </si>
  <si>
    <t>LOGAN STIVEN RODRIGUEZ RIAÑO</t>
  </si>
  <si>
    <t>YAMIR ALEXIS BARRAGAN ESPERANZA</t>
  </si>
  <si>
    <t>EDELAIN YERESET ARROYO RENGIFO</t>
  </si>
  <si>
    <t>ANGIE CATALINA PAEZ PEDRAZA</t>
  </si>
  <si>
    <t>DEMIAN ALEXANDER LOPEZ GOMEZ</t>
  </si>
  <si>
    <t>JINNEHT SARAY NOPE MENDIVELSO</t>
  </si>
  <si>
    <t>BENJI  ALVAREZ ORTIZ</t>
  </si>
  <si>
    <t>ANGUIE SALOME CASTRO GARCIA</t>
  </si>
  <si>
    <t>PAULA ANDREA DIAZ RONCANCIO</t>
  </si>
  <si>
    <t>GIAN GABRIEL QUINTERO ORONDO</t>
  </si>
  <si>
    <t>ISAAC  MENDIVELSO GALINDO</t>
  </si>
  <si>
    <t>ISABELLA  CORDOBA ROJAS</t>
  </si>
  <si>
    <t xml:space="preserve">NATALY GISETH RAMIRAZ PALACIOS </t>
  </si>
  <si>
    <t>ANDRES JOEL AGUALIMPIA MENA</t>
  </si>
  <si>
    <t>DALARY DAHIAN PERDOMO  PAEZ</t>
  </si>
  <si>
    <t>JHOSTIN  SAMUEL VALENCIA CORTEZ</t>
  </si>
  <si>
    <t>AINOHA SARAY AYALA PARRA</t>
  </si>
  <si>
    <t>YINETH NATALIA ROJAS ZARATE</t>
  </si>
  <si>
    <t>ERIKA  AGUILAR PALACIOS</t>
  </si>
  <si>
    <t>IAN MATEO MARQUEZ SALAZAR</t>
  </si>
  <si>
    <t>SAMUEL CALEB ALVAREZ SANCHEZ</t>
  </si>
  <si>
    <t>ANGIE CAROLINA ROMERO  VIRACACHA</t>
  </si>
  <si>
    <t>NICOLAS JOA APERADOR SALAMANCA</t>
  </si>
  <si>
    <t>JOHAN ESTIVEN GUERRA PALACIOS</t>
  </si>
  <si>
    <t>ESNEYDER  CORDOBA PALACIOS</t>
  </si>
  <si>
    <t>LIAN  JOSE  POLANCO  ZAPATA</t>
  </si>
  <si>
    <t>BREIDYS  JASMIN JACANAMIJOY CHASOY</t>
  </si>
  <si>
    <t>NEYDER ANTHUAN PEÑA ESCOBAR</t>
  </si>
  <si>
    <t xml:space="preserve">JHOIMAR  JOSEPH AGUALIMPIA  PALACIOS </t>
  </si>
  <si>
    <t>HILARI MILAGRO ORTIZ GRISALES</t>
  </si>
  <si>
    <t>ISABELLA  RODRIGUEZ HERNANDEZ</t>
  </si>
  <si>
    <t>JOSHUA  ALEJANDRO ALBINO  VELASQUEZ</t>
  </si>
  <si>
    <t>LAURA LIZETH VARGAS VALENCIA</t>
  </si>
  <si>
    <t>JULIETH  TATIANA CHARRY CLAROS</t>
  </si>
  <si>
    <t>EMELY MARIANA MONROY CAÑON</t>
  </si>
  <si>
    <t>ELAINE JULIANA DIAZ PEREZ</t>
  </si>
  <si>
    <t xml:space="preserve">MAIRA SOFIA RAMIREZ  PALACIOS </t>
  </si>
  <si>
    <t>RAFAEL KALEHT MEDINA  LLORIS</t>
  </si>
  <si>
    <t xml:space="preserve">DANNA  ISABELLA BEJARANO VANEGAS </t>
  </si>
  <si>
    <t>EYDAN  JAMPIER CUCAITA HERNANDEZ</t>
  </si>
  <si>
    <t>GUADALUPE SALOME RODRIGUEZ MONTEALEGRE</t>
  </si>
  <si>
    <t>E100D15CC80C4AB59A9F1774EE16571541283</t>
  </si>
  <si>
    <t>base</t>
  </si>
  <si>
    <t>cuentmae</t>
  </si>
  <si>
    <t xml:space="preserve">UVAL </t>
  </si>
  <si>
    <t>COOSALUD EPS S.A.</t>
  </si>
  <si>
    <t>EPS SURAMERICANA S.A.</t>
  </si>
  <si>
    <t>U1-VINCULOS DE AMOR VEREDAS</t>
  </si>
  <si>
    <t>JOHANA ALVARADO</t>
  </si>
  <si>
    <t>LA CABAÑA</t>
  </si>
  <si>
    <t>B922B2FD1AFB43028DB73A4D6A4A60BF3090</t>
  </si>
  <si>
    <t>EILYN JOHANNA RODRIGUEZ DELGADO</t>
  </si>
  <si>
    <t>EITHAN JOEL AGUIRRE GONZALEZ</t>
  </si>
  <si>
    <t>THIAGO ALEJANDRO ZARATE ROA</t>
  </si>
  <si>
    <t>LUCIANA  SERRANO BONILLA</t>
  </si>
  <si>
    <t>ELIANNYS ALEJANDRA CARREÑO MOSQUERA</t>
  </si>
  <si>
    <t>JOSE  PARRADO BARRIOS</t>
  </si>
  <si>
    <t>LIANN ADRIAN CASTRO SANCHEZ</t>
  </si>
  <si>
    <t>LYAM  FABIAN  GALINDEZ ALVAREZ</t>
  </si>
  <si>
    <t>HANNA CAMILA HERRERA PIÑEROS</t>
  </si>
  <si>
    <t>GAEL ALDAIR CAÑUBE GOMEZ</t>
  </si>
  <si>
    <t>SHARON SAMARA GUZMAN BOHORQUEZ</t>
  </si>
  <si>
    <t>YOSHUA GAEL ZAMORA  PINZON</t>
  </si>
  <si>
    <t xml:space="preserve">ALEANNY NOHEMY GARCIA  RODRIGUEZ </t>
  </si>
  <si>
    <t>ANDRES  MATIAS PERDOMO BOLIVAR</t>
  </si>
  <si>
    <t>KAROL MICHELL RIVERA HERNANDEZ</t>
  </si>
  <si>
    <t>ESTEFANI  SAMANTHA TORRES SUANCA</t>
  </si>
  <si>
    <t>ELY  MILAGROS  ESPINOZA  ALGARRA</t>
  </si>
  <si>
    <t>JEANMARIS YALIANA MURIA BERROTERAN</t>
  </si>
  <si>
    <t>VALERY NAOMI ROJAS ZARATE</t>
  </si>
  <si>
    <t>MARIA LUISA JARABA JULIO</t>
  </si>
  <si>
    <t>ISABELLA  SOLANO LENGUA</t>
  </si>
  <si>
    <t>ALEJANDRA  RAMIREZ MENDOZA</t>
  </si>
  <si>
    <t>ERIKA JOHANA PALACIO RUIZ</t>
  </si>
  <si>
    <t xml:space="preserve">LIGIA OMAIRA ACOSTA </t>
  </si>
  <si>
    <t>crcce</t>
  </si>
  <si>
    <t>INTERNET</t>
  </si>
  <si>
    <t>FINALIZACIÓN DEL BOOTCAMP</t>
  </si>
  <si>
    <t>JAIME GARZÓN</t>
  </si>
  <si>
    <t>ARIEL</t>
  </si>
  <si>
    <t>LA SIRENITA</t>
  </si>
  <si>
    <t>SECRETARÍA</t>
  </si>
  <si>
    <t>RETIRO VOLUNTARIO</t>
  </si>
  <si>
    <t>JAVIER SANCHEZ</t>
  </si>
  <si>
    <t>NARUTO</t>
  </si>
  <si>
    <t>UZUMAKI</t>
  </si>
  <si>
    <t>UCHIHA</t>
  </si>
  <si>
    <t>CAMBIO DE CARRERA</t>
  </si>
  <si>
    <t>DEJÓ LA CARRERA POR FALTA DE INTERÉS</t>
  </si>
  <si>
    <t>ELZA</t>
  </si>
  <si>
    <t>FROSEN</t>
  </si>
  <si>
    <t>BUZZ</t>
  </si>
  <si>
    <t>LIGHTYEAR</t>
  </si>
  <si>
    <t>ASH</t>
  </si>
  <si>
    <t>KETCHUM</t>
  </si>
  <si>
    <t>DIOS LE DIJO</t>
  </si>
  <si>
    <t>DEJÓ DE CREER</t>
  </si>
  <si>
    <t>LO VIÓ POR INSTAGRAM</t>
  </si>
  <si>
    <t>YODA</t>
  </si>
  <si>
    <t>ALL MIGHT</t>
  </si>
  <si>
    <t>AV. SIEMPRE VIVA</t>
  </si>
  <si>
    <t>EL CIELO</t>
  </si>
  <si>
    <t>CLL 32 SUR NUM 5-27</t>
  </si>
  <si>
    <t>AV. 68 NUM 7A27</t>
  </si>
  <si>
    <t>MICKEYS-CLUB</t>
  </si>
  <si>
    <t>SAN</t>
  </si>
  <si>
    <t>MON</t>
  </si>
  <si>
    <t>DRAGON</t>
  </si>
  <si>
    <t>RUJE</t>
  </si>
  <si>
    <t xml:space="preserve">RICK </t>
  </si>
  <si>
    <t>MORTY</t>
  </si>
  <si>
    <t>PANCRACIO</t>
  </si>
  <si>
    <t>BAHAMON</t>
  </si>
  <si>
    <t>SOCRATES</t>
  </si>
  <si>
    <t>PLATON</t>
  </si>
  <si>
    <t>ARISTOTELES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</si>
</sst>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d/m/yyyy"/>
  </numFmts>
  <fonts count="21" x14ac:knownFonts="1">
    <font>
      <sz val="11"/>
      <color theme="1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6"/>
      <name val="Arial"/>
      <family val="2"/>
    </font>
    <font>
      <sz val="8"/>
      <name val="Arial"/>
      <family val="2"/>
    </font>
    <font>
      <sz val="5"/>
      <name val="Arial"/>
      <family val="2"/>
    </font>
    <font>
      <sz val="4.5"/>
      <name val="Arial"/>
      <family val="2"/>
    </font>
    <font>
      <sz val="8"/>
      <name val="Tahoma"/>
      <family val="2"/>
    </font>
    <font>
      <sz val="5.5"/>
      <name val="Arial"/>
      <family val="2"/>
    </font>
    <font>
      <sz val="7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35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/>
      <bottom style="thin">
        <color theme="4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7" fillId="0" borderId="0"/>
    <xf numFmtId="0" fontId="19" fillId="0" borderId="0"/>
  </cellStyleXfs>
  <cellXfs count="13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" fillId="3" borderId="0" xfId="0" applyFont="1" applyFill="1"/>
    <xf numFmtId="0" fontId="1" fillId="0" borderId="0" xfId="0" applyFont="1"/>
    <xf numFmtId="0" fontId="1" fillId="3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0" fontId="5" fillId="0" borderId="7" xfId="0" applyFont="1" applyBorder="1" applyAlignment="1">
      <alignment horizontal="left" vertical="top" wrapText="1"/>
    </xf>
    <xf numFmtId="0" fontId="6" fillId="0" borderId="8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7" fillId="0" borderId="7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8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left" vertical="top" wrapText="1"/>
    </xf>
    <xf numFmtId="0" fontId="4" fillId="0" borderId="9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3" fillId="0" borderId="8" xfId="0" applyFont="1" applyBorder="1" applyAlignment="1">
      <alignment horizontal="left" vertical="top" wrapText="1"/>
    </xf>
    <xf numFmtId="0" fontId="10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pivotButton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10" xfId="0" applyBorder="1" applyAlignment="1">
      <alignment horizontal="center" vertical="center" wrapText="1"/>
    </xf>
    <xf numFmtId="0" fontId="10" fillId="0" borderId="11" xfId="0" applyFont="1" applyBorder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0" fillId="10" borderId="13" xfId="0" applyFill="1" applyBorder="1" applyAlignment="1">
      <alignment horizontal="center" vertical="center" wrapText="1"/>
    </xf>
    <xf numFmtId="0" fontId="0" fillId="11" borderId="15" xfId="0" applyFill="1" applyBorder="1" applyAlignment="1">
      <alignment horizontal="center" vertical="center" wrapText="1"/>
    </xf>
    <xf numFmtId="0" fontId="0" fillId="10" borderId="15" xfId="0" applyFill="1" applyBorder="1" applyAlignment="1">
      <alignment horizontal="center" vertical="center" wrapText="1"/>
    </xf>
    <xf numFmtId="0" fontId="0" fillId="10" borderId="16" xfId="0" applyFill="1" applyBorder="1" applyAlignment="1">
      <alignment horizontal="center" vertical="center" wrapText="1"/>
    </xf>
    <xf numFmtId="0" fontId="0" fillId="11" borderId="15" xfId="0" applyFill="1" applyBorder="1" applyAlignment="1">
      <alignment horizontal="center" vertical="center"/>
    </xf>
    <xf numFmtId="0" fontId="0" fillId="11" borderId="17" xfId="0" applyFill="1" applyBorder="1" applyAlignment="1">
      <alignment horizontal="center" vertical="center"/>
    </xf>
    <xf numFmtId="0" fontId="0" fillId="11" borderId="15" xfId="0" applyFill="1" applyBorder="1"/>
    <xf numFmtId="0" fontId="0" fillId="10" borderId="13" xfId="0" applyFill="1" applyBorder="1" applyAlignment="1">
      <alignment horizontal="left"/>
    </xf>
    <xf numFmtId="0" fontId="0" fillId="11" borderId="13" xfId="0" applyFill="1" applyBorder="1" applyAlignment="1">
      <alignment horizontal="center" vertical="center" wrapText="1"/>
    </xf>
    <xf numFmtId="10" fontId="0" fillId="0" borderId="0" xfId="0" applyNumberFormat="1" applyAlignment="1">
      <alignment horizontal="center" vertical="center" wrapText="1"/>
    </xf>
    <xf numFmtId="1" fontId="0" fillId="0" borderId="10" xfId="0" applyNumberFormat="1" applyBorder="1" applyAlignment="1">
      <alignment horizontal="center" vertical="center" wrapText="1"/>
    </xf>
    <xf numFmtId="0" fontId="4" fillId="0" borderId="0" xfId="0" applyFont="1" applyAlignment="1">
      <alignment horizontal="left" vertical="top" wrapText="1"/>
    </xf>
    <xf numFmtId="0" fontId="0" fillId="0" borderId="6" xfId="0" applyBorder="1" applyAlignment="1">
      <alignment horizontal="center" vertical="center" wrapText="1"/>
    </xf>
    <xf numFmtId="10" fontId="0" fillId="10" borderId="16" xfId="0" applyNumberFormat="1" applyFill="1" applyBorder="1" applyAlignment="1">
      <alignment horizontal="center" vertical="center" wrapText="1"/>
    </xf>
    <xf numFmtId="0" fontId="0" fillId="0" borderId="0" xfId="0" pivotButton="1"/>
    <xf numFmtId="0" fontId="0" fillId="10" borderId="0" xfId="0" applyFill="1" applyAlignment="1">
      <alignment horizontal="center" vertical="center" wrapText="1"/>
    </xf>
    <xf numFmtId="10" fontId="0" fillId="10" borderId="0" xfId="0" applyNumberFormat="1" applyFill="1" applyAlignment="1">
      <alignment horizontal="center" vertical="center" wrapText="1"/>
    </xf>
    <xf numFmtId="0" fontId="0" fillId="10" borderId="0" xfId="0" applyFill="1" applyAlignment="1">
      <alignment horizontal="center" vertical="center"/>
    </xf>
    <xf numFmtId="2" fontId="0" fillId="0" borderId="10" xfId="0" applyNumberFormat="1" applyBorder="1" applyAlignment="1">
      <alignment horizontal="center" vertical="center" wrapText="1"/>
    </xf>
    <xf numFmtId="14" fontId="0" fillId="0" borderId="0" xfId="0" applyNumberFormat="1"/>
    <xf numFmtId="2" fontId="0" fillId="0" borderId="0" xfId="0" applyNumberFormat="1" applyAlignment="1">
      <alignment horizontal="center" vertical="center"/>
    </xf>
    <xf numFmtId="17" fontId="0" fillId="0" borderId="0" xfId="0" applyNumberFormat="1"/>
    <xf numFmtId="0" fontId="18" fillId="0" borderId="10" xfId="0" applyFont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10" fillId="0" borderId="0" xfId="0" applyFont="1"/>
    <xf numFmtId="0" fontId="0" fillId="10" borderId="10" xfId="0" applyFill="1" applyBorder="1" applyAlignment="1">
      <alignment horizontal="center" vertical="center" wrapText="1"/>
    </xf>
    <xf numFmtId="0" fontId="0" fillId="11" borderId="10" xfId="0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14" fontId="15" fillId="0" borderId="0" xfId="0" applyNumberFormat="1" applyFont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14" fontId="0" fillId="0" borderId="10" xfId="0" applyNumberForma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 wrapText="1"/>
    </xf>
    <xf numFmtId="14" fontId="0" fillId="14" borderId="12" xfId="0" applyNumberForma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14" fontId="0" fillId="0" borderId="10" xfId="0" applyNumberFormat="1" applyBorder="1" applyAlignment="1">
      <alignment horizontal="center" vertical="center" wrapText="1"/>
    </xf>
    <xf numFmtId="14" fontId="0" fillId="13" borderId="10" xfId="0" applyNumberFormat="1" applyFill="1" applyBorder="1" applyAlignment="1">
      <alignment horizontal="center" vertical="center"/>
    </xf>
    <xf numFmtId="0" fontId="0" fillId="10" borderId="0" xfId="0" applyFill="1"/>
    <xf numFmtId="0" fontId="0" fillId="11" borderId="17" xfId="0" applyFill="1" applyBorder="1"/>
    <xf numFmtId="0" fontId="0" fillId="10" borderId="13" xfId="0" applyFill="1" applyBorder="1"/>
    <xf numFmtId="0" fontId="0" fillId="11" borderId="17" xfId="0" applyFill="1" applyBorder="1" applyAlignment="1">
      <alignment horizontal="center" vertical="center" wrapText="1"/>
    </xf>
    <xf numFmtId="0" fontId="10" fillId="0" borderId="28" xfId="0" applyFont="1" applyBorder="1" applyAlignment="1">
      <alignment horizontal="center" vertical="center" wrapText="1"/>
    </xf>
    <xf numFmtId="0" fontId="10" fillId="0" borderId="29" xfId="0" applyFont="1" applyBorder="1" applyAlignment="1">
      <alignment horizontal="center" vertical="center" wrapText="1"/>
    </xf>
    <xf numFmtId="0" fontId="10" fillId="0" borderId="30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10" fillId="5" borderId="29" xfId="0" applyFont="1" applyFill="1" applyBorder="1" applyAlignment="1">
      <alignment horizontal="center" vertical="center" wrapText="1"/>
    </xf>
    <xf numFmtId="0" fontId="11" fillId="5" borderId="29" xfId="0" applyFont="1" applyFill="1" applyBorder="1" applyAlignment="1">
      <alignment horizontal="center" vertical="center" wrapText="1"/>
    </xf>
    <xf numFmtId="0" fontId="10" fillId="12" borderId="31" xfId="0" applyFont="1" applyFill="1" applyBorder="1" applyAlignment="1">
      <alignment horizontal="center" vertical="center" wrapText="1"/>
    </xf>
    <xf numFmtId="0" fontId="10" fillId="12" borderId="29" xfId="0" applyFont="1" applyFill="1" applyBorder="1" applyAlignment="1">
      <alignment horizontal="center" vertical="center" wrapText="1"/>
    </xf>
    <xf numFmtId="0" fontId="10" fillId="12" borderId="30" xfId="0" applyFont="1" applyFill="1" applyBorder="1" applyAlignment="1">
      <alignment horizontal="center" vertical="center" wrapText="1"/>
    </xf>
    <xf numFmtId="0" fontId="10" fillId="12" borderId="27" xfId="0" applyFont="1" applyFill="1" applyBorder="1" applyAlignment="1">
      <alignment horizontal="center" vertical="center" wrapText="1"/>
    </xf>
    <xf numFmtId="0" fontId="10" fillId="6" borderId="28" xfId="0" applyFont="1" applyFill="1" applyBorder="1" applyAlignment="1">
      <alignment horizontal="center" vertical="center" wrapText="1"/>
    </xf>
    <xf numFmtId="0" fontId="10" fillId="6" borderId="29" xfId="0" applyFont="1" applyFill="1" applyBorder="1" applyAlignment="1">
      <alignment horizontal="center" vertical="center" wrapText="1"/>
    </xf>
    <xf numFmtId="0" fontId="10" fillId="6" borderId="32" xfId="0" applyFont="1" applyFill="1" applyBorder="1" applyAlignment="1">
      <alignment horizontal="center" vertical="center" wrapText="1"/>
    </xf>
    <xf numFmtId="0" fontId="10" fillId="9" borderId="31" xfId="0" applyFont="1" applyFill="1" applyBorder="1" applyAlignment="1">
      <alignment horizontal="center" vertical="center" wrapText="1"/>
    </xf>
    <xf numFmtId="0" fontId="10" fillId="9" borderId="29" xfId="0" applyFont="1" applyFill="1" applyBorder="1" applyAlignment="1">
      <alignment horizontal="center" vertical="center" wrapText="1"/>
    </xf>
    <xf numFmtId="14" fontId="10" fillId="9" borderId="29" xfId="0" applyNumberFormat="1" applyFont="1" applyFill="1" applyBorder="1" applyAlignment="1">
      <alignment horizontal="center" vertical="center" wrapText="1"/>
    </xf>
    <xf numFmtId="0" fontId="10" fillId="9" borderId="32" xfId="0" applyFont="1" applyFill="1" applyBorder="1" applyAlignment="1">
      <alignment horizontal="center" vertical="center" wrapText="1"/>
    </xf>
    <xf numFmtId="0" fontId="10" fillId="11" borderId="31" xfId="0" applyFont="1" applyFill="1" applyBorder="1" applyAlignment="1">
      <alignment horizontal="center" vertical="center" wrapText="1"/>
    </xf>
    <xf numFmtId="0" fontId="10" fillId="11" borderId="29" xfId="0" applyFont="1" applyFill="1" applyBorder="1" applyAlignment="1">
      <alignment horizontal="center" vertical="center" wrapText="1"/>
    </xf>
    <xf numFmtId="0" fontId="10" fillId="11" borderId="32" xfId="0" applyFont="1" applyFill="1" applyBorder="1" applyAlignment="1">
      <alignment horizontal="center" vertical="center" wrapText="1"/>
    </xf>
    <xf numFmtId="0" fontId="10" fillId="10" borderId="31" xfId="0" applyFont="1" applyFill="1" applyBorder="1" applyAlignment="1">
      <alignment horizontal="center" vertical="center" wrapText="1"/>
    </xf>
    <xf numFmtId="0" fontId="10" fillId="10" borderId="29" xfId="0" applyFont="1" applyFill="1" applyBorder="1" applyAlignment="1">
      <alignment horizontal="center" vertical="center" wrapText="1"/>
    </xf>
    <xf numFmtId="0" fontId="13" fillId="10" borderId="29" xfId="0" applyFont="1" applyFill="1" applyBorder="1" applyAlignment="1">
      <alignment horizontal="center" vertical="center" wrapText="1"/>
    </xf>
    <xf numFmtId="0" fontId="13" fillId="10" borderId="32" xfId="0" applyFont="1" applyFill="1" applyBorder="1" applyAlignment="1">
      <alignment horizontal="center" vertical="center" wrapText="1"/>
    </xf>
    <xf numFmtId="0" fontId="10" fillId="5" borderId="28" xfId="0" applyFont="1" applyFill="1" applyBorder="1" applyAlignment="1">
      <alignment horizontal="center" vertical="center" wrapText="1"/>
    </xf>
    <xf numFmtId="0" fontId="12" fillId="5" borderId="32" xfId="0" applyFont="1" applyFill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/>
    </xf>
    <xf numFmtId="0" fontId="10" fillId="0" borderId="33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0" fillId="0" borderId="34" xfId="0" applyBorder="1"/>
    <xf numFmtId="1" fontId="0" fillId="0" borderId="0" xfId="0" applyNumberFormat="1"/>
    <xf numFmtId="0" fontId="0" fillId="14" borderId="0" xfId="0" applyFill="1"/>
    <xf numFmtId="0" fontId="10" fillId="15" borderId="29" xfId="0" applyFont="1" applyFill="1" applyBorder="1" applyAlignment="1">
      <alignment horizontal="center" vertical="center" wrapText="1"/>
    </xf>
    <xf numFmtId="14" fontId="18" fillId="0" borderId="10" xfId="0" applyNumberFormat="1" applyFont="1" applyBorder="1" applyAlignment="1">
      <alignment horizontal="center" vertical="center" wrapText="1"/>
    </xf>
    <xf numFmtId="14" fontId="0" fillId="13" borderId="10" xfId="0" applyNumberFormat="1" applyFill="1" applyBorder="1" applyAlignment="1">
      <alignment horizontal="center" vertical="center" wrapText="1"/>
    </xf>
    <xf numFmtId="1" fontId="10" fillId="9" borderId="29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165" fontId="0" fillId="0" borderId="0" xfId="0" applyNumberFormat="1"/>
    <xf numFmtId="0" fontId="0" fillId="10" borderId="17" xfId="0" applyFill="1" applyBorder="1" applyAlignment="1">
      <alignment horizontal="center" vertical="center" wrapText="1"/>
    </xf>
    <xf numFmtId="0" fontId="0" fillId="10" borderId="14" xfId="0" applyFill="1" applyBorder="1" applyAlignment="1">
      <alignment horizontal="center" vertical="center" wrapText="1"/>
    </xf>
    <xf numFmtId="0" fontId="0" fillId="10" borderId="26" xfId="0" applyFill="1" applyBorder="1" applyAlignment="1">
      <alignment horizontal="center" vertical="center" wrapText="1"/>
    </xf>
    <xf numFmtId="0" fontId="15" fillId="4" borderId="0" xfId="0" applyFont="1" applyFill="1" applyAlignment="1">
      <alignment horizontal="center" vertical="center" wrapText="1"/>
    </xf>
    <xf numFmtId="1" fontId="15" fillId="4" borderId="0" xfId="0" applyNumberFormat="1" applyFont="1" applyFill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4" fillId="6" borderId="0" xfId="0" applyFont="1" applyFill="1" applyAlignment="1">
      <alignment horizontal="center" vertical="center" wrapText="1"/>
    </xf>
    <xf numFmtId="0" fontId="14" fillId="7" borderId="0" xfId="0" applyFont="1" applyFill="1" applyAlignment="1">
      <alignment horizontal="center" vertical="center" wrapText="1"/>
    </xf>
    <xf numFmtId="0" fontId="14" fillId="8" borderId="0" xfId="0" applyFont="1" applyFill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</cellXfs>
  <cellStyles count="3">
    <cellStyle name="Normal" xfId="0" builtinId="0"/>
    <cellStyle name="Normal 2" xfId="2" xr:uid="{00000000-0005-0000-0000-000001000000}"/>
    <cellStyle name="Normal 3 2" xfId="1" xr:uid="{00000000-0005-0000-0000-000002000000}"/>
  </cellStyles>
  <dxfs count="868"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fgColor auto="1"/>
          <bgColor rgb="FFFFC7CE"/>
        </patternFill>
      </fill>
    </dxf>
    <dxf>
      <fill>
        <patternFill>
          <bgColor theme="8" tint="0.59996337778862885"/>
        </patternFill>
      </fill>
    </dxf>
    <dxf>
      <font>
        <color theme="1"/>
      </font>
      <fill>
        <patternFill>
          <fgColor auto="1"/>
          <bgColor rgb="FFFFC7CE"/>
        </patternFill>
      </fill>
    </dxf>
    <dxf>
      <fill>
        <patternFill>
          <bgColor theme="8" tint="0.59996337778862885"/>
        </patternFill>
      </fill>
    </dxf>
    <dxf>
      <font>
        <color theme="1"/>
      </font>
      <fill>
        <patternFill>
          <fgColor auto="1"/>
          <bgColor rgb="FFFFC7CE"/>
        </patternFill>
      </fill>
    </dxf>
    <dxf>
      <fill>
        <patternFill>
          <bgColor theme="8" tint="0.59996337778862885"/>
        </patternFill>
      </fill>
    </dxf>
    <dxf>
      <font>
        <color theme="1"/>
      </font>
      <fill>
        <patternFill>
          <fgColor auto="1"/>
          <bgColor rgb="FFFFC7CE"/>
        </patternFill>
      </fill>
    </dxf>
    <dxf>
      <fill>
        <patternFill>
          <bgColor theme="8" tint="0.59996337778862885"/>
        </patternFill>
      </fill>
    </dxf>
    <dxf>
      <font>
        <color theme="1"/>
      </font>
      <fill>
        <patternFill>
          <fgColor theme="1"/>
          <bgColor rgb="FF35EB4B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numFmt numFmtId="164" formatCode="0.0%"/>
    </dxf>
    <dxf>
      <alignment wrapText="1" readingOrder="0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164" formatCode="0.0%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164" formatCode="0.0%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numFmt numFmtId="164" formatCode="0.0%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alignment wrapText="1" readingOrder="0"/>
    </dxf>
    <dxf>
      <alignment vertical="center" readingOrder="0"/>
    </dxf>
    <dxf>
      <alignment horizontal="center" readingOrder="0"/>
    </dxf>
    <dxf>
      <numFmt numFmtId="164" formatCode="0.0%"/>
    </dxf>
    <dxf>
      <alignment vertic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164" formatCode="0.0%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numFmt numFmtId="164" formatCode="0.0%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2" formatCode="0.00"/>
    </dxf>
    <dxf>
      <alignment vertical="center" readingOrder="0"/>
    </dxf>
    <dxf>
      <alignment horizontal="center" readingOrder="0"/>
    </dxf>
    <dxf>
      <numFmt numFmtId="164" formatCode="0.0%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numFmt numFmtId="164" formatCode="0.0%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alignment wrapText="0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left" readingOrder="0"/>
    </dxf>
    <dxf>
      <alignment horizontal="left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164" formatCode="0.0%"/>
    </dxf>
    <dxf>
      <numFmt numFmtId="164" formatCode="0.0%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164" formatCode="0.0%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numFmt numFmtId="164" formatCode="0.0%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alignment wrapText="1" readingOrder="0"/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numFmt numFmtId="14" formatCode="0.00%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alignment wrapText="1" readingOrder="0"/>
    </dxf>
    <dxf>
      <alignment vertic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8" tint="0.39997558519241921"/>
        </patternFill>
      </fill>
    </dxf>
    <dxf>
      <fill>
        <patternFill>
          <bgColor theme="8" tint="0.39997558519241921"/>
        </patternFill>
      </fill>
    </dxf>
    <dxf>
      <fill>
        <patternFill>
          <bgColor theme="8" tint="0.39997558519241921"/>
        </patternFill>
      </fill>
    </dxf>
    <dxf>
      <fill>
        <patternFill>
          <bgColor theme="8" tint="0.39997558519241921"/>
        </patternFill>
      </fill>
    </dxf>
    <dxf>
      <fill>
        <patternFill>
          <bgColor theme="8" tint="0.39997558519241921"/>
        </patternFill>
      </fill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fill>
        <patternFill>
          <bgColor theme="8" tint="-0.249977111117893"/>
        </patternFill>
      </fill>
    </dxf>
    <dxf>
      <fill>
        <patternFill>
          <bgColor theme="8" tint="-0.249977111117893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>
          <bgColor theme="6" tint="0.39997558519241921"/>
        </patternFill>
      </fill>
    </dxf>
    <dxf>
      <fill>
        <patternFill patternType="solid">
          <bgColor theme="6" tint="0.39997558519241921"/>
        </patternFill>
      </fill>
    </dxf>
    <dxf>
      <alignment wrapText="1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8" tint="0.39997558519241921"/>
        </patternFill>
      </fill>
    </dxf>
    <dxf>
      <fill>
        <patternFill>
          <bgColor theme="8" tint="0.39997558519241921"/>
        </patternFill>
      </fill>
    </dxf>
    <dxf>
      <fill>
        <patternFill>
          <bgColor theme="8" tint="0.39997558519241921"/>
        </patternFill>
      </fill>
    </dxf>
    <dxf>
      <fill>
        <patternFill>
          <bgColor theme="8" tint="0.39997558519241921"/>
        </patternFill>
      </fill>
    </dxf>
    <dxf>
      <fill>
        <patternFill>
          <bgColor theme="8" tint="0.39997558519241921"/>
        </patternFill>
      </fill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fill>
        <patternFill>
          <bgColor theme="8" tint="-0.249977111117893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>
          <bgColor theme="6" tint="0.39997558519241921"/>
        </patternFill>
      </fill>
    </dxf>
    <dxf>
      <fill>
        <patternFill patternType="solid">
          <bgColor theme="6" tint="0.39997558519241921"/>
        </patternFill>
      </fill>
    </dxf>
    <dxf>
      <alignment wrapText="1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1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numFmt numFmtId="1" formatCode="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</dxf>
    <dxf>
      <border outline="0">
        <top style="thin">
          <color theme="4" tint="0.39997558519241921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border outline="0">
        <bottom style="thin">
          <color theme="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35EB4B"/>
      <color rgb="FF2EF241"/>
      <color rgb="FF9C0006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microsoft.com/office/2007/relationships/slicerCache" Target="slicerCaches/slicerCache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1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microsoft.com/office/2007/relationships/slicerCache" Target="slicerCaches/slicerCache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6.xml"/><Relationship Id="rId20" Type="http://schemas.microsoft.com/office/2007/relationships/slicerCache" Target="slicerCaches/slicerCache10.xml"/><Relationship Id="rId29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24" Type="http://schemas.openxmlformats.org/officeDocument/2006/relationships/theme" Target="theme/theme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07/relationships/slicerCache" Target="slicerCaches/slicerCache5.xml"/><Relationship Id="rId23" Type="http://schemas.microsoft.com/office/2007/relationships/slicerCache" Target="slicerCaches/slicerCache13.xml"/><Relationship Id="rId28" Type="http://schemas.microsoft.com/office/2017/06/relationships/rdRichValue" Target="richData/rdrichvalue.xml"/><Relationship Id="rId10" Type="http://schemas.openxmlformats.org/officeDocument/2006/relationships/pivotCacheDefinition" Target="pivotCache/pivotCacheDefinition1.xml"/><Relationship Id="rId19" Type="http://schemas.microsoft.com/office/2007/relationships/slicerCache" Target="slicerCaches/slicerCache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7/relationships/slicerCache" Target="slicerCaches/slicerCache4.xml"/><Relationship Id="rId22" Type="http://schemas.microsoft.com/office/2007/relationships/slicerCache" Target="slicerCaches/slicerCache12.xml"/><Relationship Id="rId27" Type="http://schemas.openxmlformats.org/officeDocument/2006/relationships/sheetMetadata" Target="metadata.xml"/><Relationship Id="rId30" Type="http://schemas.microsoft.com/office/2017/06/relationships/rdRichValueTypes" Target="richData/rdRichValueTyp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[beneficiariesBDficty.xlsm]ANALISIS!Tabla dinámica7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TIPO DE BENEFICIARIO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  <c:dLbl>
          <c:idx val="0"/>
          <c:layout>
            <c:manualLayout>
              <c:x val="1.7975140843625687E-2"/>
              <c:y val="-0.14050164782033825"/>
            </c:manualLayout>
          </c:layout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ANALISIS!$H$22</c:f>
              <c:strCache>
                <c:ptCount val="1"/>
                <c:pt idx="0">
                  <c:v>Cantidad - TIPO DE BENEFICIARIO</c:v>
                </c:pt>
              </c:strCache>
            </c:strRef>
          </c:tx>
          <c:explosion val="25"/>
          <c:dLbls>
            <c:dLbl>
              <c:idx val="0"/>
              <c:layout>
                <c:manualLayout>
                  <c:x val="1.7975140843625687E-2"/>
                  <c:y val="-0.14050164782033825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EC-FD40-BCFD-533877172B66}"/>
                </c:ext>
              </c:extLst>
            </c:dLbl>
            <c:spPr/>
            <c:txPr>
              <a:bodyPr/>
              <a:lstStyle/>
              <a:p>
                <a:pPr>
                  <a:defRPr sz="1400" b="1"/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ANALISIS!$G$23:$G$26</c:f>
              <c:strCache>
                <c:ptCount val="3"/>
                <c:pt idx="0">
                  <c:v>MUJER GESTANTE</c:v>
                </c:pt>
                <c:pt idx="1">
                  <c:v>MENOR DE SEIS MESES</c:v>
                </c:pt>
                <c:pt idx="2">
                  <c:v>NIÑO O NIÑA ENTRE 6 MESES Y 5 AÑOS Y 11 MESES</c:v>
                </c:pt>
              </c:strCache>
            </c:strRef>
          </c:cat>
          <c:val>
            <c:numRef>
              <c:f>ANALISIS!$H$23:$H$26</c:f>
              <c:numCache>
                <c:formatCode>General</c:formatCode>
                <c:ptCount val="3"/>
                <c:pt idx="0">
                  <c:v>22</c:v>
                </c:pt>
                <c:pt idx="1">
                  <c:v>29</c:v>
                </c:pt>
                <c:pt idx="2">
                  <c:v>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08-244C-B5CD-61D24EA409BC}"/>
            </c:ext>
          </c:extLst>
        </c:ser>
        <c:ser>
          <c:idx val="1"/>
          <c:order val="1"/>
          <c:tx>
            <c:strRef>
              <c:f>ANALISIS!$I$22</c:f>
              <c:strCache>
                <c:ptCount val="1"/>
                <c:pt idx="0">
                  <c:v>Porcentaje - TIPO DE BENEFICIARIO</c:v>
                </c:pt>
              </c:strCache>
            </c:strRef>
          </c:tx>
          <c:explosion val="25"/>
          <c:dLbls>
            <c:spPr/>
            <c:txPr>
              <a:bodyPr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ANALISIS!$G$23:$G$26</c:f>
              <c:strCache>
                <c:ptCount val="3"/>
                <c:pt idx="0">
                  <c:v>MUJER GESTANTE</c:v>
                </c:pt>
                <c:pt idx="1">
                  <c:v>MENOR DE SEIS MESES</c:v>
                </c:pt>
                <c:pt idx="2">
                  <c:v>NIÑO O NIÑA ENTRE 6 MESES Y 5 AÑOS Y 11 MESES</c:v>
                </c:pt>
              </c:strCache>
            </c:strRef>
          </c:cat>
          <c:val>
            <c:numRef>
              <c:f>ANALISIS!$I$23:$I$26</c:f>
              <c:numCache>
                <c:formatCode>0.0%</c:formatCode>
                <c:ptCount val="3"/>
                <c:pt idx="0">
                  <c:v>6.2857142857142861E-2</c:v>
                </c:pt>
                <c:pt idx="1">
                  <c:v>8.2857142857142851E-2</c:v>
                </c:pt>
                <c:pt idx="2">
                  <c:v>0.85428571428571431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08-244C-B5CD-61D24EA40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  <c:txPr>
        <a:bodyPr/>
        <a:lstStyle/>
        <a:p>
          <a:pPr>
            <a:defRPr sz="1100"/>
          </a:pPr>
          <a:endParaRPr lang="es-C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[beneficiariesBDficty.xlsm]ANALISIS!Tabla dinámica2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ESTRATO DEL HOGAR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</c:pivotFmts>
    <c:view3D>
      <c:rotX val="15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ANALISIS!$D$190</c:f>
              <c:strCache>
                <c:ptCount val="1"/>
                <c:pt idx="0">
                  <c:v>Cantidad - ESTRATO DEL HOGAR</c:v>
                </c:pt>
              </c:strCache>
            </c:strRef>
          </c:tx>
          <c:explosion val="25"/>
          <c:dLbls>
            <c:spPr/>
            <c:txPr>
              <a:bodyPr/>
              <a:lstStyle/>
              <a:p>
                <a:pPr>
                  <a:defRPr sz="1400" b="1"/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ANALISIS!$C$191:$C$196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(en blanco)</c:v>
                </c:pt>
                <c:pt idx="4">
                  <c:v>V</c:v>
                </c:pt>
              </c:strCache>
            </c:strRef>
          </c:cat>
          <c:val>
            <c:numRef>
              <c:f>ANALISIS!$D$191:$D$196</c:f>
              <c:numCache>
                <c:formatCode>General</c:formatCode>
                <c:ptCount val="5"/>
                <c:pt idx="0">
                  <c:v>323</c:v>
                </c:pt>
                <c:pt idx="1">
                  <c:v>20</c:v>
                </c:pt>
                <c:pt idx="2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1-0E49-A85B-DBB02105264E}"/>
            </c:ext>
          </c:extLst>
        </c:ser>
        <c:ser>
          <c:idx val="1"/>
          <c:order val="1"/>
          <c:tx>
            <c:strRef>
              <c:f>ANALISIS!$E$190</c:f>
              <c:strCache>
                <c:ptCount val="1"/>
                <c:pt idx="0">
                  <c:v>Porcentaje - ESTRATO DEL HOGAR</c:v>
                </c:pt>
              </c:strCache>
            </c:strRef>
          </c:tx>
          <c:explosion val="25"/>
          <c:cat>
            <c:strRef>
              <c:f>ANALISIS!$C$191:$C$196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(en blanco)</c:v>
                </c:pt>
                <c:pt idx="4">
                  <c:v>V</c:v>
                </c:pt>
              </c:strCache>
            </c:strRef>
          </c:cat>
          <c:val>
            <c:numRef>
              <c:f>ANALISIS!$E$191:$E$196</c:f>
              <c:numCache>
                <c:formatCode>0.0%</c:formatCode>
                <c:ptCount val="5"/>
                <c:pt idx="0">
                  <c:v>0.94169096209912539</c:v>
                </c:pt>
                <c:pt idx="1">
                  <c:v>5.8309037900874633E-2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01-0E49-A85B-DBB021052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[beneficiariesBDficty.xlsm]ANALISIS!Tabla dinámica4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PAIS DE NACIMIENTO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ANALISIS!$L$22</c:f>
              <c:strCache>
                <c:ptCount val="1"/>
                <c:pt idx="0">
                  <c:v>Cantidad - PAIS DE NACIMIENTO</c:v>
                </c:pt>
              </c:strCache>
            </c:strRef>
          </c:tx>
          <c:explosion val="25"/>
          <c:dLbls>
            <c:spPr/>
            <c:txPr>
              <a:bodyPr/>
              <a:lstStyle/>
              <a:p>
                <a:pPr>
                  <a:defRPr sz="1400" b="1"/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ANALISIS!$K$23:$K$26</c:f>
              <c:strCache>
                <c:ptCount val="3"/>
                <c:pt idx="0">
                  <c:v>COLOMBIA</c:v>
                </c:pt>
                <c:pt idx="1">
                  <c:v>VENEZUELA</c:v>
                </c:pt>
                <c:pt idx="2">
                  <c:v>ECUADOR</c:v>
                </c:pt>
              </c:strCache>
            </c:strRef>
          </c:cat>
          <c:val>
            <c:numRef>
              <c:f>ANALISIS!$L$23:$L$26</c:f>
              <c:numCache>
                <c:formatCode>General</c:formatCode>
                <c:ptCount val="3"/>
                <c:pt idx="0">
                  <c:v>337</c:v>
                </c:pt>
                <c:pt idx="1">
                  <c:v>12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45-A244-A724-808093CAB465}"/>
            </c:ext>
          </c:extLst>
        </c:ser>
        <c:ser>
          <c:idx val="1"/>
          <c:order val="1"/>
          <c:tx>
            <c:strRef>
              <c:f>ANALISIS!$M$22</c:f>
              <c:strCache>
                <c:ptCount val="1"/>
                <c:pt idx="0">
                  <c:v>Porcentaje - PAIS DE NACIMIENTO</c:v>
                </c:pt>
              </c:strCache>
            </c:strRef>
          </c:tx>
          <c:explosion val="25"/>
          <c:cat>
            <c:strRef>
              <c:f>ANALISIS!$K$23:$K$26</c:f>
              <c:strCache>
                <c:ptCount val="3"/>
                <c:pt idx="0">
                  <c:v>COLOMBIA</c:v>
                </c:pt>
                <c:pt idx="1">
                  <c:v>VENEZUELA</c:v>
                </c:pt>
                <c:pt idx="2">
                  <c:v>ECUADOR</c:v>
                </c:pt>
              </c:strCache>
            </c:strRef>
          </c:cat>
          <c:val>
            <c:numRef>
              <c:f>ANALISIS!$M$23:$M$26</c:f>
              <c:numCache>
                <c:formatCode>0.0%</c:formatCode>
                <c:ptCount val="3"/>
                <c:pt idx="0">
                  <c:v>0.96285714285714286</c:v>
                </c:pt>
                <c:pt idx="1">
                  <c:v>3.4285714285714287E-2</c:v>
                </c:pt>
                <c:pt idx="2">
                  <c:v>2.8571428571428571E-3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45-A244-A724-808093CAB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>
        <c:manualLayout>
          <c:xMode val="edge"/>
          <c:yMode val="edge"/>
          <c:x val="0.71966018117242447"/>
          <c:y val="0.19756293485334853"/>
          <c:w val="0.26305244300158642"/>
          <c:h val="0.38514133814573659"/>
        </c:manualLayout>
      </c:layout>
      <c:overlay val="0"/>
      <c:txPr>
        <a:bodyPr/>
        <a:lstStyle/>
        <a:p>
          <a:pPr>
            <a:defRPr sz="1100"/>
          </a:pPr>
          <a:endParaRPr lang="es-C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[beneficiariesBDficty.xlsm]ANALISIS!Tabla dinámica6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REGIMEN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  <c:dLbl>
          <c:idx val="0"/>
          <c:layout>
            <c:manualLayout>
              <c:x val="-1.2297339028107025E-2"/>
              <c:y val="-3.066180471130156E-2"/>
            </c:manualLayout>
          </c:layout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ANALISIS!$D$50</c:f>
              <c:strCache>
                <c:ptCount val="1"/>
                <c:pt idx="0">
                  <c:v>Cantidad - REGIMEN</c:v>
                </c:pt>
              </c:strCache>
            </c:strRef>
          </c:tx>
          <c:explosion val="25"/>
          <c:dLbls>
            <c:dLbl>
              <c:idx val="0"/>
              <c:layout>
                <c:manualLayout>
                  <c:x val="-1.2297339028107025E-2"/>
                  <c:y val="-3.066180471130156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9D-514E-90B3-F05229DB394C}"/>
                </c:ext>
              </c:extLst>
            </c:dLbl>
            <c:spPr/>
            <c:txPr>
              <a:bodyPr/>
              <a:lstStyle/>
              <a:p>
                <a:pPr>
                  <a:defRPr sz="1400" b="1"/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ANALISIS!$C$51:$C$56</c:f>
              <c:strCache>
                <c:ptCount val="5"/>
                <c:pt idx="0">
                  <c:v>NO_SE_ENCUENTRA_AFILIADO</c:v>
                </c:pt>
                <c:pt idx="1">
                  <c:v>SUBSIDIADO</c:v>
                </c:pt>
                <c:pt idx="2">
                  <c:v>CONTRIBUTIVO</c:v>
                </c:pt>
                <c:pt idx="3">
                  <c:v>(en blanco)</c:v>
                </c:pt>
                <c:pt idx="4">
                  <c:v>ESPECIAL</c:v>
                </c:pt>
              </c:strCache>
            </c:strRef>
          </c:cat>
          <c:val>
            <c:numRef>
              <c:f>ANALISIS!$D$51:$D$56</c:f>
              <c:numCache>
                <c:formatCode>General</c:formatCode>
                <c:ptCount val="5"/>
                <c:pt idx="0">
                  <c:v>21</c:v>
                </c:pt>
                <c:pt idx="1">
                  <c:v>170</c:v>
                </c:pt>
                <c:pt idx="2">
                  <c:v>149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D0-EC46-9B27-2A1CDA91A6B0}"/>
            </c:ext>
          </c:extLst>
        </c:ser>
        <c:ser>
          <c:idx val="1"/>
          <c:order val="1"/>
          <c:tx>
            <c:strRef>
              <c:f>ANALISIS!$E$50</c:f>
              <c:strCache>
                <c:ptCount val="1"/>
                <c:pt idx="0">
                  <c:v>Porcentaje - REGIMEN</c:v>
                </c:pt>
              </c:strCache>
            </c:strRef>
          </c:tx>
          <c:explosion val="25"/>
          <c:cat>
            <c:strRef>
              <c:f>ANALISIS!$C$51:$C$56</c:f>
              <c:strCache>
                <c:ptCount val="5"/>
                <c:pt idx="0">
                  <c:v>NO_SE_ENCUENTRA_AFILIADO</c:v>
                </c:pt>
                <c:pt idx="1">
                  <c:v>SUBSIDIADO</c:v>
                </c:pt>
                <c:pt idx="2">
                  <c:v>CONTRIBUTIVO</c:v>
                </c:pt>
                <c:pt idx="3">
                  <c:v>(en blanco)</c:v>
                </c:pt>
                <c:pt idx="4">
                  <c:v>ESPECIAL</c:v>
                </c:pt>
              </c:strCache>
            </c:strRef>
          </c:cat>
          <c:val>
            <c:numRef>
              <c:f>ANALISIS!$E$51:$E$56</c:f>
              <c:numCache>
                <c:formatCode>0.0%</c:formatCode>
                <c:ptCount val="5"/>
                <c:pt idx="0">
                  <c:v>6.1046511627906974E-2</c:v>
                </c:pt>
                <c:pt idx="1">
                  <c:v>0.4941860465116279</c:v>
                </c:pt>
                <c:pt idx="2">
                  <c:v>0.43313953488372092</c:v>
                </c:pt>
                <c:pt idx="3">
                  <c:v>0</c:v>
                </c:pt>
                <c:pt idx="4">
                  <c:v>1.1627906976744186E-2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D0-EC46-9B27-2A1CDA91A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[beneficiariesBDficty.xlsm]ANALISIS!Tabla dinámica3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s-CO"/>
              <a:t>GENERO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ANALISIS!$D$22</c:f>
              <c:strCache>
                <c:ptCount val="1"/>
                <c:pt idx="0">
                  <c:v>Cantidad - GENERO</c:v>
                </c:pt>
              </c:strCache>
            </c:strRef>
          </c:tx>
          <c:explosion val="25"/>
          <c:dLbls>
            <c:spPr/>
            <c:txPr>
              <a:bodyPr/>
              <a:lstStyle/>
              <a:p>
                <a:pPr>
                  <a:defRPr sz="1400" b="1"/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ANALISIS!$C$23:$C$25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ANALISIS!$D$23:$D$25</c:f>
              <c:numCache>
                <c:formatCode>General</c:formatCode>
                <c:ptCount val="2"/>
                <c:pt idx="0">
                  <c:v>164</c:v>
                </c:pt>
                <c:pt idx="1">
                  <c:v>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C6-9146-9944-90E8509128C4}"/>
            </c:ext>
          </c:extLst>
        </c:ser>
        <c:ser>
          <c:idx val="1"/>
          <c:order val="1"/>
          <c:tx>
            <c:strRef>
              <c:f>ANALISIS!$E$22</c:f>
              <c:strCache>
                <c:ptCount val="1"/>
                <c:pt idx="0">
                  <c:v>Porcentaje - GENERO</c:v>
                </c:pt>
              </c:strCache>
            </c:strRef>
          </c:tx>
          <c:explosion val="25"/>
          <c:cat>
            <c:strRef>
              <c:f>ANALISIS!$C$23:$C$25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ANALISIS!$E$23:$E$25</c:f>
              <c:numCache>
                <c:formatCode>0.0%</c:formatCode>
                <c:ptCount val="2"/>
                <c:pt idx="0">
                  <c:v>0.46857142857142858</c:v>
                </c:pt>
                <c:pt idx="1">
                  <c:v>0.53142857142857147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4C6-9146-9944-90E850912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  <c:txPr>
        <a:bodyPr/>
        <a:lstStyle/>
        <a:p>
          <a:pPr>
            <a:defRPr sz="1100"/>
          </a:pPr>
          <a:endParaRPr lang="es-C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[beneficiariesBDficty.xlsm]ANALISIS!Tabla dinámica8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s-CO"/>
              <a:t>EPS</a:t>
            </a:r>
          </a:p>
        </c:rich>
      </c:tx>
      <c:overlay val="0"/>
    </c:title>
    <c:autoTitleDeleted val="0"/>
    <c:pivotFmts>
      <c:pivotFmt>
        <c:idx val="0"/>
        <c:spPr>
          <a:solidFill>
            <a:schemeClr val="accent2">
              <a:lumMod val="60000"/>
              <a:lumOff val="40000"/>
            </a:schemeClr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lumMod val="60000"/>
              <a:lumOff val="40000"/>
            </a:schemeClr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  <c:dLbl>
          <c:idx val="0"/>
          <c:layout>
            <c:manualLayout>
              <c:x val="5.3968257614302108E-2"/>
              <c:y val="2.6745330228488306E-2"/>
            </c:manualLayout>
          </c:layout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layout>
            <c:manualLayout>
              <c:x val="5.3968257614302108E-2"/>
              <c:y val="2.6745330228488306E-2"/>
            </c:manualLayout>
          </c:layout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layout>
            <c:manualLayout>
              <c:x val="4.6675249828585605E-2"/>
              <c:y val="6.6863325571220765E-3"/>
            </c:manualLayout>
          </c:layout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layout>
            <c:manualLayout>
              <c:x val="3.6465038928582501E-2"/>
              <c:y val="3.3431662785610382E-3"/>
            </c:manualLayout>
          </c:layout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ANALISIS!$L$50</c:f>
              <c:strCache>
                <c:ptCount val="1"/>
                <c:pt idx="0">
                  <c:v>Cantidad - EPS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92A-1447-8514-CF1A4FA67163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92A-1447-8514-CF1A4FA67163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92A-1447-8514-CF1A4FA67163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92A-1447-8514-CF1A4FA67163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992A-1447-8514-CF1A4FA67163}"/>
              </c:ext>
            </c:extLst>
          </c:dPt>
          <c:cat>
            <c:strRef>
              <c:f>ANALISIS!$K$51:$K$83</c:f>
              <c:strCache>
                <c:ptCount val="32"/>
                <c:pt idx="0">
                  <c:v>CAPITAL SALUD EPS</c:v>
                </c:pt>
                <c:pt idx="1">
                  <c:v>EPS SANITAS</c:v>
                </c:pt>
                <c:pt idx="2">
                  <c:v>NO_SE_ENCUENTRA_AFILIADO</c:v>
                </c:pt>
                <c:pt idx="3">
                  <c:v>CAJACOPI EPS</c:v>
                </c:pt>
                <c:pt idx="4">
                  <c:v>FAMISANAR EPS</c:v>
                </c:pt>
                <c:pt idx="5">
                  <c:v>SALUD TOTAL EPS</c:v>
                </c:pt>
                <c:pt idx="6">
                  <c:v>COMPENSAR</c:v>
                </c:pt>
                <c:pt idx="7">
                  <c:v>ECOOPSOS</c:v>
                </c:pt>
                <c:pt idx="8">
                  <c:v>NUEVA EPS</c:v>
                </c:pt>
                <c:pt idx="9">
                  <c:v>COMPENSAR </c:v>
                </c:pt>
                <c:pt idx="10">
                  <c:v>ALIANSALUD EPS</c:v>
                </c:pt>
                <c:pt idx="11">
                  <c:v>SURA EPS</c:v>
                </c:pt>
                <c:pt idx="12">
                  <c:v>MEDIMÁS EPS</c:v>
                </c:pt>
                <c:pt idx="13">
                  <c:v>COOSALUD</c:v>
                </c:pt>
                <c:pt idx="14">
                  <c:v>(en blanco)</c:v>
                </c:pt>
                <c:pt idx="15">
                  <c:v>CAPITAL SALUD </c:v>
                </c:pt>
                <c:pt idx="16">
                  <c:v>FAMISANAR</c:v>
                </c:pt>
                <c:pt idx="17">
                  <c:v>SANITAS </c:v>
                </c:pt>
                <c:pt idx="18">
                  <c:v>SANITAS</c:v>
                </c:pt>
                <c:pt idx="19">
                  <c:v>SALUD TOTAL</c:v>
                </c:pt>
                <c:pt idx="20">
                  <c:v>CAPITAL SALUD</c:v>
                </c:pt>
                <c:pt idx="21">
                  <c:v>MUTUAL SER</c:v>
                </c:pt>
                <c:pt idx="22">
                  <c:v>FUERZAS MILITARES</c:v>
                </c:pt>
                <c:pt idx="23">
                  <c:v>SURAMERICANA</c:v>
                </c:pt>
                <c:pt idx="24">
                  <c:v>POLICÍA NACIONAL</c:v>
                </c:pt>
                <c:pt idx="25">
                  <c:v>COMFAMILIAR EPS</c:v>
                </c:pt>
                <c:pt idx="26">
                  <c:v>EMSSANAR EPS</c:v>
                </c:pt>
                <c:pt idx="27">
                  <c:v>SALUD INDÍGENA ANAS WAYUU EPS</c:v>
                </c:pt>
                <c:pt idx="28">
                  <c:v>EPS SURAMERCANA</c:v>
                </c:pt>
                <c:pt idx="29">
                  <c:v>ASMET</c:v>
                </c:pt>
                <c:pt idx="30">
                  <c:v>COOSALUD EPS S.A.</c:v>
                </c:pt>
                <c:pt idx="31">
                  <c:v>EPS SURAMERICANA S.A.</c:v>
                </c:pt>
              </c:strCache>
            </c:strRef>
          </c:cat>
          <c:val>
            <c:numRef>
              <c:f>ANALISIS!$L$51:$L$83</c:f>
              <c:numCache>
                <c:formatCode>General</c:formatCode>
                <c:ptCount val="32"/>
                <c:pt idx="0">
                  <c:v>94</c:v>
                </c:pt>
                <c:pt idx="1">
                  <c:v>26</c:v>
                </c:pt>
                <c:pt idx="2">
                  <c:v>21</c:v>
                </c:pt>
                <c:pt idx="3">
                  <c:v>2</c:v>
                </c:pt>
                <c:pt idx="4">
                  <c:v>49</c:v>
                </c:pt>
                <c:pt idx="5">
                  <c:v>32</c:v>
                </c:pt>
                <c:pt idx="6">
                  <c:v>27</c:v>
                </c:pt>
                <c:pt idx="7">
                  <c:v>1</c:v>
                </c:pt>
                <c:pt idx="8">
                  <c:v>32</c:v>
                </c:pt>
                <c:pt idx="9">
                  <c:v>2</c:v>
                </c:pt>
                <c:pt idx="10">
                  <c:v>5</c:v>
                </c:pt>
                <c:pt idx="11">
                  <c:v>15</c:v>
                </c:pt>
                <c:pt idx="12">
                  <c:v>1</c:v>
                </c:pt>
                <c:pt idx="13">
                  <c:v>4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7</c:v>
                </c:pt>
                <c:pt idx="21">
                  <c:v>1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92A-1447-8514-CF1A4FA67163}"/>
            </c:ext>
          </c:extLst>
        </c:ser>
        <c:ser>
          <c:idx val="1"/>
          <c:order val="1"/>
          <c:tx>
            <c:strRef>
              <c:f>ANALISIS!$M$50</c:f>
              <c:strCache>
                <c:ptCount val="1"/>
                <c:pt idx="0">
                  <c:v>Porcentaje - EPS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4.6675249828585605E-2"/>
                  <c:y val="6.686332557122076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0FD-4E4C-A301-0ACCF2A9BCF4}"/>
                </c:ext>
              </c:extLst>
            </c:dLbl>
            <c:dLbl>
              <c:idx val="1"/>
              <c:layout>
                <c:manualLayout>
                  <c:x val="5.3968257614302108E-2"/>
                  <c:y val="2.67453302284883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0FD-4E4C-A301-0ACCF2A9BCF4}"/>
                </c:ext>
              </c:extLst>
            </c:dLbl>
            <c:dLbl>
              <c:idx val="4"/>
              <c:layout>
                <c:manualLayout>
                  <c:x val="3.6465038928582501E-2"/>
                  <c:y val="3.34316627856103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0FD-4E4C-A301-0ACCF2A9BCF4}"/>
                </c:ext>
              </c:extLst>
            </c:dLbl>
            <c:spPr/>
            <c:txPr>
              <a:bodyPr/>
              <a:lstStyle/>
              <a:p>
                <a:pPr>
                  <a:defRPr sz="1400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ANALISIS!$K$51:$K$83</c:f>
              <c:strCache>
                <c:ptCount val="32"/>
                <c:pt idx="0">
                  <c:v>CAPITAL SALUD EPS</c:v>
                </c:pt>
                <c:pt idx="1">
                  <c:v>EPS SANITAS</c:v>
                </c:pt>
                <c:pt idx="2">
                  <c:v>NO_SE_ENCUENTRA_AFILIADO</c:v>
                </c:pt>
                <c:pt idx="3">
                  <c:v>CAJACOPI EPS</c:v>
                </c:pt>
                <c:pt idx="4">
                  <c:v>FAMISANAR EPS</c:v>
                </c:pt>
                <c:pt idx="5">
                  <c:v>SALUD TOTAL EPS</c:v>
                </c:pt>
                <c:pt idx="6">
                  <c:v>COMPENSAR</c:v>
                </c:pt>
                <c:pt idx="7">
                  <c:v>ECOOPSOS</c:v>
                </c:pt>
                <c:pt idx="8">
                  <c:v>NUEVA EPS</c:v>
                </c:pt>
                <c:pt idx="9">
                  <c:v>COMPENSAR </c:v>
                </c:pt>
                <c:pt idx="10">
                  <c:v>ALIANSALUD EPS</c:v>
                </c:pt>
                <c:pt idx="11">
                  <c:v>SURA EPS</c:v>
                </c:pt>
                <c:pt idx="12">
                  <c:v>MEDIMÁS EPS</c:v>
                </c:pt>
                <c:pt idx="13">
                  <c:v>COOSALUD</c:v>
                </c:pt>
                <c:pt idx="14">
                  <c:v>(en blanco)</c:v>
                </c:pt>
                <c:pt idx="15">
                  <c:v>CAPITAL SALUD </c:v>
                </c:pt>
                <c:pt idx="16">
                  <c:v>FAMISANAR</c:v>
                </c:pt>
                <c:pt idx="17">
                  <c:v>SANITAS </c:v>
                </c:pt>
                <c:pt idx="18">
                  <c:v>SANITAS</c:v>
                </c:pt>
                <c:pt idx="19">
                  <c:v>SALUD TOTAL</c:v>
                </c:pt>
                <c:pt idx="20">
                  <c:v>CAPITAL SALUD</c:v>
                </c:pt>
                <c:pt idx="21">
                  <c:v>MUTUAL SER</c:v>
                </c:pt>
                <c:pt idx="22">
                  <c:v>FUERZAS MILITARES</c:v>
                </c:pt>
                <c:pt idx="23">
                  <c:v>SURAMERICANA</c:v>
                </c:pt>
                <c:pt idx="24">
                  <c:v>POLICÍA NACIONAL</c:v>
                </c:pt>
                <c:pt idx="25">
                  <c:v>COMFAMILIAR EPS</c:v>
                </c:pt>
                <c:pt idx="26">
                  <c:v>EMSSANAR EPS</c:v>
                </c:pt>
                <c:pt idx="27">
                  <c:v>SALUD INDÍGENA ANAS WAYUU EPS</c:v>
                </c:pt>
                <c:pt idx="28">
                  <c:v>EPS SURAMERCANA</c:v>
                </c:pt>
                <c:pt idx="29">
                  <c:v>ASMET</c:v>
                </c:pt>
                <c:pt idx="30">
                  <c:v>COOSALUD EPS S.A.</c:v>
                </c:pt>
                <c:pt idx="31">
                  <c:v>EPS SURAMERICANA S.A.</c:v>
                </c:pt>
              </c:strCache>
            </c:strRef>
          </c:cat>
          <c:val>
            <c:numRef>
              <c:f>ANALISIS!$M$51:$M$83</c:f>
              <c:numCache>
                <c:formatCode>0.0%</c:formatCode>
                <c:ptCount val="32"/>
                <c:pt idx="0">
                  <c:v>0.27405247813411077</c:v>
                </c:pt>
                <c:pt idx="1">
                  <c:v>7.5801749271137031E-2</c:v>
                </c:pt>
                <c:pt idx="2">
                  <c:v>6.1224489795918366E-2</c:v>
                </c:pt>
                <c:pt idx="3">
                  <c:v>5.8309037900874635E-3</c:v>
                </c:pt>
                <c:pt idx="4">
                  <c:v>0.14285714285714285</c:v>
                </c:pt>
                <c:pt idx="5">
                  <c:v>9.3294460641399415E-2</c:v>
                </c:pt>
                <c:pt idx="6">
                  <c:v>7.8717201166180764E-2</c:v>
                </c:pt>
                <c:pt idx="7">
                  <c:v>2.9154518950437317E-3</c:v>
                </c:pt>
                <c:pt idx="8">
                  <c:v>9.3294460641399415E-2</c:v>
                </c:pt>
                <c:pt idx="9">
                  <c:v>5.8309037900874635E-3</c:v>
                </c:pt>
                <c:pt idx="10">
                  <c:v>1.4577259475218658E-2</c:v>
                </c:pt>
                <c:pt idx="11">
                  <c:v>4.3731778425655975E-2</c:v>
                </c:pt>
                <c:pt idx="12">
                  <c:v>2.9154518950437317E-3</c:v>
                </c:pt>
                <c:pt idx="13">
                  <c:v>1.1661807580174927E-2</c:v>
                </c:pt>
                <c:pt idx="14">
                  <c:v>0</c:v>
                </c:pt>
                <c:pt idx="15">
                  <c:v>5.8309037900874635E-3</c:v>
                </c:pt>
                <c:pt idx="16">
                  <c:v>8.7463556851311956E-3</c:v>
                </c:pt>
                <c:pt idx="17">
                  <c:v>2.9154518950437317E-3</c:v>
                </c:pt>
                <c:pt idx="18">
                  <c:v>2.9154518950437317E-3</c:v>
                </c:pt>
                <c:pt idx="19">
                  <c:v>5.8309037900874635E-3</c:v>
                </c:pt>
                <c:pt idx="20">
                  <c:v>2.0408163265306121E-2</c:v>
                </c:pt>
                <c:pt idx="21">
                  <c:v>2.9154518950437317E-3</c:v>
                </c:pt>
                <c:pt idx="22">
                  <c:v>5.8309037900874635E-3</c:v>
                </c:pt>
                <c:pt idx="23">
                  <c:v>5.8309037900874635E-3</c:v>
                </c:pt>
                <c:pt idx="24">
                  <c:v>5.8309037900874635E-3</c:v>
                </c:pt>
                <c:pt idx="25">
                  <c:v>2.9154518950437317E-3</c:v>
                </c:pt>
                <c:pt idx="26">
                  <c:v>2.9154518950437317E-3</c:v>
                </c:pt>
                <c:pt idx="27">
                  <c:v>2.9154518950437317E-3</c:v>
                </c:pt>
                <c:pt idx="28">
                  <c:v>2.9154518950437317E-3</c:v>
                </c:pt>
                <c:pt idx="29">
                  <c:v>2.9154518950437317E-3</c:v>
                </c:pt>
                <c:pt idx="30">
                  <c:v>2.9154518950437317E-3</c:v>
                </c:pt>
                <c:pt idx="31">
                  <c:v>8.7463556851311956E-3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92A-1447-8514-CF1A4FA67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9555072"/>
        <c:axId val="189540992"/>
        <c:axId val="0"/>
      </c:bar3DChart>
      <c:valAx>
        <c:axId val="189540992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189555072"/>
        <c:crosses val="autoZero"/>
        <c:crossBetween val="between"/>
      </c:valAx>
      <c:catAx>
        <c:axId val="18955507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b="1"/>
            </a:pPr>
            <a:endParaRPr lang="es-CO"/>
          </a:p>
        </c:txPr>
        <c:crossAx val="189540992"/>
        <c:crosses val="autoZero"/>
        <c:auto val="1"/>
        <c:lblAlgn val="ctr"/>
        <c:lblOffset val="100"/>
        <c:noMultiLvlLbl val="0"/>
      </c:catAx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3064923848365169"/>
          <c:y val="0.26078329069699485"/>
          <c:w val="0.1591405506163453"/>
          <c:h val="0.16743550716358929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[beneficiariesBDficty.xlsm]ANALISIS!Tabla dinámica9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PORCENTAJE - BENEFICIARIOS QUE CUENTAN CON EL CARNET DE VACUNACIÓN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60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ANALISIS!$D$81</c:f>
              <c:strCache>
                <c:ptCount val="1"/>
                <c:pt idx="0">
                  <c:v>Cantidad -  BENEFICIARIO QUE CUENTAN CON EL CARNET DE VACUNACIÓN</c:v>
                </c:pt>
              </c:strCache>
            </c:strRef>
          </c:tx>
          <c:explosion val="25"/>
          <c:dLbls>
            <c:spPr/>
            <c:txPr>
              <a:bodyPr/>
              <a:lstStyle/>
              <a:p>
                <a:pPr>
                  <a:defRPr sz="1600" b="1"/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ANALISIS!$C$82:$C$85</c:f>
              <c:strCache>
                <c:ptCount val="3"/>
                <c:pt idx="0">
                  <c:v>(en blanco)</c:v>
                </c:pt>
                <c:pt idx="1">
                  <c:v>SI_</c:v>
                </c:pt>
                <c:pt idx="2">
                  <c:v>NO_</c:v>
                </c:pt>
              </c:strCache>
            </c:strRef>
          </c:cat>
          <c:val>
            <c:numRef>
              <c:f>ANALISIS!$D$82:$D$85</c:f>
              <c:numCache>
                <c:formatCode>General</c:formatCode>
                <c:ptCount val="3"/>
                <c:pt idx="1">
                  <c:v>300</c:v>
                </c:pt>
                <c:pt idx="2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5A-3B4A-A67D-50177C3E08EF}"/>
            </c:ext>
          </c:extLst>
        </c:ser>
        <c:ser>
          <c:idx val="1"/>
          <c:order val="1"/>
          <c:tx>
            <c:strRef>
              <c:f>ANALISIS!$E$81</c:f>
              <c:strCache>
                <c:ptCount val="1"/>
                <c:pt idx="0">
                  <c:v>Porcentaje -  BENEFICIARIO QUE CUENTAN CON EL CARNET DE VACUNACIÓN</c:v>
                </c:pt>
              </c:strCache>
            </c:strRef>
          </c:tx>
          <c:explosion val="25"/>
          <c:cat>
            <c:strRef>
              <c:f>ANALISIS!$C$82:$C$85</c:f>
              <c:strCache>
                <c:ptCount val="3"/>
                <c:pt idx="0">
                  <c:v>(en blanco)</c:v>
                </c:pt>
                <c:pt idx="1">
                  <c:v>SI_</c:v>
                </c:pt>
                <c:pt idx="2">
                  <c:v>NO_</c:v>
                </c:pt>
              </c:strCache>
            </c:strRef>
          </c:cat>
          <c:val>
            <c:numRef>
              <c:f>ANALISIS!$E$82:$E$85</c:f>
              <c:numCache>
                <c:formatCode>0.0%</c:formatCode>
                <c:ptCount val="3"/>
                <c:pt idx="0">
                  <c:v>0</c:v>
                </c:pt>
                <c:pt idx="1">
                  <c:v>0.91463414634146345</c:v>
                </c:pt>
                <c:pt idx="2">
                  <c:v>8.5365853658536592E-2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5A-3B4A-A67D-50177C3E0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[beneficiariesBDficty.xlsm]ANALISIS!Tabla dinámica15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BENEFICIARIO SISBENIZADO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ANALISIS!$H$190</c:f>
              <c:strCache>
                <c:ptCount val="1"/>
                <c:pt idx="0">
                  <c:v>Cuenta de BENEFICIARIO SISBENIZADO</c:v>
                </c:pt>
              </c:strCache>
            </c:strRef>
          </c:tx>
          <c:explosion val="25"/>
          <c:dLbls>
            <c:spPr/>
            <c:txPr>
              <a:bodyPr/>
              <a:lstStyle/>
              <a:p>
                <a:pPr>
                  <a:defRPr sz="1400" b="1"/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ANALISIS!$G$191:$G$194</c:f>
              <c:strCache>
                <c:ptCount val="3"/>
                <c:pt idx="0">
                  <c:v>NO_</c:v>
                </c:pt>
                <c:pt idx="1">
                  <c:v>SI_</c:v>
                </c:pt>
                <c:pt idx="2">
                  <c:v>(en blanco)</c:v>
                </c:pt>
              </c:strCache>
            </c:strRef>
          </c:cat>
          <c:val>
            <c:numRef>
              <c:f>ANALISIS!$H$191:$H$194</c:f>
              <c:numCache>
                <c:formatCode>General</c:formatCode>
                <c:ptCount val="3"/>
                <c:pt idx="0">
                  <c:v>203</c:v>
                </c:pt>
                <c:pt idx="1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F0-C343-A382-63607C9949E4}"/>
            </c:ext>
          </c:extLst>
        </c:ser>
        <c:ser>
          <c:idx val="1"/>
          <c:order val="1"/>
          <c:tx>
            <c:strRef>
              <c:f>ANALISIS!$I$190</c:f>
              <c:strCache>
                <c:ptCount val="1"/>
                <c:pt idx="0">
                  <c:v>Cuenta de BENEFICIARIO SISBENIZADO2</c:v>
                </c:pt>
              </c:strCache>
            </c:strRef>
          </c:tx>
          <c:explosion val="25"/>
          <c:cat>
            <c:strRef>
              <c:f>ANALISIS!$G$191:$G$194</c:f>
              <c:strCache>
                <c:ptCount val="3"/>
                <c:pt idx="0">
                  <c:v>NO_</c:v>
                </c:pt>
                <c:pt idx="1">
                  <c:v>SI_</c:v>
                </c:pt>
                <c:pt idx="2">
                  <c:v>(en blanco)</c:v>
                </c:pt>
              </c:strCache>
            </c:strRef>
          </c:cat>
          <c:val>
            <c:numRef>
              <c:f>ANALISIS!$I$191:$I$194</c:f>
              <c:numCache>
                <c:formatCode>0.0%</c:formatCode>
                <c:ptCount val="3"/>
                <c:pt idx="0">
                  <c:v>0.60237388724035612</c:v>
                </c:pt>
                <c:pt idx="1">
                  <c:v>0.39762611275964393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F0-C343-A382-63607C994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pivotSource>
    <c:name>[beneficiariesBDficty.xlsm]ANALISIS!Tabla dinámica16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es-CO"/>
              <a:t>PUNTAJE</a:t>
            </a:r>
            <a:r>
              <a:rPr lang="es-CO" baseline="0"/>
              <a:t> SISBEN</a:t>
            </a:r>
            <a:endParaRPr lang="es-CO"/>
          </a:p>
        </c:rich>
      </c:tx>
      <c:overlay val="0"/>
    </c:title>
    <c:autoTitleDeleted val="0"/>
    <c:pivotFmts>
      <c:pivotFmt>
        <c:idx val="0"/>
        <c:spPr>
          <a:solidFill>
            <a:schemeClr val="accent4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400" b="1"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layout>
            <c:manualLayout>
              <c:x val="5.4821342855268206E-3"/>
              <c:y val="-0.5696929255373161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layout>
            <c:manualLayout>
              <c:x val="4.1116007141451154E-3"/>
              <c:y val="-0.52150994178540389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layout>
            <c:manualLayout>
              <c:x val="1.5075869285198756E-2"/>
              <c:y val="-0.44498402641471957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layout>
            <c:manualLayout>
              <c:x val="5.0252317098273871E-17"/>
              <c:y val="-0.35995523155840375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1.3705335713817051E-3"/>
              <c:y val="-0.1587204170651230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layout>
            <c:manualLayout>
              <c:x val="-5.4821342855268206E-3"/>
              <c:y val="-7.3691622208807067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050" b="1"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ANALISIS!$L$190</c:f>
              <c:strCache>
                <c:ptCount val="1"/>
                <c:pt idx="0">
                  <c:v>Cuenta de PUNTAJE SISBEN</c:v>
                </c:pt>
              </c:strCache>
            </c:strRef>
          </c:tx>
          <c:invertIfNegative val="0"/>
          <c:cat>
            <c:strRef>
              <c:f>ANALISIS!$K$191:$K$214</c:f>
              <c:strCache>
                <c:ptCount val="23"/>
                <c:pt idx="0">
                  <c:v>(en blanco)</c:v>
                </c:pt>
                <c:pt idx="1">
                  <c:v>B6</c:v>
                </c:pt>
                <c:pt idx="2">
                  <c:v>B5</c:v>
                </c:pt>
                <c:pt idx="3">
                  <c:v>A4</c:v>
                </c:pt>
                <c:pt idx="4">
                  <c:v>B4</c:v>
                </c:pt>
                <c:pt idx="5">
                  <c:v>B1</c:v>
                </c:pt>
                <c:pt idx="6">
                  <c:v>B2</c:v>
                </c:pt>
                <c:pt idx="7">
                  <c:v>C2</c:v>
                </c:pt>
                <c:pt idx="8">
                  <c:v>C6</c:v>
                </c:pt>
                <c:pt idx="9">
                  <c:v>B7</c:v>
                </c:pt>
                <c:pt idx="10">
                  <c:v>B3</c:v>
                </c:pt>
                <c:pt idx="11">
                  <c:v>C7</c:v>
                </c:pt>
                <c:pt idx="12">
                  <c:v>A2</c:v>
                </c:pt>
                <c:pt idx="13">
                  <c:v>C4</c:v>
                </c:pt>
                <c:pt idx="14">
                  <c:v>A3</c:v>
                </c:pt>
                <c:pt idx="15">
                  <c:v>A5</c:v>
                </c:pt>
                <c:pt idx="16">
                  <c:v>C1</c:v>
                </c:pt>
                <c:pt idx="17">
                  <c:v>C3</c:v>
                </c:pt>
                <c:pt idx="18">
                  <c:v>C5</c:v>
                </c:pt>
                <c:pt idx="19">
                  <c:v>A1</c:v>
                </c:pt>
                <c:pt idx="20">
                  <c:v>B8</c:v>
                </c:pt>
                <c:pt idx="21">
                  <c:v>C9</c:v>
                </c:pt>
                <c:pt idx="22">
                  <c:v>NO_</c:v>
                </c:pt>
              </c:strCache>
            </c:strRef>
          </c:cat>
          <c:val>
            <c:numRef>
              <c:f>ANALISIS!$L$191:$L$214</c:f>
              <c:numCache>
                <c:formatCode>General</c:formatCode>
                <c:ptCount val="23"/>
                <c:pt idx="1">
                  <c:v>4</c:v>
                </c:pt>
                <c:pt idx="2">
                  <c:v>8</c:v>
                </c:pt>
                <c:pt idx="3">
                  <c:v>15</c:v>
                </c:pt>
                <c:pt idx="4">
                  <c:v>10</c:v>
                </c:pt>
                <c:pt idx="5">
                  <c:v>11</c:v>
                </c:pt>
                <c:pt idx="6">
                  <c:v>9</c:v>
                </c:pt>
                <c:pt idx="7">
                  <c:v>6</c:v>
                </c:pt>
                <c:pt idx="8">
                  <c:v>3</c:v>
                </c:pt>
                <c:pt idx="9">
                  <c:v>9</c:v>
                </c:pt>
                <c:pt idx="10">
                  <c:v>14</c:v>
                </c:pt>
                <c:pt idx="11">
                  <c:v>1</c:v>
                </c:pt>
                <c:pt idx="12">
                  <c:v>10</c:v>
                </c:pt>
                <c:pt idx="13">
                  <c:v>1</c:v>
                </c:pt>
                <c:pt idx="14">
                  <c:v>8</c:v>
                </c:pt>
                <c:pt idx="15">
                  <c:v>5</c:v>
                </c:pt>
                <c:pt idx="16">
                  <c:v>6</c:v>
                </c:pt>
                <c:pt idx="17">
                  <c:v>2</c:v>
                </c:pt>
                <c:pt idx="18">
                  <c:v>2</c:v>
                </c:pt>
                <c:pt idx="19">
                  <c:v>8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CA-7F4B-B4C9-696C077314C9}"/>
            </c:ext>
          </c:extLst>
        </c:ser>
        <c:ser>
          <c:idx val="1"/>
          <c:order val="1"/>
          <c:tx>
            <c:strRef>
              <c:f>ANALISIS!$M$190</c:f>
              <c:strCache>
                <c:ptCount val="1"/>
                <c:pt idx="0">
                  <c:v>Porcentaje de PUNTAJE SISBEN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sz="1050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ANALISIS!$K$191:$K$214</c:f>
              <c:strCache>
                <c:ptCount val="23"/>
                <c:pt idx="0">
                  <c:v>(en blanco)</c:v>
                </c:pt>
                <c:pt idx="1">
                  <c:v>B6</c:v>
                </c:pt>
                <c:pt idx="2">
                  <c:v>B5</c:v>
                </c:pt>
                <c:pt idx="3">
                  <c:v>A4</c:v>
                </c:pt>
                <c:pt idx="4">
                  <c:v>B4</c:v>
                </c:pt>
                <c:pt idx="5">
                  <c:v>B1</c:v>
                </c:pt>
                <c:pt idx="6">
                  <c:v>B2</c:v>
                </c:pt>
                <c:pt idx="7">
                  <c:v>C2</c:v>
                </c:pt>
                <c:pt idx="8">
                  <c:v>C6</c:v>
                </c:pt>
                <c:pt idx="9">
                  <c:v>B7</c:v>
                </c:pt>
                <c:pt idx="10">
                  <c:v>B3</c:v>
                </c:pt>
                <c:pt idx="11">
                  <c:v>C7</c:v>
                </c:pt>
                <c:pt idx="12">
                  <c:v>A2</c:v>
                </c:pt>
                <c:pt idx="13">
                  <c:v>C4</c:v>
                </c:pt>
                <c:pt idx="14">
                  <c:v>A3</c:v>
                </c:pt>
                <c:pt idx="15">
                  <c:v>A5</c:v>
                </c:pt>
                <c:pt idx="16">
                  <c:v>C1</c:v>
                </c:pt>
                <c:pt idx="17">
                  <c:v>C3</c:v>
                </c:pt>
                <c:pt idx="18">
                  <c:v>C5</c:v>
                </c:pt>
                <c:pt idx="19">
                  <c:v>A1</c:v>
                </c:pt>
                <c:pt idx="20">
                  <c:v>B8</c:v>
                </c:pt>
                <c:pt idx="21">
                  <c:v>C9</c:v>
                </c:pt>
                <c:pt idx="22">
                  <c:v>NO_</c:v>
                </c:pt>
              </c:strCache>
            </c:strRef>
          </c:cat>
          <c:val>
            <c:numRef>
              <c:f>ANALISIS!$M$191:$M$214</c:f>
              <c:numCache>
                <c:formatCode>0.0%</c:formatCode>
                <c:ptCount val="23"/>
                <c:pt idx="0">
                  <c:v>0</c:v>
                </c:pt>
                <c:pt idx="1">
                  <c:v>2.9629629629629631E-2</c:v>
                </c:pt>
                <c:pt idx="2">
                  <c:v>5.9259259259259262E-2</c:v>
                </c:pt>
                <c:pt idx="3">
                  <c:v>0.1111111111111111</c:v>
                </c:pt>
                <c:pt idx="4">
                  <c:v>7.407407407407407E-2</c:v>
                </c:pt>
                <c:pt idx="5">
                  <c:v>8.1481481481481488E-2</c:v>
                </c:pt>
                <c:pt idx="6">
                  <c:v>6.6666666666666666E-2</c:v>
                </c:pt>
                <c:pt idx="7">
                  <c:v>4.4444444444444446E-2</c:v>
                </c:pt>
                <c:pt idx="8">
                  <c:v>2.2222222222222223E-2</c:v>
                </c:pt>
                <c:pt idx="9">
                  <c:v>6.6666666666666666E-2</c:v>
                </c:pt>
                <c:pt idx="10">
                  <c:v>0.1037037037037037</c:v>
                </c:pt>
                <c:pt idx="11">
                  <c:v>7.4074074074074077E-3</c:v>
                </c:pt>
                <c:pt idx="12">
                  <c:v>7.407407407407407E-2</c:v>
                </c:pt>
                <c:pt idx="13">
                  <c:v>7.4074074074074077E-3</c:v>
                </c:pt>
                <c:pt idx="14">
                  <c:v>5.9259259259259262E-2</c:v>
                </c:pt>
                <c:pt idx="15">
                  <c:v>3.7037037037037035E-2</c:v>
                </c:pt>
                <c:pt idx="16">
                  <c:v>4.4444444444444446E-2</c:v>
                </c:pt>
                <c:pt idx="17">
                  <c:v>1.4814814814814815E-2</c:v>
                </c:pt>
                <c:pt idx="18">
                  <c:v>1.4814814814814815E-2</c:v>
                </c:pt>
                <c:pt idx="19">
                  <c:v>5.9259259259259262E-2</c:v>
                </c:pt>
                <c:pt idx="20">
                  <c:v>7.4074074074074077E-3</c:v>
                </c:pt>
                <c:pt idx="21">
                  <c:v>7.4074074074074077E-3</c:v>
                </c:pt>
                <c:pt idx="22">
                  <c:v>7.4074074074074077E-3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CA-7F4B-B4C9-696C07731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189401728"/>
        <c:axId val="189400192"/>
        <c:axId val="0"/>
      </c:bar3DChart>
      <c:valAx>
        <c:axId val="189400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401728"/>
        <c:crosses val="autoZero"/>
        <c:crossBetween val="between"/>
      </c:valAx>
      <c:catAx>
        <c:axId val="1894017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9400192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[beneficiariesBDficty.xlsm]ANALISIS!Tabla dinámica1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DISCAPADIDAD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80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ANALISIS!$H$50</c:f>
              <c:strCache>
                <c:ptCount val="1"/>
                <c:pt idx="0">
                  <c:v>Cuenta de DISCAPACIDAD</c:v>
                </c:pt>
              </c:strCache>
            </c:strRef>
          </c:tx>
          <c:cat>
            <c:strRef>
              <c:f>ANALISIS!$G$51:$G$53</c:f>
              <c:strCache>
                <c:ptCount val="2"/>
                <c:pt idx="0">
                  <c:v>NO_</c:v>
                </c:pt>
                <c:pt idx="1">
                  <c:v>SI_</c:v>
                </c:pt>
              </c:strCache>
            </c:strRef>
          </c:cat>
          <c:val>
            <c:numRef>
              <c:f>ANALISIS!$H$51:$H$53</c:f>
              <c:numCache>
                <c:formatCode>General</c:formatCode>
                <c:ptCount val="2"/>
                <c:pt idx="0">
                  <c:v>347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EC-4178-B866-3E2AC01498F7}"/>
            </c:ext>
          </c:extLst>
        </c:ser>
        <c:ser>
          <c:idx val="1"/>
          <c:order val="1"/>
          <c:tx>
            <c:strRef>
              <c:f>ANALISIS!$I$50</c:f>
              <c:strCache>
                <c:ptCount val="1"/>
                <c:pt idx="0">
                  <c:v>Cuenta de DISCAPACIDAD2</c:v>
                </c:pt>
              </c:strCache>
            </c:strRef>
          </c:tx>
          <c:cat>
            <c:strRef>
              <c:f>ANALISIS!$G$51:$G$53</c:f>
              <c:strCache>
                <c:ptCount val="2"/>
                <c:pt idx="0">
                  <c:v>NO_</c:v>
                </c:pt>
                <c:pt idx="1">
                  <c:v>SI_</c:v>
                </c:pt>
              </c:strCache>
            </c:strRef>
          </c:cat>
          <c:val>
            <c:numRef>
              <c:f>ANALISIS!$I$51:$I$53</c:f>
              <c:numCache>
                <c:formatCode>0.00%</c:formatCode>
                <c:ptCount val="2"/>
                <c:pt idx="0">
                  <c:v>0.99142857142857144</c:v>
                </c:pt>
                <c:pt idx="1">
                  <c:v>8.5714285714285719E-3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EC-4178-B866-3E2AC0149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[beneficiariesBDficty.xlsm]ANALISIS!Tabla dinámica13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s-CO"/>
              <a:t>BARRIO</a:t>
            </a:r>
          </a:p>
        </c:rich>
      </c:tx>
      <c:overlay val="0"/>
    </c:title>
    <c:autoTitleDeleted val="0"/>
    <c:pivotFmts>
      <c:pivotFmt>
        <c:idx val="0"/>
        <c:spPr>
          <a:solidFill>
            <a:schemeClr val="accent4">
              <a:lumMod val="40000"/>
              <a:lumOff val="60000"/>
            </a:schemeClr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40000"/>
              <a:lumOff val="60000"/>
            </a:schemeClr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600" b="1"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layout>
            <c:manualLayout>
              <c:x val="0.14666666666666667"/>
              <c:y val="-3.9833427271218904E-3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layout>
            <c:manualLayout>
              <c:x val="0.17481481481481481"/>
              <c:y val="1.5933370908487562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layout>
            <c:manualLayout>
              <c:x val="0.18666666666666668"/>
              <c:y val="1.9916713635609453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layout>
            <c:manualLayout>
              <c:x val="0.16740740740740745"/>
              <c:y val="2.589172772629229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0.17481481481481481"/>
              <c:y val="4.7800112725462689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layout>
            <c:manualLayout>
              <c:x val="0.29185185185185186"/>
              <c:y val="4.5808441361901743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layout>
            <c:manualLayout>
              <c:x val="0.47555555555555556"/>
              <c:y val="0.10555858226873011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ANALISIS!$L$109</c:f>
              <c:strCache>
                <c:ptCount val="1"/>
                <c:pt idx="0">
                  <c:v>Cantidad -  BARRIO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cat>
            <c:strRef>
              <c:f>ANALISIS!$K$110:$K$172</c:f>
              <c:strCache>
                <c:ptCount val="62"/>
                <c:pt idx="0">
                  <c:v>EL NUEVO PORTAL</c:v>
                </c:pt>
                <c:pt idx="1">
                  <c:v>TIHUAQUE</c:v>
                </c:pt>
                <c:pt idx="2">
                  <c:v>PUERTA AL LLANO</c:v>
                </c:pt>
                <c:pt idx="3">
                  <c:v>EL REFUGIO</c:v>
                </c:pt>
                <c:pt idx="4">
                  <c:v>VILLA DIANA</c:v>
                </c:pt>
                <c:pt idx="5">
                  <c:v>PORTAL DEL DIVINO</c:v>
                </c:pt>
                <c:pt idx="6">
                  <c:v>EL UVAL</c:v>
                </c:pt>
                <c:pt idx="7">
                  <c:v>EL REFUGIO I Y II</c:v>
                </c:pt>
                <c:pt idx="8">
                  <c:v>EL NUEVO PORTAL II</c:v>
                </c:pt>
                <c:pt idx="9">
                  <c:v>JUAN JOSE RONDON</c:v>
                </c:pt>
                <c:pt idx="10">
                  <c:v>EL PROGRESO USME</c:v>
                </c:pt>
                <c:pt idx="11">
                  <c:v>ALFONSO LOPEZ SECTOR EL PROGRESO</c:v>
                </c:pt>
                <c:pt idx="12">
                  <c:v>EL PORTAL DEL DIVINO</c:v>
                </c:pt>
                <c:pt idx="13">
                  <c:v>LA REFORMA</c:v>
                </c:pt>
                <c:pt idx="14">
                  <c:v>LA ESMERALDA EL RECUERDO</c:v>
                </c:pt>
                <c:pt idx="15">
                  <c:v>VILLA HERMOSA</c:v>
                </c:pt>
                <c:pt idx="16">
                  <c:v>EL REFUGIO I</c:v>
                </c:pt>
                <c:pt idx="17">
                  <c:v>LA ORQUIDEA USME</c:v>
                </c:pt>
                <c:pt idx="18">
                  <c:v>LA ESMERALDA</c:v>
                </c:pt>
                <c:pt idx="19">
                  <c:v>BRISAS DEL LLANO</c:v>
                </c:pt>
                <c:pt idx="20">
                  <c:v>BOLONIA</c:v>
                </c:pt>
                <c:pt idx="21">
                  <c:v>NUEVO PORTAL II</c:v>
                </c:pt>
                <c:pt idx="22">
                  <c:v>LOS SOCHES</c:v>
                </c:pt>
                <c:pt idx="23">
                  <c:v>ALFONSO LOPEZ </c:v>
                </c:pt>
                <c:pt idx="24">
                  <c:v>BRAZUELOS</c:v>
                </c:pt>
                <c:pt idx="25">
                  <c:v>SAN PEDRO</c:v>
                </c:pt>
                <c:pt idx="26">
                  <c:v>ALFONSO LOPEZ SECTOR BUENOS AIRES</c:v>
                </c:pt>
                <c:pt idx="27">
                  <c:v>EL TUNO</c:v>
                </c:pt>
                <c:pt idx="28">
                  <c:v>ALFONSO LOPEZ</c:v>
                </c:pt>
                <c:pt idx="29">
                  <c:v>ALFONSO LOPEZ SECTOR CHARALA</c:v>
                </c:pt>
                <c:pt idx="30">
                  <c:v>EL NUEVO PORTAL LL RURAL</c:v>
                </c:pt>
                <c:pt idx="31">
                  <c:v>SAN PEDRO SUR </c:v>
                </c:pt>
                <c:pt idx="32">
                  <c:v>NUEVO PORTAL</c:v>
                </c:pt>
                <c:pt idx="33">
                  <c:v>LA ESPERANZA SUR</c:v>
                </c:pt>
                <c:pt idx="34">
                  <c:v>COMPOSTELA III</c:v>
                </c:pt>
                <c:pt idx="35">
                  <c:v>EL PARAISO</c:v>
                </c:pt>
                <c:pt idx="36">
                  <c:v>ZONA SIN LEGALIZAR (POLIGONO 195 EL REFUGIO LA ESMERALDA)</c:v>
                </c:pt>
                <c:pt idx="37">
                  <c:v>LA ESPERANZA</c:v>
                </c:pt>
                <c:pt idx="38">
                  <c:v>ALASKA</c:v>
                </c:pt>
                <c:pt idx="39">
                  <c:v>LA CABAÑA</c:v>
                </c:pt>
                <c:pt idx="40">
                  <c:v>COMUNEROS</c:v>
                </c:pt>
                <c:pt idx="41">
                  <c:v>NUEVO PORVENIR (59)</c:v>
                </c:pt>
                <c:pt idx="42">
                  <c:v>JUAN REY SUR</c:v>
                </c:pt>
                <c:pt idx="43">
                  <c:v>SAN FELIPE</c:v>
                </c:pt>
                <c:pt idx="44">
                  <c:v>BARRIO SIN LEGALIZAR</c:v>
                </c:pt>
                <c:pt idx="45">
                  <c:v>SAN LUIS</c:v>
                </c:pt>
                <c:pt idx="46">
                  <c:v>ZONA SIN LEGALIZAR (EL MIRADOR DE LA ESMERALDA CASA 3)</c:v>
                </c:pt>
                <c:pt idx="47">
                  <c:v>LA AURORA</c:v>
                </c:pt>
                <c:pt idx="48">
                  <c:v>CHUNIZA</c:v>
                </c:pt>
                <c:pt idx="49">
                  <c:v>REFUGIO I</c:v>
                </c:pt>
                <c:pt idx="50">
                  <c:v>EL CURUBO</c:v>
                </c:pt>
                <c:pt idx="51">
                  <c:v>EL NUEVO PORTAL 2</c:v>
                </c:pt>
                <c:pt idx="52">
                  <c:v>UVAL </c:v>
                </c:pt>
                <c:pt idx="53">
                  <c:v>EL BOSQUE</c:v>
                </c:pt>
                <c:pt idx="54">
                  <c:v>UVAL</c:v>
                </c:pt>
                <c:pt idx="55">
                  <c:v>CHICO SUR</c:v>
                </c:pt>
                <c:pt idx="56">
                  <c:v>TRIANGULO</c:v>
                </c:pt>
                <c:pt idx="57">
                  <c:v>YOMASITA</c:v>
                </c:pt>
                <c:pt idx="58">
                  <c:v>LA BELLEZA</c:v>
                </c:pt>
                <c:pt idx="59">
                  <c:v>ALFONSO LÓPEZ</c:v>
                </c:pt>
                <c:pt idx="60">
                  <c:v>PORTAL DE ORIENTE</c:v>
                </c:pt>
                <c:pt idx="61">
                  <c:v>(en blanco)</c:v>
                </c:pt>
              </c:strCache>
            </c:strRef>
          </c:cat>
          <c:val>
            <c:numRef>
              <c:f>ANALISIS!$L$110:$L$172</c:f>
              <c:numCache>
                <c:formatCode>General</c:formatCode>
                <c:ptCount val="62"/>
                <c:pt idx="0">
                  <c:v>48</c:v>
                </c:pt>
                <c:pt idx="1">
                  <c:v>36</c:v>
                </c:pt>
                <c:pt idx="2">
                  <c:v>32</c:v>
                </c:pt>
                <c:pt idx="3">
                  <c:v>25</c:v>
                </c:pt>
                <c:pt idx="4">
                  <c:v>19</c:v>
                </c:pt>
                <c:pt idx="5">
                  <c:v>16</c:v>
                </c:pt>
                <c:pt idx="6">
                  <c:v>13</c:v>
                </c:pt>
                <c:pt idx="7">
                  <c:v>13</c:v>
                </c:pt>
                <c:pt idx="8">
                  <c:v>12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7</c:v>
                </c:pt>
                <c:pt idx="13">
                  <c:v>5</c:v>
                </c:pt>
                <c:pt idx="14">
                  <c:v>5</c:v>
                </c:pt>
                <c:pt idx="15">
                  <c:v>4</c:v>
                </c:pt>
                <c:pt idx="16">
                  <c:v>4</c:v>
                </c:pt>
                <c:pt idx="17">
                  <c:v>3</c:v>
                </c:pt>
                <c:pt idx="18">
                  <c:v>3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60-E34E-AE9F-9D5F387D40CF}"/>
            </c:ext>
          </c:extLst>
        </c:ser>
        <c:ser>
          <c:idx val="1"/>
          <c:order val="1"/>
          <c:tx>
            <c:strRef>
              <c:f>ANALISIS!$M$109</c:f>
              <c:strCache>
                <c:ptCount val="1"/>
                <c:pt idx="0">
                  <c:v>Porcentaje - BARRIO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spPr/>
            <c:txPr>
              <a:bodyPr/>
              <a:lstStyle/>
              <a:p>
                <a:pPr>
                  <a:defRPr sz="1600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ANALISIS!$K$110:$K$172</c:f>
              <c:strCache>
                <c:ptCount val="62"/>
                <c:pt idx="0">
                  <c:v>EL NUEVO PORTAL</c:v>
                </c:pt>
                <c:pt idx="1">
                  <c:v>TIHUAQUE</c:v>
                </c:pt>
                <c:pt idx="2">
                  <c:v>PUERTA AL LLANO</c:v>
                </c:pt>
                <c:pt idx="3">
                  <c:v>EL REFUGIO</c:v>
                </c:pt>
                <c:pt idx="4">
                  <c:v>VILLA DIANA</c:v>
                </c:pt>
                <c:pt idx="5">
                  <c:v>PORTAL DEL DIVINO</c:v>
                </c:pt>
                <c:pt idx="6">
                  <c:v>EL UVAL</c:v>
                </c:pt>
                <c:pt idx="7">
                  <c:v>EL REFUGIO I Y II</c:v>
                </c:pt>
                <c:pt idx="8">
                  <c:v>EL NUEVO PORTAL II</c:v>
                </c:pt>
                <c:pt idx="9">
                  <c:v>JUAN JOSE RONDON</c:v>
                </c:pt>
                <c:pt idx="10">
                  <c:v>EL PROGRESO USME</c:v>
                </c:pt>
                <c:pt idx="11">
                  <c:v>ALFONSO LOPEZ SECTOR EL PROGRESO</c:v>
                </c:pt>
                <c:pt idx="12">
                  <c:v>EL PORTAL DEL DIVINO</c:v>
                </c:pt>
                <c:pt idx="13">
                  <c:v>LA REFORMA</c:v>
                </c:pt>
                <c:pt idx="14">
                  <c:v>LA ESMERALDA EL RECUERDO</c:v>
                </c:pt>
                <c:pt idx="15">
                  <c:v>VILLA HERMOSA</c:v>
                </c:pt>
                <c:pt idx="16">
                  <c:v>EL REFUGIO I</c:v>
                </c:pt>
                <c:pt idx="17">
                  <c:v>LA ORQUIDEA USME</c:v>
                </c:pt>
                <c:pt idx="18">
                  <c:v>LA ESMERALDA</c:v>
                </c:pt>
                <c:pt idx="19">
                  <c:v>BRISAS DEL LLANO</c:v>
                </c:pt>
                <c:pt idx="20">
                  <c:v>BOLONIA</c:v>
                </c:pt>
                <c:pt idx="21">
                  <c:v>NUEVO PORTAL II</c:v>
                </c:pt>
                <c:pt idx="22">
                  <c:v>LOS SOCHES</c:v>
                </c:pt>
                <c:pt idx="23">
                  <c:v>ALFONSO LOPEZ </c:v>
                </c:pt>
                <c:pt idx="24">
                  <c:v>BRAZUELOS</c:v>
                </c:pt>
                <c:pt idx="25">
                  <c:v>SAN PEDRO</c:v>
                </c:pt>
                <c:pt idx="26">
                  <c:v>ALFONSO LOPEZ SECTOR BUENOS AIRES</c:v>
                </c:pt>
                <c:pt idx="27">
                  <c:v>EL TUNO</c:v>
                </c:pt>
                <c:pt idx="28">
                  <c:v>ALFONSO LOPEZ</c:v>
                </c:pt>
                <c:pt idx="29">
                  <c:v>ALFONSO LOPEZ SECTOR CHARALA</c:v>
                </c:pt>
                <c:pt idx="30">
                  <c:v>EL NUEVO PORTAL LL RURAL</c:v>
                </c:pt>
                <c:pt idx="31">
                  <c:v>SAN PEDRO SUR </c:v>
                </c:pt>
                <c:pt idx="32">
                  <c:v>NUEVO PORTAL</c:v>
                </c:pt>
                <c:pt idx="33">
                  <c:v>LA ESPERANZA SUR</c:v>
                </c:pt>
                <c:pt idx="34">
                  <c:v>COMPOSTELA III</c:v>
                </c:pt>
                <c:pt idx="35">
                  <c:v>EL PARAISO</c:v>
                </c:pt>
                <c:pt idx="36">
                  <c:v>ZONA SIN LEGALIZAR (POLIGONO 195 EL REFUGIO LA ESMERALDA)</c:v>
                </c:pt>
                <c:pt idx="37">
                  <c:v>LA ESPERANZA</c:v>
                </c:pt>
                <c:pt idx="38">
                  <c:v>ALASKA</c:v>
                </c:pt>
                <c:pt idx="39">
                  <c:v>LA CABAÑA</c:v>
                </c:pt>
                <c:pt idx="40">
                  <c:v>COMUNEROS</c:v>
                </c:pt>
                <c:pt idx="41">
                  <c:v>NUEVO PORVENIR (59)</c:v>
                </c:pt>
                <c:pt idx="42">
                  <c:v>JUAN REY SUR</c:v>
                </c:pt>
                <c:pt idx="43">
                  <c:v>SAN FELIPE</c:v>
                </c:pt>
                <c:pt idx="44">
                  <c:v>BARRIO SIN LEGALIZAR</c:v>
                </c:pt>
                <c:pt idx="45">
                  <c:v>SAN LUIS</c:v>
                </c:pt>
                <c:pt idx="46">
                  <c:v>ZONA SIN LEGALIZAR (EL MIRADOR DE LA ESMERALDA CASA 3)</c:v>
                </c:pt>
                <c:pt idx="47">
                  <c:v>LA AURORA</c:v>
                </c:pt>
                <c:pt idx="48">
                  <c:v>CHUNIZA</c:v>
                </c:pt>
                <c:pt idx="49">
                  <c:v>REFUGIO I</c:v>
                </c:pt>
                <c:pt idx="50">
                  <c:v>EL CURUBO</c:v>
                </c:pt>
                <c:pt idx="51">
                  <c:v>EL NUEVO PORTAL 2</c:v>
                </c:pt>
                <c:pt idx="52">
                  <c:v>UVAL </c:v>
                </c:pt>
                <c:pt idx="53">
                  <c:v>EL BOSQUE</c:v>
                </c:pt>
                <c:pt idx="54">
                  <c:v>UVAL</c:v>
                </c:pt>
                <c:pt idx="55">
                  <c:v>CHICO SUR</c:v>
                </c:pt>
                <c:pt idx="56">
                  <c:v>TRIANGULO</c:v>
                </c:pt>
                <c:pt idx="57">
                  <c:v>YOMASITA</c:v>
                </c:pt>
                <c:pt idx="58">
                  <c:v>LA BELLEZA</c:v>
                </c:pt>
                <c:pt idx="59">
                  <c:v>ALFONSO LÓPEZ</c:v>
                </c:pt>
                <c:pt idx="60">
                  <c:v>PORTAL DE ORIENTE</c:v>
                </c:pt>
                <c:pt idx="61">
                  <c:v>(en blanco)</c:v>
                </c:pt>
              </c:strCache>
            </c:strRef>
          </c:cat>
          <c:val>
            <c:numRef>
              <c:f>ANALISIS!$M$110:$M$172</c:f>
              <c:numCache>
                <c:formatCode>0.0%</c:formatCode>
                <c:ptCount val="62"/>
                <c:pt idx="0">
                  <c:v>0.14906832298136646</c:v>
                </c:pt>
                <c:pt idx="1">
                  <c:v>0.11180124223602485</c:v>
                </c:pt>
                <c:pt idx="2">
                  <c:v>9.9378881987577633E-2</c:v>
                </c:pt>
                <c:pt idx="3">
                  <c:v>7.7639751552795025E-2</c:v>
                </c:pt>
                <c:pt idx="4">
                  <c:v>5.9006211180124224E-2</c:v>
                </c:pt>
                <c:pt idx="5">
                  <c:v>4.9689440993788817E-2</c:v>
                </c:pt>
                <c:pt idx="6">
                  <c:v>4.0372670807453416E-2</c:v>
                </c:pt>
                <c:pt idx="7">
                  <c:v>4.0372670807453416E-2</c:v>
                </c:pt>
                <c:pt idx="8">
                  <c:v>3.7267080745341616E-2</c:v>
                </c:pt>
                <c:pt idx="9">
                  <c:v>2.4844720496894408E-2</c:v>
                </c:pt>
                <c:pt idx="10">
                  <c:v>2.4844720496894408E-2</c:v>
                </c:pt>
                <c:pt idx="11">
                  <c:v>2.4844720496894408E-2</c:v>
                </c:pt>
                <c:pt idx="12">
                  <c:v>2.1739130434782608E-2</c:v>
                </c:pt>
                <c:pt idx="13">
                  <c:v>1.5527950310559006E-2</c:v>
                </c:pt>
                <c:pt idx="14">
                  <c:v>1.5527950310559006E-2</c:v>
                </c:pt>
                <c:pt idx="15">
                  <c:v>1.2422360248447204E-2</c:v>
                </c:pt>
                <c:pt idx="16">
                  <c:v>1.2422360248447204E-2</c:v>
                </c:pt>
                <c:pt idx="17">
                  <c:v>9.316770186335404E-3</c:v>
                </c:pt>
                <c:pt idx="18">
                  <c:v>9.316770186335404E-3</c:v>
                </c:pt>
                <c:pt idx="19">
                  <c:v>6.2111801242236021E-3</c:v>
                </c:pt>
                <c:pt idx="20">
                  <c:v>6.2111801242236021E-3</c:v>
                </c:pt>
                <c:pt idx="21">
                  <c:v>6.2111801242236021E-3</c:v>
                </c:pt>
                <c:pt idx="22">
                  <c:v>6.2111801242236021E-3</c:v>
                </c:pt>
                <c:pt idx="23">
                  <c:v>6.2111801242236021E-3</c:v>
                </c:pt>
                <c:pt idx="24">
                  <c:v>6.2111801242236021E-3</c:v>
                </c:pt>
                <c:pt idx="25">
                  <c:v>6.2111801242236021E-3</c:v>
                </c:pt>
                <c:pt idx="26">
                  <c:v>6.2111801242236021E-3</c:v>
                </c:pt>
                <c:pt idx="27">
                  <c:v>6.2111801242236021E-3</c:v>
                </c:pt>
                <c:pt idx="28">
                  <c:v>6.2111801242236021E-3</c:v>
                </c:pt>
                <c:pt idx="29">
                  <c:v>6.2111801242236021E-3</c:v>
                </c:pt>
                <c:pt idx="30">
                  <c:v>3.105590062111801E-3</c:v>
                </c:pt>
                <c:pt idx="31">
                  <c:v>3.105590062111801E-3</c:v>
                </c:pt>
                <c:pt idx="32">
                  <c:v>3.105590062111801E-3</c:v>
                </c:pt>
                <c:pt idx="33">
                  <c:v>3.105590062111801E-3</c:v>
                </c:pt>
                <c:pt idx="34">
                  <c:v>3.105590062111801E-3</c:v>
                </c:pt>
                <c:pt idx="35">
                  <c:v>3.105590062111801E-3</c:v>
                </c:pt>
                <c:pt idx="36">
                  <c:v>3.105590062111801E-3</c:v>
                </c:pt>
                <c:pt idx="37">
                  <c:v>3.105590062111801E-3</c:v>
                </c:pt>
                <c:pt idx="38">
                  <c:v>3.105590062111801E-3</c:v>
                </c:pt>
                <c:pt idx="39">
                  <c:v>3.105590062111801E-3</c:v>
                </c:pt>
                <c:pt idx="40">
                  <c:v>3.105590062111801E-3</c:v>
                </c:pt>
                <c:pt idx="41">
                  <c:v>3.105590062111801E-3</c:v>
                </c:pt>
                <c:pt idx="42">
                  <c:v>3.105590062111801E-3</c:v>
                </c:pt>
                <c:pt idx="43">
                  <c:v>3.105590062111801E-3</c:v>
                </c:pt>
                <c:pt idx="44">
                  <c:v>3.105590062111801E-3</c:v>
                </c:pt>
                <c:pt idx="45">
                  <c:v>3.105590062111801E-3</c:v>
                </c:pt>
                <c:pt idx="46">
                  <c:v>3.105590062111801E-3</c:v>
                </c:pt>
                <c:pt idx="47">
                  <c:v>3.105590062111801E-3</c:v>
                </c:pt>
                <c:pt idx="48">
                  <c:v>3.105590062111801E-3</c:v>
                </c:pt>
                <c:pt idx="49">
                  <c:v>3.105590062111801E-3</c:v>
                </c:pt>
                <c:pt idx="50">
                  <c:v>3.105590062111801E-3</c:v>
                </c:pt>
                <c:pt idx="51">
                  <c:v>3.105590062111801E-3</c:v>
                </c:pt>
                <c:pt idx="52">
                  <c:v>3.105590062111801E-3</c:v>
                </c:pt>
                <c:pt idx="53">
                  <c:v>3.105590062111801E-3</c:v>
                </c:pt>
                <c:pt idx="54">
                  <c:v>3.105590062111801E-3</c:v>
                </c:pt>
                <c:pt idx="55">
                  <c:v>3.105590062111801E-3</c:v>
                </c:pt>
                <c:pt idx="56">
                  <c:v>3.105590062111801E-3</c:v>
                </c:pt>
                <c:pt idx="57">
                  <c:v>3.105590062111801E-3</c:v>
                </c:pt>
                <c:pt idx="58">
                  <c:v>3.105590062111801E-3</c:v>
                </c:pt>
                <c:pt idx="59">
                  <c:v>3.105590062111801E-3</c:v>
                </c:pt>
                <c:pt idx="60">
                  <c:v>3.105590062111801E-3</c:v>
                </c:pt>
                <c:pt idx="6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60-E34E-AE9F-9D5F387D4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9960576"/>
        <c:axId val="189942400"/>
        <c:axId val="0"/>
      </c:bar3DChart>
      <c:valAx>
        <c:axId val="18994240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89960576"/>
        <c:crosses val="autoZero"/>
        <c:crossBetween val="between"/>
      </c:valAx>
      <c:catAx>
        <c:axId val="18996057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189942400"/>
        <c:crosses val="autoZero"/>
        <c:auto val="1"/>
        <c:lblAlgn val="ctr"/>
        <c:lblOffset val="100"/>
        <c:noMultiLvlLbl val="0"/>
      </c:catAx>
    </c:plotArea>
    <c:legend>
      <c:legendPos val="r"/>
      <c:legendEntry>
        <c:idx val="1"/>
        <c:delete val="1"/>
      </c:legendEntry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[beneficiariesBDficty.xlsm]ANALISIS!Tabla dinámica12</c:name>
    <c:fmtId val="5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NOMBRE LOCALIDAD/COMUNAS/NOMBRE DE ZONA RESTO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20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ANALISIS!$H$109</c:f>
              <c:strCache>
                <c:ptCount val="1"/>
                <c:pt idx="0">
                  <c:v>Cantidad NOMBRE LOCALIDAD/COMUNAS/NOMBRE DE ZONA RESTO</c:v>
                </c:pt>
              </c:strCache>
            </c:strRef>
          </c:tx>
          <c:explosion val="25"/>
          <c:dLbls>
            <c:spPr/>
            <c:txPr>
              <a:bodyPr/>
              <a:lstStyle/>
              <a:p>
                <a:pPr>
                  <a:defRPr sz="1200" b="1"/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ANALISIS!$G$110:$G$113</c:f>
              <c:strCache>
                <c:ptCount val="3"/>
                <c:pt idx="0">
                  <c:v>OTRO</c:v>
                </c:pt>
                <c:pt idx="1">
                  <c:v>(en blanco)</c:v>
                </c:pt>
                <c:pt idx="2">
                  <c:v>USME</c:v>
                </c:pt>
              </c:strCache>
            </c:strRef>
          </c:cat>
          <c:val>
            <c:numRef>
              <c:f>ANALISIS!$H$110:$H$113</c:f>
              <c:numCache>
                <c:formatCode>General</c:formatCode>
                <c:ptCount val="3"/>
                <c:pt idx="0">
                  <c:v>2</c:v>
                </c:pt>
                <c:pt idx="2">
                  <c:v>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74-4A0C-AC85-B3C3E6428B32}"/>
            </c:ext>
          </c:extLst>
        </c:ser>
        <c:ser>
          <c:idx val="1"/>
          <c:order val="1"/>
          <c:tx>
            <c:strRef>
              <c:f>ANALISIS!$I$109</c:f>
              <c:strCache>
                <c:ptCount val="1"/>
                <c:pt idx="0">
                  <c:v>Porcentaje NOMBRE LOCALIDAD/COMUNAS/NOMBRE DE ZONA RESTO2</c:v>
                </c:pt>
              </c:strCache>
            </c:strRef>
          </c:tx>
          <c:explosion val="25"/>
          <c:cat>
            <c:strRef>
              <c:f>ANALISIS!$G$110:$G$113</c:f>
              <c:strCache>
                <c:ptCount val="3"/>
                <c:pt idx="0">
                  <c:v>OTRO</c:v>
                </c:pt>
                <c:pt idx="1">
                  <c:v>(en blanco)</c:v>
                </c:pt>
                <c:pt idx="2">
                  <c:v>USME</c:v>
                </c:pt>
              </c:strCache>
            </c:strRef>
          </c:cat>
          <c:val>
            <c:numRef>
              <c:f>ANALISIS!$I$110:$I$113</c:f>
              <c:numCache>
                <c:formatCode>0.0%</c:formatCode>
                <c:ptCount val="3"/>
                <c:pt idx="0">
                  <c:v>5.7306590257879654E-3</c:v>
                </c:pt>
                <c:pt idx="1">
                  <c:v>0</c:v>
                </c:pt>
                <c:pt idx="2">
                  <c:v>0.99426934097421205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74-4A0C-AC85-B3C3E6428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[beneficiariesBDficty.xlsm]ANALISIS!Tabla dinámica11</c:name>
    <c:fmtId val="2"/>
  </c:pivotSource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05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ANALISIS!$D$109</c:f>
              <c:strCache>
                <c:ptCount val="1"/>
                <c:pt idx="0">
                  <c:v>Cantidad - ZONA DE UBICACIÓN</c:v>
                </c:pt>
              </c:strCache>
            </c:strRef>
          </c:tx>
          <c:explosion val="25"/>
          <c:dLbls>
            <c:spPr/>
            <c:txPr>
              <a:bodyPr/>
              <a:lstStyle/>
              <a:p>
                <a:pPr>
                  <a:defRPr sz="1050" b="1"/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ANALISIS!$C$110:$C$112</c:f>
              <c:strCache>
                <c:ptCount val="2"/>
                <c:pt idx="0">
                  <c:v>CABECERA</c:v>
                </c:pt>
                <c:pt idx="1">
                  <c:v>RESTO</c:v>
                </c:pt>
              </c:strCache>
            </c:strRef>
          </c:cat>
          <c:val>
            <c:numRef>
              <c:f>ANALISIS!$D$110:$D$112</c:f>
              <c:numCache>
                <c:formatCode>General</c:formatCode>
                <c:ptCount val="2"/>
                <c:pt idx="0">
                  <c:v>342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C3-4E9D-80DD-76F0131117B3}"/>
            </c:ext>
          </c:extLst>
        </c:ser>
        <c:ser>
          <c:idx val="1"/>
          <c:order val="1"/>
          <c:tx>
            <c:strRef>
              <c:f>ANALISIS!$E$109</c:f>
              <c:strCache>
                <c:ptCount val="1"/>
                <c:pt idx="0">
                  <c:v>Porcentaje -  ZONA DE UBICACIÓN2</c:v>
                </c:pt>
              </c:strCache>
            </c:strRef>
          </c:tx>
          <c:explosion val="25"/>
          <c:cat>
            <c:strRef>
              <c:f>ANALISIS!$C$110:$C$112</c:f>
              <c:strCache>
                <c:ptCount val="2"/>
                <c:pt idx="0">
                  <c:v>CABECERA</c:v>
                </c:pt>
                <c:pt idx="1">
                  <c:v>RESTO</c:v>
                </c:pt>
              </c:strCache>
            </c:strRef>
          </c:cat>
          <c:val>
            <c:numRef>
              <c:f>ANALISIS!$E$110:$E$112</c:f>
              <c:numCache>
                <c:formatCode>0.0%</c:formatCode>
                <c:ptCount val="2"/>
                <c:pt idx="0">
                  <c:v>0.97714285714285709</c:v>
                </c:pt>
                <c:pt idx="1">
                  <c:v>2.2857142857142857E-2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C3-4E9D-80DD-76F013111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[beneficiariesBDficty.xlsm]ANALISIS!Tabla dinámica10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BENEFICIARIO QUE PRESENTA CARNET DE CRECIMIENTO Y DESARROLLO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</c:spPr>
          <c:txPr>
            <a:bodyPr/>
            <a:lstStyle/>
            <a:p>
              <a:pPr>
                <a:defRPr sz="1050" b="1"/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ANALISIS!$H$81</c:f>
              <c:strCache>
                <c:ptCount val="1"/>
                <c:pt idx="0">
                  <c:v>Cantidad -  BENEFICIARIO QUE PRESENTA CARNET DE CRECIMIENTO Y DESARROLLO</c:v>
                </c:pt>
              </c:strCache>
            </c:strRef>
          </c:tx>
          <c:explosion val="25"/>
          <c:dLbls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sz="1050" b="1"/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ANALISIS!$G$82:$G$86</c:f>
              <c:strCache>
                <c:ptCount val="4"/>
                <c:pt idx="0">
                  <c:v>NO_</c:v>
                </c:pt>
                <c:pt idx="1">
                  <c:v>SI_</c:v>
                </c:pt>
                <c:pt idx="2">
                  <c:v>(en blanco)</c:v>
                </c:pt>
                <c:pt idx="3">
                  <c:v>NO</c:v>
                </c:pt>
              </c:strCache>
            </c:strRef>
          </c:cat>
          <c:val>
            <c:numRef>
              <c:f>ANALISIS!$H$82:$H$86</c:f>
              <c:numCache>
                <c:formatCode>General</c:formatCode>
                <c:ptCount val="4"/>
                <c:pt idx="0">
                  <c:v>107</c:v>
                </c:pt>
                <c:pt idx="1">
                  <c:v>205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DB-4B8D-8BAB-576A8E38F020}"/>
            </c:ext>
          </c:extLst>
        </c:ser>
        <c:ser>
          <c:idx val="1"/>
          <c:order val="1"/>
          <c:tx>
            <c:strRef>
              <c:f>ANALISIS!$I$81</c:f>
              <c:strCache>
                <c:ptCount val="1"/>
                <c:pt idx="0">
                  <c:v>Porcentaje - BENEFICIARIO QUE PRESENTA CARNET DE CRECIMIENTO Y DESARROLLO</c:v>
                </c:pt>
              </c:strCache>
            </c:strRef>
          </c:tx>
          <c:explosion val="25"/>
          <c:cat>
            <c:strRef>
              <c:f>ANALISIS!$G$82:$G$86</c:f>
              <c:strCache>
                <c:ptCount val="4"/>
                <c:pt idx="0">
                  <c:v>NO_</c:v>
                </c:pt>
                <c:pt idx="1">
                  <c:v>SI_</c:v>
                </c:pt>
                <c:pt idx="2">
                  <c:v>(en blanco)</c:v>
                </c:pt>
                <c:pt idx="3">
                  <c:v>NO</c:v>
                </c:pt>
              </c:strCache>
            </c:strRef>
          </c:cat>
          <c:val>
            <c:numRef>
              <c:f>ANALISIS!$I$82:$I$86</c:f>
              <c:numCache>
                <c:formatCode>0.0%</c:formatCode>
                <c:ptCount val="4"/>
                <c:pt idx="0">
                  <c:v>0.34185303514376997</c:v>
                </c:pt>
                <c:pt idx="1">
                  <c:v>0.65495207667731625</c:v>
                </c:pt>
                <c:pt idx="2">
                  <c:v>0</c:v>
                </c:pt>
                <c:pt idx="3">
                  <c:v>3.1948881789137379E-3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DB-4B8D-8BAB-576A8E38F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123265</xdr:colOff>
      <xdr:row>1</xdr:row>
      <xdr:rowOff>44823</xdr:rowOff>
    </xdr:from>
    <xdr:to>
      <xdr:col>0</xdr:col>
      <xdr:colOff>784063</xdr:colOff>
      <xdr:row>3</xdr:row>
      <xdr:rowOff>222682</xdr:rowOff>
    </xdr:to>
    <xdr:pic macro="[0]!Actualizar_Macro"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25" r="9858" b="19842"/>
        <a:stretch/>
      </xdr:blipFill>
      <xdr:spPr>
        <a:xfrm>
          <a:off x="123265" y="246529"/>
          <a:ext cx="660798" cy="724414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</xdr:row>
      <xdr:rowOff>100852</xdr:rowOff>
    </xdr:from>
    <xdr:to>
      <xdr:col>2</xdr:col>
      <xdr:colOff>565547</xdr:colOff>
      <xdr:row>4</xdr:row>
      <xdr:rowOff>160385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74912" y="302558"/>
          <a:ext cx="1327547" cy="6310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100" b="1" i="1"/>
            <a:t>Haga</a:t>
          </a:r>
          <a:r>
            <a:rPr lang="es-CO" sz="1100" b="1" i="1" baseline="0"/>
            <a:t> clic en el logo para actualizar tablas dinámicas</a:t>
          </a:r>
        </a:p>
        <a:p>
          <a:endParaRPr lang="es-CO" sz="1100"/>
        </a:p>
      </xdr:txBody>
    </xdr:sp>
    <xdr:clientData/>
  </xdr:twoCellAnchor>
  <xdr:twoCellAnchor editAs="absolute">
    <xdr:from>
      <xdr:col>5</xdr:col>
      <xdr:colOff>766444</xdr:colOff>
      <xdr:row>1</xdr:row>
      <xdr:rowOff>154866</xdr:rowOff>
    </xdr:from>
    <xdr:to>
      <xdr:col>6</xdr:col>
      <xdr:colOff>1767549</xdr:colOff>
      <xdr:row>5</xdr:row>
      <xdr:rowOff>398431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AÑOS">
              <a:extLst>
                <a:ext uri="{FF2B5EF4-FFF2-40B4-BE49-F238E27FC236}">
                  <a16:creationId xmlns:a16="http://schemas.microsoft.com/office/drawing/2014/main" id="{004B8770-F6FF-0747-8535-97EB02FC8E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73066" y="478591"/>
              <a:ext cx="2582130" cy="15135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7</xdr:col>
      <xdr:colOff>37</xdr:colOff>
      <xdr:row>1</xdr:row>
      <xdr:rowOff>151880</xdr:rowOff>
    </xdr:from>
    <xdr:to>
      <xdr:col>8</xdr:col>
      <xdr:colOff>23932</xdr:colOff>
      <xdr:row>5</xdr:row>
      <xdr:rowOff>255104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MESES">
              <a:extLst>
                <a:ext uri="{FF2B5EF4-FFF2-40B4-BE49-F238E27FC236}">
                  <a16:creationId xmlns:a16="http://schemas.microsoft.com/office/drawing/2014/main" id="{DE963D0A-6011-FD49-A334-226B1C3207F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67630" y="484499"/>
              <a:ext cx="1800588" cy="13429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281484</xdr:colOff>
      <xdr:row>0</xdr:row>
      <xdr:rowOff>51689</xdr:rowOff>
    </xdr:from>
    <xdr:to>
      <xdr:col>10</xdr:col>
      <xdr:colOff>1000927</xdr:colOff>
      <xdr:row>5</xdr:row>
      <xdr:rowOff>362858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DIAS">
              <a:extLst>
                <a:ext uri="{FF2B5EF4-FFF2-40B4-BE49-F238E27FC236}">
                  <a16:creationId xmlns:a16="http://schemas.microsoft.com/office/drawing/2014/main" id="{6981E306-6981-A24B-A200-73C3C3E1632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A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461008" y="51689"/>
              <a:ext cx="2654681" cy="1883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689428</xdr:colOff>
      <xdr:row>1</xdr:row>
      <xdr:rowOff>47776</xdr:rowOff>
    </xdr:from>
    <xdr:to>
      <xdr:col>1</xdr:col>
      <xdr:colOff>1741714</xdr:colOff>
      <xdr:row>6</xdr:row>
      <xdr:rowOff>604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¿ACTIVO O INACTIVO?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¿ACTIVO O INACTIVO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9428" y="247347"/>
              <a:ext cx="1886857" cy="9506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602342</xdr:colOff>
      <xdr:row>0</xdr:row>
      <xdr:rowOff>180218</xdr:rowOff>
    </xdr:from>
    <xdr:to>
      <xdr:col>4</xdr:col>
      <xdr:colOff>1161142</xdr:colOff>
      <xdr:row>8</xdr:row>
      <xdr:rowOff>40347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UNIDAD 1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NIDAD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91628" y="180218"/>
              <a:ext cx="1846943" cy="1456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1601259</xdr:colOff>
      <xdr:row>1</xdr:row>
      <xdr:rowOff>1058</xdr:rowOff>
    </xdr:from>
    <xdr:to>
      <xdr:col>10</xdr:col>
      <xdr:colOff>89925</xdr:colOff>
      <xdr:row>8</xdr:row>
      <xdr:rowOff>57954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UPLA 1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UPL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93402" y="200629"/>
              <a:ext cx="4784237" cy="145389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730935</xdr:colOff>
      <xdr:row>1</xdr:row>
      <xdr:rowOff>4215</xdr:rowOff>
    </xdr:from>
    <xdr:to>
      <xdr:col>17</xdr:col>
      <xdr:colOff>237736</xdr:colOff>
      <xdr:row>8</xdr:row>
      <xdr:rowOff>63915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DOCENTE 1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CEN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732810" y="194715"/>
              <a:ext cx="4078800" cy="139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128814</xdr:colOff>
      <xdr:row>25</xdr:row>
      <xdr:rowOff>85272</xdr:rowOff>
    </xdr:from>
    <xdr:to>
      <xdr:col>10</xdr:col>
      <xdr:colOff>798285</xdr:colOff>
      <xdr:row>30</xdr:row>
      <xdr:rowOff>205713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AÑOS 1">
              <a:extLst>
                <a:ext uri="{FF2B5EF4-FFF2-40B4-BE49-F238E27FC236}">
                  <a16:creationId xmlns:a16="http://schemas.microsoft.com/office/drawing/2014/main" id="{37F95B26-D849-3346-8A61-D885EFDE465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647385" y="5292272"/>
              <a:ext cx="2338614" cy="17653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215899</xdr:colOff>
      <xdr:row>3</xdr:row>
      <xdr:rowOff>179480</xdr:rowOff>
    </xdr:from>
    <xdr:to>
      <xdr:col>11</xdr:col>
      <xdr:colOff>590177</xdr:colOff>
      <xdr:row>7</xdr:row>
      <xdr:rowOff>72465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¿ACTIVO O INACTIVO? 2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¿ACTIVO O INACTIVO?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29781" y="762186"/>
              <a:ext cx="2017808" cy="111816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</xdr:colOff>
      <xdr:row>28</xdr:row>
      <xdr:rowOff>95249</xdr:rowOff>
    </xdr:from>
    <xdr:to>
      <xdr:col>8</xdr:col>
      <xdr:colOff>1510392</xdr:colOff>
      <xdr:row>41</xdr:row>
      <xdr:rowOff>176892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280121</xdr:colOff>
      <xdr:row>196</xdr:row>
      <xdr:rowOff>109105</xdr:rowOff>
    </xdr:from>
    <xdr:to>
      <xdr:col>4</xdr:col>
      <xdr:colOff>1275050</xdr:colOff>
      <xdr:row>209</xdr:row>
      <xdr:rowOff>90055</xdr:rowOff>
    </xdr:to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34018</xdr:colOff>
      <xdr:row>1</xdr:row>
      <xdr:rowOff>56903</xdr:rowOff>
    </xdr:from>
    <xdr:to>
      <xdr:col>3</xdr:col>
      <xdr:colOff>304100</xdr:colOff>
      <xdr:row>6</xdr:row>
      <xdr:rowOff>124939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¿ACTIVO O INACTIVO? 1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¿ACTIVO O INACTIVO?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8018" y="247403"/>
              <a:ext cx="2016332" cy="10205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>
    <xdr:from>
      <xdr:col>10</xdr:col>
      <xdr:colOff>187097</xdr:colOff>
      <xdr:row>29</xdr:row>
      <xdr:rowOff>47624</xdr:rowOff>
    </xdr:from>
    <xdr:to>
      <xdr:col>12</xdr:col>
      <xdr:colOff>2173741</xdr:colOff>
      <xdr:row>42</xdr:row>
      <xdr:rowOff>115660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136071</xdr:colOff>
      <xdr:row>56</xdr:row>
      <xdr:rowOff>57149</xdr:rowOff>
    </xdr:from>
    <xdr:to>
      <xdr:col>4</xdr:col>
      <xdr:colOff>1728107</xdr:colOff>
      <xdr:row>71</xdr:row>
      <xdr:rowOff>13606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108857</xdr:colOff>
      <xdr:row>28</xdr:row>
      <xdr:rowOff>174512</xdr:rowOff>
    </xdr:from>
    <xdr:to>
      <xdr:col>4</xdr:col>
      <xdr:colOff>816428</xdr:colOff>
      <xdr:row>43</xdr:row>
      <xdr:rowOff>0</xdr:rowOff>
    </xdr:to>
    <xdr:graphicFrame macro="">
      <xdr:nvGraphicFramePr>
        <xdr:cNvPr id="9" name="8 Gráfico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187320</xdr:colOff>
      <xdr:row>48</xdr:row>
      <xdr:rowOff>75034</xdr:rowOff>
    </xdr:from>
    <xdr:to>
      <xdr:col>29</xdr:col>
      <xdr:colOff>114300</xdr:colOff>
      <xdr:row>79</xdr:row>
      <xdr:rowOff>0</xdr:rowOff>
    </xdr:to>
    <xdr:graphicFrame macro="">
      <xdr:nvGraphicFramePr>
        <xdr:cNvPr id="11" name="10 Gráfico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26894</xdr:colOff>
      <xdr:row>87</xdr:row>
      <xdr:rowOff>106615</xdr:rowOff>
    </xdr:from>
    <xdr:to>
      <xdr:col>4</xdr:col>
      <xdr:colOff>1207994</xdr:colOff>
      <xdr:row>102</xdr:row>
      <xdr:rowOff>3520</xdr:rowOff>
    </xdr:to>
    <xdr:graphicFrame macro="">
      <xdr:nvGraphicFramePr>
        <xdr:cNvPr id="12" name="11 Gráfico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6058</xdr:colOff>
      <xdr:row>1</xdr:row>
      <xdr:rowOff>43294</xdr:rowOff>
    </xdr:from>
    <xdr:to>
      <xdr:col>7</xdr:col>
      <xdr:colOff>1163104</xdr:colOff>
      <xdr:row>8</xdr:row>
      <xdr:rowOff>103907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UNIDAD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NI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11013" y="233794"/>
              <a:ext cx="5400000" cy="13941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586220</xdr:colOff>
      <xdr:row>1</xdr:row>
      <xdr:rowOff>51956</xdr:rowOff>
    </xdr:from>
    <xdr:to>
      <xdr:col>11</xdr:col>
      <xdr:colOff>311727</xdr:colOff>
      <xdr:row>8</xdr:row>
      <xdr:rowOff>111656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DUPLA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UPL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44720" y="242456"/>
              <a:ext cx="4075258" cy="139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  <xdr:twoCellAnchor>
    <xdr:from>
      <xdr:col>11</xdr:col>
      <xdr:colOff>1235652</xdr:colOff>
      <xdr:row>1</xdr:row>
      <xdr:rowOff>43295</xdr:rowOff>
    </xdr:from>
    <xdr:to>
      <xdr:col>15</xdr:col>
      <xdr:colOff>233026</xdr:colOff>
      <xdr:row>8</xdr:row>
      <xdr:rowOff>102995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DOCENTE">
              <a:extLst>
                <a:ext uri="{FF2B5EF4-FFF2-40B4-BE49-F238E27FC236}">
                  <a16:creationId xmlns:a16="http://schemas.microsoft.com/office/drawing/2014/main" id="{00000000-0008-0000-0400-00000F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C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82368" y="232847"/>
              <a:ext cx="4702897" cy="138656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>
    <xdr:from>
      <xdr:col>6</xdr:col>
      <xdr:colOff>326571</xdr:colOff>
      <xdr:row>196</xdr:row>
      <xdr:rowOff>131988</xdr:rowOff>
    </xdr:from>
    <xdr:to>
      <xdr:col>8</xdr:col>
      <xdr:colOff>1537607</xdr:colOff>
      <xdr:row>211</xdr:row>
      <xdr:rowOff>17688</xdr:rowOff>
    </xdr:to>
    <xdr:graphicFrame macro="">
      <xdr:nvGraphicFramePr>
        <xdr:cNvPr id="19" name="18 Gráfico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341415</xdr:colOff>
      <xdr:row>189</xdr:row>
      <xdr:rowOff>29314</xdr:rowOff>
    </xdr:from>
    <xdr:to>
      <xdr:col>26</xdr:col>
      <xdr:colOff>483671</xdr:colOff>
      <xdr:row>211</xdr:row>
      <xdr:rowOff>128649</xdr:rowOff>
    </xdr:to>
    <xdr:graphicFrame macro="">
      <xdr:nvGraphicFramePr>
        <xdr:cNvPr id="20" name="19 Gráfico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329045</xdr:colOff>
      <xdr:row>58</xdr:row>
      <xdr:rowOff>117763</xdr:rowOff>
    </xdr:from>
    <xdr:to>
      <xdr:col>8</xdr:col>
      <xdr:colOff>1731818</xdr:colOff>
      <xdr:row>71</xdr:row>
      <xdr:rowOff>121228</xdr:rowOff>
    </xdr:to>
    <xdr:graphicFrame macro="">
      <xdr:nvGraphicFramePr>
        <xdr:cNvPr id="17" name="16 Gráfico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51955</xdr:colOff>
      <xdr:row>107</xdr:row>
      <xdr:rowOff>135082</xdr:rowOff>
    </xdr:from>
    <xdr:to>
      <xdr:col>25</xdr:col>
      <xdr:colOff>242455</xdr:colOff>
      <xdr:row>139</xdr:row>
      <xdr:rowOff>34636</xdr:rowOff>
    </xdr:to>
    <xdr:graphicFrame macro="">
      <xdr:nvGraphicFramePr>
        <xdr:cNvPr id="21" name="20 Gráfico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437029</xdr:colOff>
      <xdr:row>126</xdr:row>
      <xdr:rowOff>113179</xdr:rowOff>
    </xdr:from>
    <xdr:to>
      <xdr:col>8</xdr:col>
      <xdr:colOff>1636058</xdr:colOff>
      <xdr:row>140</xdr:row>
      <xdr:rowOff>189379</xdr:rowOff>
    </xdr:to>
    <xdr:graphicFrame macro="">
      <xdr:nvGraphicFramePr>
        <xdr:cNvPr id="18" name="17 Gráfico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302559</xdr:colOff>
      <xdr:row>127</xdr:row>
      <xdr:rowOff>79561</xdr:rowOff>
    </xdr:from>
    <xdr:to>
      <xdr:col>4</xdr:col>
      <xdr:colOff>1389530</xdr:colOff>
      <xdr:row>141</xdr:row>
      <xdr:rowOff>155761</xdr:rowOff>
    </xdr:to>
    <xdr:graphicFrame macro="">
      <xdr:nvGraphicFramePr>
        <xdr:cNvPr id="23" name="22 Gráfico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186018</xdr:colOff>
      <xdr:row>87</xdr:row>
      <xdr:rowOff>50426</xdr:rowOff>
    </xdr:from>
    <xdr:to>
      <xdr:col>8</xdr:col>
      <xdr:colOff>1385047</xdr:colOff>
      <xdr:row>101</xdr:row>
      <xdr:rowOff>126626</xdr:rowOff>
    </xdr:to>
    <xdr:graphicFrame macro="">
      <xdr:nvGraphicFramePr>
        <xdr:cNvPr id="24" name="23 Gráfico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HP/Downloads/Users/Mi%20Julieta/Downloads/FORMULARIO%20SALUD%20Y%20NUTRICION%20JULI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DATOS"/>
      <sheetName val="PLANILLA"/>
      <sheetName val="Hoja1"/>
    </sheetNames>
    <sheetDataSet>
      <sheetData sheetId="0" refreshError="1"/>
      <sheetData sheetId="1">
        <row r="2">
          <cell r="A2" t="str">
            <v>G</v>
          </cell>
        </row>
        <row r="3">
          <cell r="A3" t="str">
            <v>L</v>
          </cell>
        </row>
        <row r="4">
          <cell r="A4" t="str">
            <v>NNA</v>
          </cell>
        </row>
      </sheetData>
      <sheetData sheetId="2" refreshError="1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ia Paula Varon" refreshedDate="44921.479498263892" createdVersion="4" refreshedVersion="8" minRefreshableVersion="3" recordCount="650" xr:uid="{00000000-000A-0000-FFFF-FFFF00000000}">
  <cacheSource type="worksheet">
    <worksheetSource name="MATRIZ_PRINCIPAL_USUARIOS"/>
  </cacheSource>
  <cacheFields count="108">
    <cacheField name="NUMERO DE DOCUMENTO" numFmtId="0">
      <sharedItems containsMixedTypes="1" containsNumber="1" containsInteger="1" minValue="5356083" maxValue="60820211029"/>
    </cacheField>
    <cacheField name="¿ACTIVO O INACTIVO?" numFmtId="0">
      <sharedItems containsBlank="1" count="3">
        <s v="INACTIVO"/>
        <s v="ACTIVO"/>
        <m u="1"/>
      </sharedItems>
    </cacheField>
    <cacheField name="FECHA DE INGRESO" numFmtId="0">
      <sharedItems containsSemiMixedTypes="0" containsNonDate="0" containsDate="1" containsString="0" minDate="2022-03-03T00:00:00" maxDate="2022-12-16T00:00:00"/>
    </cacheField>
    <cacheField name="FECHA DE EGRESO" numFmtId="0">
      <sharedItems containsNonDate="0" containsDate="1" containsString="0" containsBlank="1" minDate="2022-03-03T00:00:00" maxDate="2022-12-15T00:00:00"/>
    </cacheField>
    <cacheField name="INGRESA POR:" numFmtId="0">
      <sharedItems containsBlank="1"/>
    </cacheField>
    <cacheField name="MOTIVO DE EGRESO" numFmtId="1">
      <sharedItems containsBlank="1"/>
    </cacheField>
    <cacheField name="SI EL MOTIVO DE EGRESO ES &quot;OTRO&quot;, INDIQUE EL POR QUÉ" numFmtId="1">
      <sharedItems containsBlank="1" containsMixedTypes="1" containsNumber="1" containsInteger="1" minValue="1" maxValue="1"/>
    </cacheField>
    <cacheField name="UNIDAD" numFmtId="0">
      <sharedItems containsBlank="1" count="19">
        <s v="EL UVAL"/>
        <m u="1"/>
        <s v="SAN IGNACIO DE LOYOLA SEDE SAN JUAN A" u="1"/>
        <s v="SAN IGNACIO DE LOYOLA SEDE SAN JUAN B" u="1"/>
        <s v="USME PUEBLO" u="1"/>
        <s v="UVAL " u="1"/>
        <s v="SERRANIAS" u="1"/>
        <s v="CRECER Y CREAR 2" u="1"/>
        <s v="FISCALA" u="1"/>
        <s v="CARACOLITOS DE USME LORENZO ALCANTUZ" u="1"/>
        <s v="U5" u="1"/>
        <s v="U6 EL UVAL " u="1"/>
        <s v="EDUCANDO ANDO" u="1"/>
        <s v="CRECER JUGANDO EN FAMILIA" u="1"/>
        <s v="ESPERANZA Y PROGRESO CRECIENDO CON AMOR EN FAMILIA" u="1"/>
        <s v="VIRREY" u="1"/>
        <s v="CRECER Y CREAR 1" u="1"/>
        <s v="CARACOLITOS DE USME TRIANGULO" u="1"/>
        <s v="ESPACIOS CREATIVOS" u="1"/>
      </sharedItems>
    </cacheField>
    <cacheField name="DUPLA" numFmtId="0">
      <sharedItems containsBlank="1" count="115">
        <s v="HILANDO CAMINOS"/>
        <s v="U5-GRANDES TALENTOS"/>
        <s v="U1-VINCULOS DE AMOR"/>
        <s v="U3-SEMILLAS DE PAZ"/>
        <s v="U2-MIS ANGELITOS"/>
        <s v="U4-TEJIENDO SABERES"/>
        <s v="U6"/>
        <s v="TIHUAQUE"/>
        <s v="U1-VINCULOS DE AMOR VEREDAS"/>
        <s v="U1" u="1"/>
        <m u="1"/>
        <s v="TEJIENDO ILUSIONES" u="1"/>
        <s v="SAN JUAN B 2" u="1"/>
        <s v="TORRE FUERTE" u="1"/>
        <s v="B6" u="1"/>
        <s v="A1" u="1"/>
        <s v="U7" u="1"/>
        <s v="G4" u="1"/>
        <s v="LEALTAD" u="1"/>
        <s v="SAN JUAN B 5" u="1"/>
        <s v="COLOR ESPERANZA" u="1"/>
        <s v="NUEVO AMANECER" u="1"/>
        <s v="DIMF SAN JUAN A4" u="1"/>
        <s v="SAN JUAN B4" u="1"/>
        <s v="SAN JUAN B6 " u="1"/>
        <s v="ADELAIDA URIBE JAIMES" u="1"/>
        <s v="DORALBA  MENDEZ" u="1"/>
        <s v="GRATITUD" u="1"/>
        <s v="EL TESORO DEL SABER" u="1"/>
        <s v="ALICIA BARBOSA" u="1"/>
        <s v="B5" u="1"/>
        <s v="FABRICANDO ESPERANZAS" u="1"/>
        <s v="G3" u="1"/>
        <s v="ANGIE MORA" u="1"/>
        <s v="no" u="1"/>
        <s v="DEJANDO HUELLA " u="1"/>
        <s v="HUELLAS INFANTILES" u="1"/>
        <s v="GLORIA" u="1"/>
        <s v="PROYECTANDO  HOGARES" u="1"/>
        <s v="DORALBAMENDEZ" u="1"/>
        <s v="A6" u="1"/>
        <s v="CRECIENDO CON AMOR " u="1"/>
        <s v="CLAN DE LAS SONRISAS" u="1"/>
        <s v="DORALBA MENDEZ" u="1"/>
        <s v="GLORIA GUERA" u="1"/>
        <s v="B4" u="1"/>
        <s v="AMOR" u="1"/>
        <s v="CREAR" u="1"/>
        <s v="U5" u="1"/>
        <s v="GENEROSIDAD " u="1"/>
        <s v="G2" u="1"/>
        <s v="HILANDO CAMINOS " u="1"/>
        <s v="GENEROSIDAD" u="1"/>
        <s v="ABRIENDO CAMINOS " u="1"/>
        <s v="SAN JUAN A 2 " u="1"/>
        <s v="U-5 HILANDO CAMINOS" u="1"/>
        <s v="FELICIDAD" u="1"/>
        <s v="GRUPO 1" u="1"/>
        <s v="ANA MARIA MORENO " u="1"/>
        <s v="A5" u="1"/>
        <s v="SOCIEDAD DE NIÑOS" u="1"/>
        <s v="NUEVO AMANECER " u="1"/>
        <s v="LORENA VILLEGAS" u="1"/>
        <s v="FABRICANDO ESPERANZAS " u="1"/>
        <s v="B3" u="1"/>
        <s v="SAN JUAN B 3 " u="1"/>
        <s v="PROYECTANDO HOGARES" u="1"/>
        <s v="U4" u="1"/>
        <s v="ADELAIDA URIBE" u="1"/>
        <s v="MARGOTH ACOSTA" u="1"/>
        <s v="G1" u="1"/>
        <s v="EL VERDADERO AMOR" u="1"/>
        <s v="SAN JUAN B 6 " u="1"/>
        <s v="GLORIA GUERRA" u="1"/>
        <s v="DIANA ROBAYO" u="1"/>
        <s v="ANGELITOS 1" u="1"/>
        <s v="NIDO DE AMOR" u="1"/>
        <s v="A4" u="1"/>
        <s v="ANGELITOS 2" u="1"/>
        <s v="TEJEDORAS DE SABER" u="1"/>
        <s v="FABRICANDO SONRISAS" u="1"/>
        <s v="SAN IGNACIO SAN JUAN A1" u="1"/>
        <s v="B2" u="1"/>
        <s v="PEQUEÑAS GRANDEZAS " u="1"/>
        <s v="U3" u="1"/>
        <s v="SAN JUAN A3 " u="1"/>
        <s v="SAN JUAN A2" u="1"/>
        <s v="CRECER" u="1"/>
        <s v="SAN JUAN B 3" u="1"/>
        <s v="SEMILLAS MAGICAS" u="1"/>
        <s v="CARITAS SONRIENTES" u="1"/>
        <s v="SAN JUAN A5" u="1"/>
        <s v="PERSIGUIENDO SUEÑOS" u="1"/>
        <s v="A3" u="1"/>
        <s v="ANGELITOS" u="1"/>
        <s v="LYDA" u="1"/>
        <s v="G6" u="1"/>
        <s v="B1" u="1"/>
        <s v="CLAUDIA RODRIGUEZ" u="1"/>
        <s v="U2" u="1"/>
        <s v="GRANDES TALENTOS " u="1"/>
        <s v="CRECIENDO JUNTOS " u="1"/>
        <s v="TORRE FUERTE " u="1"/>
        <s v="DORALBA MENDEZ URREGO" u="1"/>
        <s v="CLAUDIA LILIANA RODRIGUEZ ROJAS" u="1"/>
        <s v="DIMF SAN JUAN A6" u="1"/>
        <s v="ALIX FONSECA" u="1"/>
        <s v="DEJANDO HUELLA" u="1"/>
        <s v="A2" u="1"/>
        <s v="FABIOLA" u="1"/>
        <s v="ABRIENDO CAMINOS" u="1"/>
        <s v="G5" u="1"/>
        <s v="GOTITAS DE AMOR" u="1"/>
        <s v="MI SEGUNDO HOGAR " u="1"/>
        <s v="ANGELA GOMEZ" u="1"/>
      </sharedItems>
    </cacheField>
    <cacheField name="DOCENTE" numFmtId="0">
      <sharedItems containsBlank="1" count="99">
        <s v="PAOLA"/>
        <s v="ANGIE YARA - YORMARY MENECES"/>
        <s v="JOHANA ALVARADO"/>
        <s v="EMILCE SANCHEZ - MARTHA PACASUCA"/>
        <s v="NIKOL MALES - ANDREA ROCIO"/>
        <s v="GLORIA GUERRA - KAROL"/>
        <e v="#N/A"/>
        <s v="ANDREA ROJAS - TATIANA"/>
        <s v="MONICA"/>
        <m u="1"/>
        <s v="ANGGYE CARVAJAL" u="1"/>
        <s v="ANGIE YARA YROMARY MENECES" u="1"/>
        <s v="GLORIA GUERRA - JENIFER OSPINA" u="1"/>
        <s v="OLGA MORCOTE" u="1"/>
        <s v=" NANCY CELENO " u="1"/>
        <s v="EMILCE SANCHEZ -MARTHA PACASUCA" u="1"/>
        <s v=" DIANA MARTINEZ " u="1"/>
        <s v="AMANDA RODRIGUEZ" u="1"/>
        <s v="DAYANA OCAMPO" u="1"/>
        <s v="MONICA ALAPE" u="1"/>
        <s v="SANDRA RAMIREZ" u="1"/>
        <s v="ADELAIDA URIBE JAIMES" u="1"/>
        <s v="JOHANA ALVARADO-MONICA" u="1"/>
        <s v="CARMEN GALINDO ORTIZ" u="1"/>
        <s v="DORALBA  MENDEZ" u="1"/>
        <s v="JOHANA ORTIZ " u="1"/>
        <s v="ALICIA BARBOSA" u="1"/>
        <s v="HHH" u="1"/>
        <s v="SONIA CHAVES" u="1"/>
        <s v="ANGIE MORA" u="1"/>
        <s v="CARMEN" u="1"/>
        <s v="MIRIAN CASTRO" u="1"/>
        <s v="MILFA CORREA" u="1"/>
        <s v="GLORIA" u="1"/>
        <s v="DAYANA" u="1"/>
        <s v="DORIS MONTERO " u="1"/>
        <s v="GLORIA GUEERA" u="1"/>
        <s v="AIDA BARRUETO" u="1"/>
        <s v="DORALBAMENDEZ" u="1"/>
        <s v="DIANA AVILA" u="1"/>
        <s v="MYRIAM CASTELLANOS" u="1"/>
        <s v="DORALBA MENDEZ" u="1"/>
        <s v="GLORIA GUERA" u="1"/>
        <s v="MARIA SOL RUBIANO " u="1"/>
        <s v="ROSMY NIEVES" u="1"/>
        <s v="GRACIELA MORA" u="1"/>
        <s v="JOHANA ORTIZ" u="1"/>
        <s v="EMILCE SANCHEZ" u="1"/>
        <s v="YAMILA MOGOLLON" u="1"/>
        <s v="ANDREA ROJAS" u="1"/>
        <s v=" LILIANA URREA " u="1"/>
        <s v="AMANDA" u="1"/>
        <s v=" MYRIAM CASTELLANOS " u="1"/>
        <s v="ADELA URIBE" u="1"/>
        <s v="PATRICIA CASALLAS" u="1"/>
        <s v="ISABEL PACANCHIQUE" u="1"/>
        <s v="NOHORA HERNANDEZ " u="1"/>
        <s v="MARIA FERNANDA RODRIGUEZ " u="1"/>
        <s v="NIKOL MALES - ANDREA BERNAL" u="1"/>
        <s v="ADELAIDA URIBE" u="1"/>
        <s v="MARGOTH ACOSTA" u="1"/>
        <s v="YEIMI ALDANA" u="1"/>
        <s v="MARYORY CONTRERAS" u="1"/>
        <s v="ANGIE YARA" u="1"/>
        <s v="NANCY CELENO " u="1"/>
        <s v="DIANA ROBAYO" u="1"/>
        <s v="VIVIANA MARCELA VELASCO QUITIAN" u="1"/>
        <s v="LILIANA URREA" u="1"/>
        <s v="MONICA ALAPE - PAOLA BUITRAGO" u="1"/>
        <s v="XYZ" u="1"/>
        <s v=" MARIA SOL RUBIANO " u="1"/>
        <s v="CEILA FERNANDEZ" u="1"/>
        <s v="JOHANA ORTIZ - NIKOL MALES" u="1"/>
        <s v="LINA ROMERO " u="1"/>
        <s v="DAYANA OCAMPO - PAOLA BUITRAGO" u="1"/>
        <s v="LYDA" u="1"/>
        <s v="EMILCE " u="1"/>
        <s v="SANDRA BERNAL" u="1"/>
        <s v="UNIDAD NO ENCONTRADA" u="1"/>
        <s v="AMANDA RODRIGUEZ - MONICA ALAPE" u="1"/>
        <s v="CLAUDIA RODRIGUEZ" u="1"/>
        <s v="ROSMIRA DIAZ" u="1"/>
        <s v=" YAMILA MOGOLLON " u="1"/>
        <s v="DOCENTE 2" u="1"/>
        <s v="DORALBA MENDEZ URREGO" u="1"/>
        <s v="CLAUDIA LILIANA RODRIGUEZ ROJAS" u="1"/>
        <s v="NIKOL MALES" u="1"/>
        <s v="DOCENTE 1" u="1"/>
        <s v="ALIX FONSECA" u="1"/>
        <s v="ESTEBAN ORTIZ - NIKOL MALES" u="1"/>
        <s v="MARYORY CONTRERAS " u="1"/>
        <s v="ANDREA ROJAS - MONICA ALAPE - TATIANA" u="1"/>
        <s v="LORENA ACEVEDO " u="1"/>
        <s v="FABIOLA" u="1"/>
        <s v="DOLLY SANCHEZ " u="1"/>
        <s v="YOLANDA SANCHEZ" u="1"/>
        <s v="ELVIRA BARACETA" u="1"/>
        <s v="BELEN PICO" u="1"/>
        <s v="ANDREA ROJAS _ ESTEBAN ORTIZ" u="1"/>
      </sharedItems>
    </cacheField>
    <cacheField name="TIPO DE DOCUMENTO" numFmtId="0">
      <sharedItems/>
    </cacheField>
    <cacheField name="PRIMER NOMBRE" numFmtId="0">
      <sharedItems/>
    </cacheField>
    <cacheField name="SEGUNDO NOMBRE" numFmtId="0">
      <sharedItems containsBlank="1"/>
    </cacheField>
    <cacheField name="PRIMER APELLIDO" numFmtId="0">
      <sharedItems/>
    </cacheField>
    <cacheField name="SEGUNDO APELLIDO" numFmtId="0">
      <sharedItems containsBlank="1"/>
    </cacheField>
    <cacheField name="NOMBRE COMPLETO" numFmtId="0">
      <sharedItems/>
    </cacheField>
    <cacheField name="FECHA DE NACIMIENTO" numFmtId="0">
      <sharedItems containsDate="1" containsMixedTypes="1" minDate="1981-09-28T00:00:00" maxDate="2022-10-17T00:00:00"/>
    </cacheField>
    <cacheField name="AÑOS" numFmtId="1">
      <sharedItems containsSemiMixedTypes="0" containsString="0" containsNumber="1" containsInteger="1" minValue="0" maxValue="41" count="33">
        <n v="27"/>
        <n v="0"/>
        <n v="2"/>
        <n v="1"/>
        <n v="20"/>
        <n v="30"/>
        <n v="40"/>
        <n v="38"/>
        <n v="4"/>
        <n v="5"/>
        <n v="3"/>
        <n v="32"/>
        <n v="28"/>
        <n v="36"/>
        <n v="41"/>
        <n v="21"/>
        <n v="19"/>
        <n v="23"/>
        <n v="22"/>
        <n v="34"/>
        <n v="29"/>
        <n v="16"/>
        <n v="25"/>
        <n v="18"/>
        <n v="24"/>
        <n v="14"/>
        <n v="26"/>
        <n v="31"/>
        <n v="35"/>
        <n v="17"/>
        <n v="15"/>
        <n v="37" u="1"/>
        <n v="39" u="1"/>
      </sharedItems>
    </cacheField>
    <cacheField name="MESES" numFmtId="1">
      <sharedItems containsSemiMixedTypes="0" containsString="0" containsNumber="1" containsInteger="1" minValue="0" maxValue="11"/>
    </cacheField>
    <cacheField name="DIAS" numFmtId="1">
      <sharedItems containsSemiMixedTypes="0" containsString="0" containsNumber="1" containsInteger="1" minValue="0" maxValue="29"/>
    </cacheField>
    <cacheField name="EDAD" numFmtId="0">
      <sharedItems/>
    </cacheField>
    <cacheField name="TIPO DE BENEFICIARIO" numFmtId="0">
      <sharedItems count="7">
        <s v="MUJER GESTANTE"/>
        <s v="MENOR DE SEIS MESES"/>
        <s v="NIÑO O NIÑA ENTRE 6 MESES Y 5 AÑOS Y 11 MESES"/>
        <s v="" u="1"/>
        <e v="#NUM!" u="1"/>
        <e v="#REF!" u="1"/>
        <e v="#VALUE!" u="1"/>
      </sharedItems>
    </cacheField>
    <cacheField name="GENERO" numFmtId="0">
      <sharedItems containsBlank="1" count="5">
        <s v="FEMENINO"/>
        <s v="MASCULINO"/>
        <m u="1"/>
        <s v="MASCULINO " u="1"/>
        <s v="FEMENINO " u="1"/>
      </sharedItems>
    </cacheField>
    <cacheField name="PAIS DE NACIMIENTO" numFmtId="0">
      <sharedItems containsBlank="1" count="7">
        <s v="COLOMBIA"/>
        <s v="VENEZUELA"/>
        <s v="PERU"/>
        <s v="ECUADOR"/>
        <m u="1"/>
        <s v="VENEZUELA " u="1"/>
        <s v="COLOMBIA " u="1"/>
      </sharedItems>
    </cacheField>
    <cacheField name="DEPARTAMENTO DE NACIMIENTO" numFmtId="0">
      <sharedItems/>
    </cacheField>
    <cacheField name="MUNICIPIO DE NACIMIENTO" numFmtId="0">
      <sharedItems/>
    </cacheField>
    <cacheField name="DISCAPACIDAD" numFmtId="0">
      <sharedItems containsBlank="1" count="3">
        <s v="NO_"/>
        <s v="SI_"/>
        <m u="1"/>
      </sharedItems>
    </cacheField>
    <cacheField name="DISCAPACIDAD CERTIFICADA" numFmtId="0">
      <sharedItems/>
    </cacheField>
    <cacheField name="ENTIDAD QUE CERTIFICA LA DISCAPACIDAD" numFmtId="0">
      <sharedItems containsBlank="1"/>
    </cacheField>
    <cacheField name="CATEGORIA DE LA DISCAPACIDAD" numFmtId="0">
      <sharedItems containsBlank="1"/>
    </cacheField>
    <cacheField name="ESPECIFICAR LA DISCAPACIDAD" numFmtId="0">
      <sharedItems containsBlank="1"/>
    </cacheField>
    <cacheField name="¿ESTÁ INSCRITO EN EL REGISTRO PARA LA LOCALIZACIÓN Y CARACTERIZACIÓN DE PERSONAS CON DISCAPACIDAD ?" numFmtId="0">
      <sharedItems containsBlank="1"/>
    </cacheField>
    <cacheField name="¿REQUIERE LA AYUDA DE OTRA PERSONA ?" numFmtId="0">
      <sharedItems containsBlank="1"/>
    </cacheField>
    <cacheField name="¿REQUIERE AYUDA TÉCNICA / PRODUCTO  DE APOYO ?" numFmtId="0">
      <sharedItems containsBlank="1"/>
    </cacheField>
    <cacheField name="¿CUENTA CON LA AYUDA TÉCNICA / PRODUCTO  DE APOYO ?" numFmtId="0">
      <sharedItems containsBlank="1"/>
    </cacheField>
    <cacheField name="¿REQUIERE TERAPIA Y/O REHABILITACIÓN ?" numFmtId="0">
      <sharedItems containsBlank="1"/>
    </cacheField>
    <cacheField name="RECIBE ATENCIÓN EN TERAPIA Y/O REHABILITACIÓN ?" numFmtId="0">
      <sharedItems containsBlank="1"/>
    </cacheField>
    <cacheField name="TIENE PROCESO DE INTERDICCIÓN ?" numFmtId="0">
      <sharedItems containsBlank="1"/>
    </cacheField>
    <cacheField name="PAIS DE RESIDENCIA" numFmtId="0">
      <sharedItems/>
    </cacheField>
    <cacheField name="DEPARTAMENTO DE RESIDENCIA" numFmtId="0">
      <sharedItems/>
    </cacheField>
    <cacheField name="ZONA DE UBICACIÓN" numFmtId="0">
      <sharedItems containsBlank="1" count="4">
        <s v="CABECERA"/>
        <s v="RESTO"/>
        <m u="1"/>
        <s v="LOCALIDAD" u="1"/>
      </sharedItems>
    </cacheField>
    <cacheField name="TIPO DE CABECERA" numFmtId="0">
      <sharedItems containsBlank="1"/>
    </cacheField>
    <cacheField name="NOMBRE LOCALIDAD/COMUNAS/NOMBRE DE ZONA RESTO" numFmtId="0">
      <sharedItems containsBlank="1" count="11">
        <s v="USME"/>
        <s v="OTRO"/>
        <m/>
        <s v="BOSA" u="1"/>
        <s v="CHAPINERO" u="1"/>
        <s v="SUBA" u="1"/>
        <s v="USAQUEN" u="1"/>
        <s v="LOCALIDAD USME" u="1"/>
        <s v="ENGATIVA" u="1"/>
        <s v="ANTONIO_NARIÑO" u="1"/>
        <s v="BARRIOS_UNIDOS" u="1"/>
      </sharedItems>
    </cacheField>
    <cacheField name="BARRIO" numFmtId="0">
      <sharedItems containsBlank="1" count="218">
        <s v="PUERTA AL LLANO"/>
        <s v="LA ESPERANZA SUR"/>
        <s v="EL UVAL"/>
        <s v="COMPOSTELA I"/>
        <s v="COMUNEROS"/>
        <s v="EL NUEVO PORTAL"/>
        <s v="ALFONSO LOPEZ SECTOR BUENOS AIRES"/>
        <s v="EL PROGRESO USME"/>
        <s v="EL PARAISO"/>
        <s v="EL NUEVO PORTAL II"/>
        <s v="EL PORVENIR"/>
        <s v="EL REFUGIO I"/>
        <s v="BARRANQUILLITA"/>
        <s v="LOS SOCHES"/>
        <s v="ALFONSO LOPEZ SECTOR EL PROGRESO"/>
        <s v="NUEVO PORVENIR (59)"/>
        <s v="EL REFUGIO"/>
        <m/>
        <s v="VILLA HERMOSA"/>
        <s v="EL VIRREY ULTIMA ETAPA"/>
        <s v="LA REFORMA"/>
        <s v="NUEVO PORTAL II"/>
        <s v="PORTAL DEL DIVINO"/>
        <s v="ALFONSO LOPEZ SECTOR CHARALA"/>
        <s v="EL CURUBO"/>
        <s v="BOLONIA"/>
        <s v="SERRANIAS"/>
        <s v="SAN LUIS"/>
        <s v="LA ORQUIDEA USME"/>
        <s v="TRIANGULO"/>
        <s v="EL PORTAL DEL DIVINO"/>
        <s v="EL TUNO"/>
        <s v="REFUGIO I"/>
        <s v="CASALOMA"/>
        <s v="EL NUEVO PORTAL 2"/>
        <s v="LA ORQUIDEA DE USME"/>
        <s v="EL NUEVO PORTAL "/>
        <s v="BRAZUELOS"/>
        <s v="PORTAL II"/>
        <s v="ALASKA"/>
        <s v="TIHUAQUE"/>
        <s v="EL BOSQUE"/>
        <s v="LA AURORA"/>
        <s v="LA FISCALA ALTA"/>
        <s v="ALFONSO LOPEZ"/>
        <s v="LA COMUNA"/>
        <s v="SAN FELIPE"/>
        <s v="EL REFUGIO I Y II"/>
        <s v="ZONA SIN LEGALIZAR (POLIGONO 195 EL REFUGIO LA ESMERALDA)"/>
        <s v="PORTAL DE ORIENTE"/>
        <s v="LA HUERTA"/>
        <s v="ALFONSO LOPEZ "/>
        <s v="VILLA ISRAEL"/>
        <s v="BRISAS DEL LLANO"/>
        <s v="YOMASITA"/>
        <s v="TOCAIMITA ORIENTAL"/>
        <s v="ZONA SIN LEGALIZAR (EL MIRADOR DE LA ESMERALDA CASA 3)"/>
        <s v="ALFONSO LÓPEZ"/>
        <s v="BUENOS AIRES"/>
        <s v="BELLAVISTA ALTA"/>
        <s v="MONTEBLANCO"/>
        <s v="CHICO SUR"/>
        <s v="LA ESMERALDA EL RECUERDO"/>
        <s v="JUAN JOSE RONDON"/>
        <s v="EL NUEVO PORTAL LL RURAL"/>
        <s v="CASA LOMA"/>
        <s v="BARRIO SIN LEGALIZAR"/>
        <s v="ALTOS DE BETANIA"/>
        <s v="VEREDA LOS SOCHES SECTOR MANGUERAS"/>
        <s v="CHUNIZA"/>
        <s v="NUEVO PORTAL"/>
        <s v="UVAL"/>
        <s v="USMINIA"/>
        <s v="CIUDADELA CANTA RANA I, II, III SECTOR"/>
        <s v="VILLA DIANA"/>
        <s v="SAN PEDRO SUR "/>
        <s v="LA BELLEZA"/>
        <s v="SAN PEDRO"/>
        <s v="LAS VIOLETAS"/>
        <s v="COMPOSTELA III"/>
        <s v="ANTONIO JOSE DE SUCRE"/>
        <s v="LA ESMERALDA"/>
        <s v="LA ESPERANZA"/>
        <s v="JUAN REY SUR"/>
        <s v="UVAL "/>
        <s v="LA CABAÑA"/>
        <s v="MARANDU" u="1"/>
        <s v="EL GACO" u="1"/>
        <s v="BOSQUE POPULAR" u="1"/>
        <s v="BELLAVISTA" u="1"/>
        <s v="CARACAS" u="1"/>
        <s v="DANUBIO II" u="1"/>
        <s v="LA RIVIERA" u="1"/>
        <s v="VILLA ISRAEL " u="1"/>
        <s v="LA FISCALA NORTE" u="1"/>
        <s v="NEVADO" u="1"/>
        <s v="LORENZO ALCANTUZ I SECTOR" u="1"/>
        <s v="PALERMO" u="1"/>
        <s v="ENTRERRIOS" u="1"/>
        <s v="AMAPOLAS" u="1"/>
        <s v="EL PORVENIR " u="1"/>
        <s v="CENTRO USME " u="1"/>
        <s v="CONEJERA" u="1"/>
        <s v="SUCRE  " u="1"/>
        <s v="CENTRO USME" u="1"/>
        <s v="EL PINO " u="1"/>
        <s v="VILLA TERESITA" u="1"/>
        <s v="SAN JOSE OBRERO" u="1"/>
        <s v="CENTRO ENGATIVÁ" u="1"/>
        <s v="GRAN YOMASA I" u="1"/>
        <s v="EL NEVADO" u="1"/>
        <s v="ACAPULCO" u="1"/>
        <s v="TOCAIMITA SUR" u="1"/>
        <s v="LA FISCALA SECTOR CENTRO " u="1"/>
        <s v="PALERMO SUR " u="1"/>
        <s v="DIVINO NIÑO" u="1"/>
        <s v=" SUCRE " u="1"/>
        <s v="VIILA ISRAEL" u="1"/>
        <s v="LORENZO ALCANTUZ II SECTOR" u="1"/>
        <s v="LAS FLORES" u="1"/>
        <s v="VILLA ANITA SUR" u="1"/>
        <s v="SABANAS DEL DORADO" u="1"/>
        <s v="LA FISCALA SECTOR CENTRO" u="1"/>
        <s v="BRILLANTE " u="1"/>
        <s v="ESPERANZA " u="1"/>
        <s v="SANTA LIBRADA" u="1"/>
        <s v="SAN AGUSTIN" u="1"/>
        <s v="VILLA ALEMANIA" u="1"/>
        <s v="EL UVAL " u="1"/>
        <s v="TENERIFE" u="1"/>
        <s v="PICOTA SUR" u="1"/>
        <s v="PICOTA" u="1"/>
        <s v="NUEVO SAN ANDRES DE LOS ALTOS" u="1"/>
        <s v="CHARALA" u="1"/>
        <s v="LA FISCALA NORTE " u="1"/>
        <s v="PORVENIR" u="1"/>
        <s v="SUCRE 3" u="1"/>
        <s v="MARICHUELA III SECTOR (CAFAM II S.)" u="1"/>
        <s v="TOCAIMITA" u="1"/>
        <s v="CHAPINERITO" u="1"/>
        <s v="EL PALMAR " u="1"/>
        <s v="SUCRE" u="1"/>
        <s v="LA FAENA" u="1"/>
        <s v="LOS ARRAYANES" u="1"/>
        <s v="LA ANDREA" u="1"/>
        <s v="EL GUALI" u="1"/>
        <s v="BOSQUE EL LIMONAR" u="1"/>
        <s v="ENGATIVA CENTRO " u="1"/>
        <s v="LOS PINOS" u="1"/>
        <s v="FISCALA II LA FORTUNA" u="1"/>
        <s v="LA  REFORMA " u="1"/>
        <s v="FISCALA SECTOR CENTRO SECTOR CENTRO" u="1"/>
        <s v="LA FISCALA" u="1"/>
        <s v="SANTA MARTHA" u="1"/>
        <s v="VILLA GLADYS" u="1"/>
        <s v="LA REGADERA" u="1"/>
        <s v="FISCALA SECTOR CENTRO" u="1"/>
        <s v="VILLA CLAVER" u="1"/>
        <s v="EL PALMAR" u="1"/>
        <s v="BELLAVISTA II SECTOR" u="1"/>
        <s v="PICOTA " u="1"/>
        <s v="LORENZO ALCANTUZ" u="1"/>
        <s v="LA FISCALA SECTOR NORTE" u="1"/>
        <s v="LA PAZ" u="1"/>
        <s v="SUCRE1" u="1"/>
        <s v="ANTONIO JOSE DE SUCRE " u="1"/>
        <s v="LAURELES" u="1"/>
        <s v="MARICHUELA " u="1"/>
        <s v="LINTEREMA" u="1"/>
        <s v="LA RIVIERA " u="1"/>
        <s v="FISCALA SECTOR CENTRO " u="1"/>
        <s v="ENGATIVA CENTRO" u="1"/>
        <s v="PORVENIR " u="1"/>
        <s v="LA PICOTA " u="1"/>
        <s v="BRAZUELOS SECTOR LA ESMERALDA" u="1"/>
        <s v="LAS PALMAS" u="1"/>
        <s v="DANUBIO AZUL " u="1"/>
        <s v="INVASION FORTUNA" u="1"/>
        <s v="SAN PEDRO SUR" u="1"/>
        <s v="SUCRE " u="1"/>
        <s v="LA ESPERANZA " u="1"/>
        <s v="VIRREY" u="1"/>
        <s v="ENGATIVA" u="1"/>
        <s v="LA PICOTA SUR" u="1"/>
        <s v="BOSQUE LIMONAR" u="1"/>
        <s v="EL NOGAL" u="1"/>
        <s v="SERRANIAS " u="1"/>
        <s v="MONTE BLANCO " u="1"/>
        <s v="SANTA LIBRADA " u="1"/>
        <s v="TUNO" u="1"/>
        <s v="VILLA DORADO" u="1"/>
        <s v="QUINTAS DEL PORTAL" u="1"/>
        <s v="EL BRILLANTE" u="1"/>
        <s v="ARRAYANES" u="1"/>
        <s v="BONANZA" u="1"/>
        <s v="COMUNEROS " u="1"/>
        <s v="EL  NUEVO PORTAL II" u="1"/>
        <s v="EL PROGRESO " u="1"/>
        <s v="USMINIA " u="1"/>
        <s v="BRAZUELOS 1" u="1"/>
        <s v="ANTONIO JOSE DE SUCRE I" u="1"/>
        <s v="ANTONIO JOSE DE SUCRE III" u="1"/>
        <s v="VILLA ANITA " u="1"/>
        <s v="EL MIRADOR" u="1"/>
        <s v="VILLA ANITA" u="1"/>
        <s v="EL RUBI" u="1"/>
        <s v="GRAN YOMASA" u="1"/>
        <s v="NUEVO SAN ANDRES" u="1"/>
        <s v="LA PICOTA ORIENTAL" u="1"/>
        <s v="PORTAL DE LAS SIERRAS" u="1"/>
        <s v="LA PICOTA" u="1"/>
        <s v="ALTOS DEL PINO" u="1"/>
        <s v="DANUBIO AZUL" u="1"/>
        <s v="EL CORTIJO" u="1"/>
        <s v="VILLA DIANA " u="1"/>
        <s v="PICOTA SUR " u="1"/>
        <s v="LA ILUSION" u="1"/>
        <s v="EL OASIS" u="1"/>
      </sharedItems>
    </cacheField>
    <cacheField name="NOMBRE DE LA ZONA RESTO" numFmtId="0">
      <sharedItems containsBlank="1"/>
    </cacheField>
    <cacheField name="DIRECCION" numFmtId="0">
      <sharedItems containsBlank="1"/>
    </cacheField>
    <cacheField name="TELEFONO PRINCIPAL" numFmtId="0">
      <sharedItems containsBlank="1" containsMixedTypes="1" containsNumber="1" containsInteger="1" minValue="310240161" maxValue="33013430677"/>
    </cacheField>
    <cacheField name="TELEFONO SECUNDARIO" numFmtId="0">
      <sharedItems containsBlank="1" containsMixedTypes="1" containsNumber="1" containsInteger="1" minValue="7621714" maxValue="3246739093"/>
    </cacheField>
    <cacheField name="ESTRATO DEL HOGAR" numFmtId="0">
      <sharedItems containsBlank="1" containsMixedTypes="1" containsNumber="1" containsInteger="1" minValue="0" maxValue="3" count="6">
        <n v="1"/>
        <n v="2"/>
        <m/>
        <n v="0"/>
        <s v="V"/>
        <n v="3" u="1"/>
      </sharedItems>
    </cacheField>
    <cacheField name="GRUPO ETNICO" numFmtId="0">
      <sharedItems/>
    </cacheField>
    <cacheField name="BENEFICIARIO SISBENIZADO" numFmtId="0">
      <sharedItems containsBlank="1" count="6">
        <s v="SI_"/>
        <s v="NO_"/>
        <m/>
        <s v="NO" u="1"/>
        <s v="SI" u="1"/>
        <s v="C2" u="1"/>
      </sharedItems>
    </cacheField>
    <cacheField name="PUNTAJE SISBEN" numFmtId="0">
      <sharedItems containsBlank="1" containsMixedTypes="1" containsNumber="1" minValue="11.6" maxValue="2705" count="34">
        <s v="C6"/>
        <m/>
        <s v="A5"/>
        <s v="B7"/>
        <s v="B3"/>
        <s v="C1"/>
        <s v="A4"/>
        <s v="C4"/>
        <s v="B5"/>
        <s v="C3"/>
        <s v="A3"/>
        <s v="B1"/>
        <s v="B4"/>
        <s v="C5"/>
        <s v="B6"/>
        <s v="C18"/>
        <s v="C7"/>
        <s v="A1"/>
        <s v="C2"/>
        <s v="A2"/>
        <s v="B2"/>
        <s v="B8"/>
        <s v="NO_"/>
        <s v="C9"/>
        <n v="50.69" u="1"/>
        <n v="44.24" u="1"/>
        <n v="33.549999999999997" u="1"/>
        <n v="28.09" u="1"/>
        <n v="27.76" u="1"/>
        <n v="21.71" u="1"/>
        <n v="31.49" u="1"/>
        <n v="31.52" u="1"/>
        <n v="2705" u="1"/>
        <n v="11.6" u="1"/>
      </sharedItems>
    </cacheField>
    <cacheField name="PERTENECE A FAMILIAS EN ACCION" numFmtId="0">
      <sharedItems containsBlank="1"/>
    </cacheField>
    <cacheField name="EL BENEFICIARIO HA SIDO VICTIMA DIRECTA CONFLICTO ARMADO" numFmtId="0">
      <sharedItems containsBlank="1"/>
    </cacheField>
    <cacheField name="CRITERIOS DE FOCALIZACION" numFmtId="0">
      <sharedItems containsBlank="1" longText="1"/>
    </cacheField>
    <cacheField name="SI NO CUMPLE CON NINGUN CRITERIO, CUENTA CON EL ACTA DONDE JUSTIFICA QUE EL BENEFICIARIO REQUIERE LA ATENCION" numFmtId="0">
      <sharedItems containsBlank="1"/>
    </cacheField>
    <cacheField name="TIPO DE RESPONSABLE" numFmtId="0">
      <sharedItems containsBlank="1"/>
    </cacheField>
    <cacheField name="TIPO DE DOCUMENTO ACUDIENTE" numFmtId="0">
      <sharedItems containsBlank="1" containsMixedTypes="1" containsNumber="1" containsInteger="1" minValue="1022935887" maxValue="1022935887"/>
    </cacheField>
    <cacheField name="NUMERO DE DOCUMENTO DEL ACUDIENTE" numFmtId="0">
      <sharedItems containsBlank="1" containsMixedTypes="1" containsNumber="1" containsInteger="1" minValue="192477" maxValue="9629741130519990"/>
    </cacheField>
    <cacheField name="PRIMER NOMBRE ACUDIENTE" numFmtId="0">
      <sharedItems containsBlank="1"/>
    </cacheField>
    <cacheField name="SEGUNDO NOMBRE ACUDIENTE" numFmtId="0">
      <sharedItems containsBlank="1"/>
    </cacheField>
    <cacheField name="PRIMER APELLIDO ACUDIENTE" numFmtId="0">
      <sharedItems containsBlank="1"/>
    </cacheField>
    <cacheField name="SEGUNDO APELLIDO ACUDIENTE" numFmtId="0">
      <sharedItems containsBlank="1" containsMixedTypes="1" containsNumber="1" containsInteger="1" minValue="38555" maxValue="38555"/>
    </cacheField>
    <cacheField name="FECHA DE NACIMIENTO ACUDIENTE" numFmtId="0">
      <sharedItems containsDate="1" containsBlank="1" containsMixedTypes="1" minDate="1900-01-16T00:00:00" maxDate="2022-08-04T00:00:00"/>
    </cacheField>
    <cacheField name="PAIS DE NACIMIENTO ACUDIENTE" numFmtId="0">
      <sharedItems containsBlank="1"/>
    </cacheField>
    <cacheField name="DEPARTAMENTO DE NACIMIENTO ACUDIENTE" numFmtId="0">
      <sharedItems containsBlank="1"/>
    </cacheField>
    <cacheField name="MUNICIPIO DE NACIMIENTO ACUDIENTE" numFmtId="0">
      <sharedItems containsBlank="1"/>
    </cacheField>
    <cacheField name="TIPO DE DOCUMENTO PAPÁ" numFmtId="0">
      <sharedItems containsBlank="1"/>
    </cacheField>
    <cacheField name="NUMERO DE DOCUMENTO DEL PAPÁ" numFmtId="0">
      <sharedItems containsBlank="1" containsMixedTypes="1" containsNumber="1" containsInteger="1" minValue="79965" maxValue="10577100549"/>
    </cacheField>
    <cacheField name="PRIMER NOMBRE PAPÁ" numFmtId="0">
      <sharedItems containsBlank="1"/>
    </cacheField>
    <cacheField name="SEGUNDO NOMBRE PAPÁ" numFmtId="0">
      <sharedItems containsBlank="1"/>
    </cacheField>
    <cacheField name="PRIMER APELLIDO PAPÁ" numFmtId="0">
      <sharedItems containsBlank="1"/>
    </cacheField>
    <cacheField name="SEGUNDO APELLIDO PAPÁ" numFmtId="0">
      <sharedItems containsBlank="1"/>
    </cacheField>
    <cacheField name="FECHA DE NACIMIENTO PAPÁ" numFmtId="0">
      <sharedItems containsDate="1" containsString="0" containsBlank="1" containsMixedTypes="1" minDate="1966-12-22T00:00:00" maxDate="2004-04-28T00:00:00"/>
    </cacheField>
    <cacheField name="EDAD PAPÁ (AÑOS)" numFmtId="1">
      <sharedItems containsMixedTypes="1" containsNumber="1" containsInteger="1" minValue="17" maxValue="56"/>
    </cacheField>
    <cacheField name="PAIS DE NACIMIENTO PAPÁ" numFmtId="0">
      <sharedItems containsBlank="1"/>
    </cacheField>
    <cacheField name="DEPARTAMENTO DE NACIMIENTO PAPÁ" numFmtId="0">
      <sharedItems containsBlank="1"/>
    </cacheField>
    <cacheField name="MUNICIPIO DE NACIMIENTO PAPÁ" numFmtId="0">
      <sharedItems containsBlank="1"/>
    </cacheField>
    <cacheField name="TIPO DE DOCUMENTO MAMÁ" numFmtId="0">
      <sharedItems containsBlank="1"/>
    </cacheField>
    <cacheField name="NUMERO DE DOCUMENTO DE LA MAMÁ" numFmtId="0">
      <sharedItems containsBlank="1" containsMixedTypes="1" containsNumber="1" containsInteger="1" minValue="2100928" maxValue="9629741130519990"/>
    </cacheField>
    <cacheField name="PRIMER NOMBRE MAMÁ" numFmtId="0">
      <sharedItems containsBlank="1"/>
    </cacheField>
    <cacheField name="SEGUNDO NOMBRE MAMÁ" numFmtId="0">
      <sharedItems containsBlank="1"/>
    </cacheField>
    <cacheField name="PRIMER APELLIDO MAMÁ" numFmtId="0">
      <sharedItems containsBlank="1"/>
    </cacheField>
    <cacheField name="SEGUNDO APELLIDO MAMÁ" numFmtId="0">
      <sharedItems containsBlank="1" containsMixedTypes="1" containsNumber="1" containsInteger="1" minValue="23" maxValue="23"/>
    </cacheField>
    <cacheField name="FECHA DE NACIMIENTO MAMÁ" numFmtId="0">
      <sharedItems containsDate="1" containsBlank="1" containsMixedTypes="1" minDate="1973-10-10T00:00:00" maxDate="2006-02-01T00:00:00"/>
    </cacheField>
    <cacheField name="EDAD MAMÁ" numFmtId="0">
      <sharedItems containsMixedTypes="1" containsNumber="1" containsInteger="1" minValue="0" maxValue="49"/>
    </cacheField>
    <cacheField name="PAIS DE NACIMIENTO MAMÁ" numFmtId="0">
      <sharedItems containsBlank="1"/>
    </cacheField>
    <cacheField name="DEPARTAMENTO DE NACIMIENTO MAMÁ" numFmtId="0">
      <sharedItems containsBlank="1"/>
    </cacheField>
    <cacheField name="MUNICIPIO DE NACIMIENTO MAMÁ" numFmtId="0">
      <sharedItems containsBlank="1"/>
    </cacheField>
    <cacheField name="REGIMEN" numFmtId="0">
      <sharedItems containsBlank="1" count="14">
        <s v="CONTRIBUTIVO"/>
        <s v="SUBSIDIADO"/>
        <s v="ESPECIAL"/>
        <s v="NO_SE_ENCUENTRA_AFILIADO"/>
        <m/>
        <s v="COTIZANTE" u="1"/>
        <s v="COOSALUD" u="1"/>
        <s v="AFILIADO REGIMEN ESPECIAL" u="1"/>
        <s v="EXTERIOR" u="1"/>
        <s v="AFILIADO REGIMEN SUBSIDIADO" u="1"/>
        <s v="NO AFILIADO" u="1"/>
        <s v="BOGOTÁ" u="1"/>
        <s v="ORTEGA" u="1"/>
        <s v="AFILIADO REGIMEN CONTRIBUTIVO" u="1"/>
      </sharedItems>
    </cacheField>
    <cacheField name="EPS" numFmtId="0">
      <sharedItems containsBlank="1" count="82">
        <s v="SALUD TOTAL EPS"/>
        <s v="CAPITAL SALUD EPS"/>
        <s v="NUEVA EPS"/>
        <s v="COMPENSAR"/>
        <s v="SURA EPS"/>
        <s v="EPS SANITAS"/>
        <s v="FAMISANAR EPS"/>
        <s v="MEDIMÁS EPS"/>
        <s v="CAJACOPI EPS"/>
        <s v="ALIANSALUD EPS"/>
        <s v="MUTUAL SER"/>
        <s v="FUERZAS MILITARES"/>
        <s v="NO_SE_ENCUENTRA_AFILIADO"/>
        <s v="CAPITAL SALUD"/>
        <s v="COOSALUD"/>
        <s v="SURAMERICANA"/>
        <m/>
        <s v="ASMET SALUD EPS"/>
        <s v="SANITAS"/>
        <s v="POLICÍA NACIONAL"/>
        <s v="COMFAMILIAR EPS"/>
        <s v="EMSSANAR EPS"/>
        <s v="ECOOPSOS"/>
        <s v="SALUD INDÍGENA ANAS WAYUU EPS"/>
        <s v="EPS. INDIGENA MALLAMAS"/>
        <s v="SANITAS "/>
        <s v="CONVIDA"/>
        <s v="CAPITAL SALUD "/>
        <s v="COMPENSAR "/>
        <s v="MUTUAL SER EPS"/>
        <s v="CONVIDA EPS"/>
        <s v="SALUD TOTAL"/>
        <s v="FAMISANAR"/>
        <s v="EPS FAMISANAR"/>
        <s v="EPS SURAMERCANA"/>
        <s v="ASMET"/>
        <s v="COOSALUD EPS S.A."/>
        <s v="EPS SURAMERICANA S.A."/>
        <s v="SALUD TOTAL EPS " u="1"/>
        <s v="MEDIMAS " u="1"/>
        <s v="MEDIMAS" u="1"/>
        <s v="COMPERSAR" u="1"/>
        <s v="SURA   " u="1"/>
        <s v="FAMISAMAR" u="1"/>
        <s v="POLICIA NACIONAL" u="1"/>
        <s v="NUEVA EPS " u="1"/>
        <s v="SALUS TOTAL" u="1"/>
        <s v="ALIANSALUD" u="1"/>
        <s v="CAPRESOCA EPS" u="1"/>
        <s v="COMFAMILIAR CARTAGENA" u="1"/>
        <s v="UNICAJAS" u="1"/>
        <s v="SURA " u="1"/>
        <s v="SURAMERICA" u="1"/>
        <s v="CAPITAL SALUD  " u="1"/>
        <s v="SURA EPS " u="1"/>
        <s v="COOMEVA " u="1"/>
        <s v="ALIANSA SALUD" u="1"/>
        <s v="COMFAMILIAR NARIÑO" u="1"/>
        <s v="NUEVA  EPS" u="1"/>
        <s v="SUBSIDIADO" u="1"/>
        <s v="NO AFILIADO " u="1"/>
        <s v="ANAS WAYUU" u="1"/>
        <s v="ALIANZA" u="1"/>
        <s v="NO AFILIADO" u="1"/>
        <s v="COMPENSAR    " u="1"/>
        <s v="FAMISANAR   " u="1"/>
        <s v="E.P.S. SANITAS" u="1"/>
        <s v="FAMISANAR  " u="1"/>
        <s v="SALUD TOTL" u="1"/>
        <s v="SURA" u="1"/>
        <s v="COMPARTA" u="1"/>
        <s v="CAPITAL SALUD EPS " u="1"/>
        <s v="COMPENSAR   " u="1"/>
        <s v="CONTRIBUTIVO" u="1"/>
        <s v="FAMISANAR EPS " u="1"/>
        <s v=" FAMISANAR" u="1"/>
        <s v="SANITAS   " u="1"/>
        <s v="SALUD TOTAL " u="1"/>
        <s v="COOMEVA EPS" u="1"/>
        <s v="CAPITAL SALUD      " u="1"/>
        <s v="SI" u="1"/>
        <s v="FAMISANAR " u="1"/>
      </sharedItems>
    </cacheField>
    <cacheField name="¿EL BENEFICIARIO CUENTA CON EL CARNET DE VACUNACIÓN? * " numFmtId="0">
      <sharedItems containsBlank="1" count="14">
        <s v="SI_"/>
        <s v="NO_"/>
        <m/>
        <s v="SI " u="1"/>
        <s v="NO " u="1"/>
        <s v="SI" u="1"/>
        <s v="NO" u="1"/>
        <s v="FAMISANAR EPS" u="1"/>
        <s v="´SI" u="1"/>
        <s v="SANITAS" u="1"/>
        <s v="FAMISANAR" u="1"/>
        <s v="SALUD TOTAL EPS" u="1"/>
        <s v="EPS SANITAS" u="1"/>
        <s v="COMPENSAR" u="1"/>
      </sharedItems>
    </cacheField>
    <cacheField name=" FECHA DE VERIFICACIÓN DEL ESQUEMA DE VACUNACIÓN" numFmtId="0">
      <sharedItems containsDate="1" containsBlank="1" containsMixedTypes="1" minDate="2020-10-10T00:00:00" maxDate="2022-12-16T00:00:00"/>
    </cacheField>
    <cacheField name="¿EL CARNET DE VACUNACIÓN SE ENCUENTRA AL DÍA EN LAS VACUNAS Y DOSIS QUE CORRESPONDEN A LA EDAD DEL NIÑO O NIÑA? * " numFmtId="0">
      <sharedItems containsBlank="1"/>
    </cacheField>
    <cacheField name="¿EL BENEFICIARIO PRESENTA CARNET DE CRECIMIENTO Y DESARROLLO? * " numFmtId="0">
      <sharedItems containsBlank="1" containsMixedTypes="1" containsNumber="1" containsInteger="1" minValue="0" maxValue="0" count="5">
        <m/>
        <s v="NO_"/>
        <s v="SI_"/>
        <n v="0"/>
        <s v="NO"/>
      </sharedItems>
    </cacheField>
    <cacheField name="SI EL NIÑO CUENTA CON EL CARNET, VERIFIQUE ¿CUÁNTOS CONTROLES DE CRECIMIENTO Y DESARROLLO HA RECIBIDO EL NIÑO, EN LOS ÚLTIMOS 6 MESES? " numFmtId="0">
      <sharedItems containsDate="1" containsBlank="1" containsMixedTypes="1" minDate="1899-12-31T00:00:00" maxDate="1900-01-09T14:50:04"/>
    </cacheField>
    <cacheField name="ANTECEDENTE DE PREMATUREZ * " numFmtId="0">
      <sharedItems containsBlank="1"/>
    </cacheField>
    <cacheField name="A LA FECHA DE VALORACIÓN EL BENEFICIARIO TIENE MENOS DE 40 SEMANAS " numFmtId="0">
      <sharedItems containsBlank="1"/>
    </cacheField>
    <cacheField name="PERIMETRO CEFÁLICO" numFmtId="0">
      <sharedItems containsBlank="1" containsMixedTypes="1" containsNumber="1" minValue="31" maxValue="39.5"/>
    </cacheField>
    <cacheField name="EDAD GESTACIONAL AL NACER * " numFmtId="0">
      <sharedItems containsBlank="1" containsMixedTypes="1" containsNumber="1" minValue="24" maxValue="3180"/>
    </cacheField>
    <cacheField name="PESO AL NACER (EN KILOGRAMOS) *" numFmtId="0">
      <sharedItems containsBlank="1" containsMixedTypes="1" containsNumber="1" minValue="38" maxValue="27780"/>
    </cacheField>
    <cacheField name="TALLA AL NACER (EN CENTÍMETROS) *" numFmtId="0">
      <sharedItems containsBlank="1" containsMixedTypes="1" containsNumber="1" minValue="28" maxValue="3120"/>
    </cacheField>
    <cacheField name="SI EL NIÑO O NIÑA ES MENOR DE 6 MESES, ¿ESTÁ SIENDO ALIMENTADO CON LECHE MATERNA DE FORMA EXCLUSIVA?" numFmtId="0">
      <sharedItems containsBlank="1" containsMixedTypes="1" containsNumber="1" containsInteger="1" minValue="50" maxValue="52"/>
    </cacheField>
    <cacheField name="DURACIÓN LACTANCIA MATERNA EXCLUSIVA (MESES)" numFmtId="0">
      <sharedItems containsDate="1" containsBlank="1" containsMixedTypes="1" minDate="1899-12-31T00:00:00" maxDate="1899-12-31T00:37:04"/>
    </cacheField>
    <cacheField name="DURACIÓN LACTANCIA MATERNA TOTAL (MESES)" numFmtId="0">
      <sharedItems containsDate="1" containsBlank="1" containsMixedTypes="1" minDate="1899-12-31T00:00:00" maxDate="1899-12-31T01:08:04"/>
    </cacheField>
    <cacheField name="X" numFmtId="0">
      <sharedItems containsBlank="1" containsMixedTypes="1" containsNumber="1" minValue="2" maxValue="40"/>
    </cacheField>
    <cacheField name="TIPO COMPLEMENTO" numFmtId="0">
      <sharedItems containsBlank="1" count="10">
        <s v="M. GESTANTES Y MADRES LACTANTES (MENOR DE 6 MESES)"/>
        <s v="NIÑOS Y NIÑAS MAYORES DE 1 AÑO"/>
        <s v="NIÑOS Y NIÑAS DE 6 MESES A 11 MESES 29 DIAS"/>
        <s v="MAYORES A 3 AÑOS"/>
        <s v="" u="1"/>
        <m u="1"/>
        <e v="#NUM!" u="1"/>
        <e v="#REF!" u="1"/>
        <s v="NIÑOS Y NIÑAS DE 6 MESES A 5 AÑOS" u="1"/>
        <e v="#VALUE!" u="1"/>
      </sharedItems>
    </cacheField>
    <cacheField name="SI EL BENEFICIARIO TIENE TICKET, INDIQUE EL NÚMERO DE TICKET" numFmtId="0">
      <sharedItems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0">
  <r>
    <n v="1023004072"/>
    <x v="0"/>
    <d v="2022-03-03T00:00:00"/>
    <d v="2022-07-18T00:00:00"/>
    <e v="#REF!"/>
    <e v="#N/A"/>
    <m/>
    <x v="0"/>
    <x v="0"/>
    <x v="0"/>
    <s v="CC"/>
    <s v="CLAUDIA"/>
    <s v="PATRICIA "/>
    <s v="MONSALVE "/>
    <s v="MONSALVE"/>
    <s v="CLAUDIA PATRICIA  MONSALVE  MONSALVE"/>
    <d v="1995-05-15T00:00:00"/>
    <x v="0"/>
    <n v="7"/>
    <n v="11"/>
    <s v="27 AÑOS 7 MESES 11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RRERA 7C ESTE 107 SUR 39"/>
    <n v="3203187736"/>
    <n v="3123667094"/>
    <x v="0"/>
    <s v="NO SE AUTORECONOCE EN NINGUNO DE LOS ANTERIORES"/>
    <x v="0"/>
    <x v="0"/>
    <s v="NO_"/>
    <s v="NO_"/>
    <s v="a. Pertenecientes a hogares con puntaje SISBEN"/>
    <m/>
    <s v="CONYUGE"/>
    <s v="CC"/>
    <n v="1014207273"/>
    <s v="LUIS "/>
    <s v="GUILLERMO"/>
    <s v="RODRIGUEZ"/>
    <s v="SALGUERO"/>
    <d v="1989-08-30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0"/>
    <x v="0"/>
    <d v="2022-02-28T00:00:00"/>
    <m/>
    <x v="0"/>
    <m/>
    <m/>
    <m/>
    <m/>
    <m/>
    <m/>
    <m/>
    <m/>
    <m/>
    <m/>
    <s v="SEM 23"/>
    <x v="0"/>
    <m/>
  </r>
  <r>
    <n v="1023048716"/>
    <x v="1"/>
    <d v="2022-07-19T00:00:00"/>
    <m/>
    <m/>
    <m/>
    <m/>
    <x v="0"/>
    <x v="0"/>
    <x v="0"/>
    <s v="RC"/>
    <s v="LUNA"/>
    <s v="ISAVELA"/>
    <s v="RODRIGUEZ"/>
    <s v="MONSALVE"/>
    <s v="LUNA ISAVELA RODRIGUEZ MONSALVE"/>
    <d v="2022-07-08T00:00:00"/>
    <x v="1"/>
    <n v="5"/>
    <n v="18"/>
    <s v="0 AÑOS 5 MESES 18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RRERA 7C ESTE 107 SUR 39"/>
    <n v="3203187736"/>
    <n v="3123667094"/>
    <x v="0"/>
    <s v="NO SE AUTORECONOCE EN NINGUNO DE LOS ANTERIORES"/>
    <x v="1"/>
    <x v="1"/>
    <s v="NO_"/>
    <s v="NO_"/>
    <s v="o. Ingresos iguales o inferiores a 1.5 Smlv"/>
    <m/>
    <s v="MADRE"/>
    <s v="CC"/>
    <n v="1023004072"/>
    <s v="CLAUDIA"/>
    <s v="PATRICIA "/>
    <s v="MONSALVE "/>
    <s v="MONSALVE"/>
    <d v="1995-05-15T00:00:00"/>
    <s v="COLOMBIA"/>
    <s v="BOGOTÁ"/>
    <s v="BOGOTÁ"/>
    <s v="CC"/>
    <n v="1014207273"/>
    <s v="LUIS "/>
    <s v="GUILLERMO"/>
    <s v="RODRIGUEZ"/>
    <s v="SALGUERO"/>
    <d v="1989-08-30T00:00:00"/>
    <n v="33"/>
    <s v="COLOMBIA"/>
    <s v="BOGOTÁ"/>
    <s v="BOGOTÁ"/>
    <s v="CC"/>
    <n v="1023004072"/>
    <s v="CLAUDIA"/>
    <s v="PATRICIA "/>
    <s v="MONSALVE "/>
    <s v="MONSALVE"/>
    <d v="1995-05-15T00:00:00"/>
    <n v="27"/>
    <s v="COLOMBIA"/>
    <s v="BOGOTÁ"/>
    <s v="BOGOTÁ"/>
    <x v="1"/>
    <x v="0"/>
    <x v="1"/>
    <d v="2022-07-19T00:00:00"/>
    <s v="NO_"/>
    <x v="1"/>
    <m/>
    <s v="NO_"/>
    <s v="NO"/>
    <m/>
    <s v="40 SEMANAS"/>
    <m/>
    <m/>
    <s v="NO_"/>
    <n v="0"/>
    <n v="1"/>
    <m/>
    <x v="0"/>
    <m/>
  </r>
  <r>
    <n v="1012926906"/>
    <x v="1"/>
    <d v="2022-03-03T00:00:00"/>
    <m/>
    <m/>
    <m/>
    <m/>
    <x v="0"/>
    <x v="1"/>
    <x v="1"/>
    <s v="RC"/>
    <s v="CRISTINA "/>
    <s v="ISABELLA "/>
    <s v="LEON "/>
    <s v="LEON"/>
    <s v="CRISTINA  ISABELLA  LEON  LEON"/>
    <d v="2020-08-27T00:00:00"/>
    <x v="2"/>
    <n v="3"/>
    <n v="29"/>
    <s v="2 AÑOS 3 MESES 2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LLE 104 SUR 7H ESTE 73-02 "/>
    <n v="3023623887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LACEY"/>
    <s v="CAROL"/>
    <s v="LEON "/>
    <s v="LEON"/>
    <d v="1986-03-11T00:00:00"/>
    <s v="VENEZUELA"/>
    <s v="EXTERIOR"/>
    <s v="EXTERIOR"/>
    <m/>
    <m/>
    <m/>
    <m/>
    <m/>
    <m/>
    <m/>
    <s v=""/>
    <m/>
    <m/>
    <m/>
    <s v="SIN DOCUMENTO"/>
    <m/>
    <s v="LACEY"/>
    <s v="CAROL"/>
    <s v="LEON "/>
    <s v="LEON"/>
    <d v="1986-03-11T00:00:00"/>
    <n v="36"/>
    <s v="VENEZUELA"/>
    <s v="EXTERIOR"/>
    <s v="EXTERIOR"/>
    <x v="1"/>
    <x v="1"/>
    <x v="0"/>
    <d v="2022-02-28T00:00:00"/>
    <s v="SI_"/>
    <x v="2"/>
    <n v="1"/>
    <s v="NO_"/>
    <m/>
    <m/>
    <n v="39"/>
    <n v="2600"/>
    <n v="49"/>
    <s v="NO_"/>
    <n v="6"/>
    <m/>
    <m/>
    <x v="1"/>
    <m/>
  </r>
  <r>
    <n v="1023047865"/>
    <x v="0"/>
    <d v="2022-03-03T00:00:00"/>
    <d v="2022-08-22T00:00:00"/>
    <e v="#REF!"/>
    <e v="#N/A"/>
    <m/>
    <x v="0"/>
    <x v="2"/>
    <x v="2"/>
    <s v="RC"/>
    <s v="BENYAMIN"/>
    <s v="ANDRES "/>
    <s v="MEDINA "/>
    <s v="SANCHEZ"/>
    <s v="BENYAMIN ANDRES  MEDINA  SANCHEZ"/>
    <d v="2022-01-30T00:00:00"/>
    <x v="1"/>
    <n v="10"/>
    <n v="26"/>
    <s v="0 AÑOS 10 MESES 2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"/>
    <m/>
    <s v="TRANSVERSAL 1 B ESTE 83 SUR 75"/>
    <n v="3138423412"/>
    <m/>
    <x v="1"/>
    <s v="NO SE AUTORECONOCE EN NINGUNO DE LOS ANTERIORES"/>
    <x v="1"/>
    <x v="1"/>
    <s v="NO_"/>
    <s v="NO_"/>
    <s v="o. Ingresos iguales o inferiores a 1.5 Smlv"/>
    <m/>
    <s v="MADRE"/>
    <s v="CC"/>
    <n v="1023027685"/>
    <s v="ANGIE "/>
    <s v="PAOLA "/>
    <s v="SANCHEZ "/>
    <s v="CASTAÑO "/>
    <d v="1998-04-23T00:00:00"/>
    <s v="COLOMBIA"/>
    <s v="BOGOTÁ"/>
    <s v="BOGOTÁ"/>
    <s v="CC"/>
    <n v="1023034116"/>
    <s v="ANDRES"/>
    <s v="FELIPE "/>
    <s v="MEDINA "/>
    <s v="PORRAS"/>
    <d v="1998-12-24T00:00:00"/>
    <n v="24"/>
    <s v="COLOMBIA"/>
    <s v="BOGOTÁ"/>
    <s v="BOGOTÁ"/>
    <s v="CC"/>
    <n v="1023027685"/>
    <s v="ANGIE "/>
    <s v="PAOLA "/>
    <s v="SANCHEZ"/>
    <s v="CASTAÑO"/>
    <d v="1998-04-23T00:00:00"/>
    <n v="24"/>
    <s v="COLOMBIA"/>
    <s v="BOGOTÁ"/>
    <s v="BOGOTÁ"/>
    <x v="1"/>
    <x v="1"/>
    <x v="0"/>
    <d v="2022-02-28T00:00:00"/>
    <s v="SI_"/>
    <x v="2"/>
    <n v="1"/>
    <s v="SI_"/>
    <m/>
    <m/>
    <n v="36"/>
    <n v="2240"/>
    <n v="48"/>
    <s v="SI_"/>
    <n v="6"/>
    <m/>
    <m/>
    <x v="2"/>
    <m/>
  </r>
  <r>
    <n v="1023045681"/>
    <x v="1"/>
    <d v="2022-10-11T00:00:00"/>
    <m/>
    <s v="Ingresos iguales o inferiores a 1.5 Smlv"/>
    <m/>
    <m/>
    <x v="0"/>
    <x v="1"/>
    <x v="1"/>
    <s v="RC"/>
    <s v="DILAN "/>
    <s v="RAFAEL "/>
    <s v="BLANCO "/>
    <s v="MORENO"/>
    <s v="DILAN  RAFAEL  BLANCO  MORENO"/>
    <d v="2020-10-24T00:00:00"/>
    <x v="2"/>
    <n v="2"/>
    <n v="2"/>
    <s v="2 AÑOS 2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CALLE 95 SUR  7 A ESTE  18"/>
    <n v="3132701445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DERITZA"/>
    <s v="CAROLINA"/>
    <s v="MORENO "/>
    <s v="TORRES"/>
    <d v="2000-11-03T00:00:00"/>
    <s v="VENEZUELA"/>
    <s v="EXTERIOR"/>
    <s v="EXTERIOR"/>
    <m/>
    <m/>
    <m/>
    <m/>
    <m/>
    <m/>
    <m/>
    <s v=""/>
    <m/>
    <m/>
    <m/>
    <s v="CC"/>
    <m/>
    <s v="DERITZA"/>
    <s v="CAROLINA"/>
    <s v="MORENO "/>
    <s v="TORRES"/>
    <d v="2000-11-03T00:00:00"/>
    <n v="22"/>
    <s v="VENEZUELA"/>
    <s v="EXTERIOR"/>
    <s v="EXTERIOR"/>
    <x v="1"/>
    <x v="1"/>
    <x v="0"/>
    <d v="2020-10-10T00:00:00"/>
    <s v="SI_"/>
    <x v="1"/>
    <m/>
    <s v="NO_"/>
    <m/>
    <m/>
    <n v="35"/>
    <n v="3900"/>
    <n v="50"/>
    <s v="NO_"/>
    <n v="6"/>
    <m/>
    <m/>
    <x v="1"/>
    <m/>
  </r>
  <r>
    <n v="1122539535"/>
    <x v="0"/>
    <d v="2022-03-03T00:00:00"/>
    <d v="2022-10-10T00:00:00"/>
    <m/>
    <e v="#N/A"/>
    <m/>
    <x v="0"/>
    <x v="1"/>
    <x v="1"/>
    <s v="RC"/>
    <s v="ARIAM"/>
    <s v="DAVID"/>
    <s v="CORDOBA"/>
    <s v="LUGO"/>
    <s v="ARIAM DAVID CORDOBA LUGO"/>
    <d v="2020-06-07T00:00:00"/>
    <x v="2"/>
    <n v="6"/>
    <n v="19"/>
    <s v="2 AÑOS 6 MESES 19 DIAS "/>
    <x v="2"/>
    <x v="1"/>
    <x v="0"/>
    <s v="META"/>
    <s v="VILLAVICENCIO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CARRERA 5 106 A 16 SUR "/>
    <n v="3132374466"/>
    <n v="3214499739"/>
    <x v="0"/>
    <s v="NO SE AUTORECONOCE EN NINGUNO DE LOS ANTERIORES"/>
    <x v="0"/>
    <x v="2"/>
    <s v="NO_"/>
    <s v="NO_"/>
    <s v="o. Ingresos iguales o inferiores a 1.5 Smlv"/>
    <m/>
    <s v="MADRE"/>
    <s v="SIN DOCUMENTO"/>
    <m/>
    <s v="MARIA "/>
    <s v="EUGENIA "/>
    <s v="LUGO "/>
    <s v="ARCHA"/>
    <d v="2002-02-14T00:00:00"/>
    <s v="VENEZUELA"/>
    <s v="EXTERIOR"/>
    <s v="EXTERIOR"/>
    <s v="CC"/>
    <n v="1127140897"/>
    <s v="GERMAN "/>
    <s v="DAVID "/>
    <s v="CORDOBA "/>
    <s v="ADAME"/>
    <d v="1990-04-02T00:00:00"/>
    <n v="32"/>
    <s v="COLOMBIA"/>
    <s v="VICHADA"/>
    <s v="SANTA ROSALÍA"/>
    <s v="SIN DOCUMENTO"/>
    <m/>
    <s v="MARIA"/>
    <s v="EUGENIA"/>
    <s v="LUGO"/>
    <s v="ARCHA"/>
    <d v="2002-02-14T00:00:00"/>
    <n v="20"/>
    <s v="VENEZUELA"/>
    <s v="EXTERIOR"/>
    <s v="EXTERIOR"/>
    <x v="0"/>
    <x v="2"/>
    <x v="0"/>
    <d v="2022-02-28T00:00:00"/>
    <s v="SI_"/>
    <x v="1"/>
    <m/>
    <m/>
    <m/>
    <m/>
    <n v="39"/>
    <n v="3685"/>
    <n v="50"/>
    <s v="NO_"/>
    <n v="6"/>
    <m/>
    <m/>
    <x v="1"/>
    <m/>
  </r>
  <r>
    <n v="1245078067"/>
    <x v="0"/>
    <d v="2022-03-03T00:00:00"/>
    <d v="2022-03-30T00:00:00"/>
    <e v="#REF!"/>
    <e v="#N/A"/>
    <m/>
    <x v="0"/>
    <x v="1"/>
    <x v="1"/>
    <s v="RC"/>
    <s v="JUAN  "/>
    <s v="URIEL"/>
    <s v="RODRIGUEZ"/>
    <s v="LEON"/>
    <s v="JUAN   URIEL RODRIGUEZ LEON"/>
    <d v="2020-09-22T00:00:00"/>
    <x v="2"/>
    <n v="3"/>
    <n v="4"/>
    <s v="2 AÑOS 3 MESES 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RRERA 7C ESTE 108 SUR 25"/>
    <n v="3228263779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YAHAIRENE"/>
    <s v="CLAUDINA"/>
    <s v="LEON "/>
    <s v="BELEÑO"/>
    <d v="1989-11-08T00:00:00"/>
    <s v="VENEZUELA"/>
    <s v="EXTERIOR"/>
    <s v="EXTERIOR"/>
    <s v="CC"/>
    <n v="10577100549"/>
    <s v="JUAN "/>
    <s v="GABRIEL "/>
    <s v="RODRIGUEZ "/>
    <s v="ROPERO"/>
    <d v="1990-09-29T00:00:00"/>
    <n v="32"/>
    <s v="COLOMBIA"/>
    <s v="BOYACÁ"/>
    <s v="TOGÜÍ"/>
    <s v="SIN DOCUMENTO"/>
    <m/>
    <s v="YAHAIRENE"/>
    <s v="CLAUDINA"/>
    <s v="LEON "/>
    <s v="BELEÑO"/>
    <d v="1989-11-08T00:00:00"/>
    <n v="33"/>
    <s v="VENEZUELA"/>
    <s v="EXTERIOR"/>
    <s v="EXTERIOR"/>
    <x v="1"/>
    <x v="1"/>
    <x v="0"/>
    <d v="2022-02-28T00:00:00"/>
    <s v="SI_"/>
    <x v="1"/>
    <m/>
    <m/>
    <m/>
    <m/>
    <n v="40"/>
    <n v="3150"/>
    <n v="51"/>
    <s v="NO_"/>
    <n v="6"/>
    <m/>
    <m/>
    <x v="1"/>
    <m/>
  </r>
  <r>
    <n v="1245078260"/>
    <x v="0"/>
    <d v="2022-03-03T00:00:00"/>
    <d v="2022-10-03T00:00:00"/>
    <e v="#REF!"/>
    <e v="#N/A"/>
    <s v="TRIANGULO"/>
    <x v="0"/>
    <x v="1"/>
    <x v="1"/>
    <s v="RC"/>
    <s v="DAVIANNY"/>
    <s v="JERUSALEMA"/>
    <s v="CAÑA"/>
    <s v="GUEVARA"/>
    <s v="DAVIANNY JERUSALEMA CAÑA GUEVARA"/>
    <d v="2020-11-11T00:00:00"/>
    <x v="2"/>
    <n v="1"/>
    <n v="15"/>
    <s v="2 AÑOS 1 MESES 1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"/>
    <m/>
    <s v="CALLE 84 A SUR 1 ESTE 63-01"/>
    <n v="3204190615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ASTRID "/>
    <s v="FREDESMINDER"/>
    <s v="GUEVARA "/>
    <s v="FRANCO"/>
    <d v="1992-11-21T00:00:00"/>
    <s v="VENEZUELA"/>
    <s v="EXTERIOR"/>
    <s v="EXTERIOR"/>
    <s v="SIN DOCUMENTO"/>
    <m/>
    <s v="DARWIN "/>
    <s v="ENRIQUE"/>
    <s v="CAÑA "/>
    <s v="GARCIA "/>
    <d v="1994-06-10T00:00:00"/>
    <n v="28"/>
    <s v="VENEZUELA"/>
    <s v="EXTERIOR"/>
    <s v="EXTERIOR"/>
    <s v="SIN DOCUMENTO"/>
    <m/>
    <s v="ASTRID"/>
    <s v="FREDESMINDER"/>
    <s v="GUEVARA "/>
    <s v="FRANCO"/>
    <d v="1992-11-21T00:00:00"/>
    <n v="30"/>
    <s v="VENEZUELA"/>
    <s v="EXTERIOR"/>
    <s v="EXTERIOR"/>
    <x v="1"/>
    <x v="1"/>
    <x v="0"/>
    <d v="2022-02-28T00:00:00"/>
    <s v="SI_"/>
    <x v="2"/>
    <n v="1"/>
    <s v="SI_"/>
    <m/>
    <m/>
    <n v="26"/>
    <n v="940"/>
    <n v="34"/>
    <s v="SI_"/>
    <n v="6"/>
    <m/>
    <m/>
    <x v="1"/>
    <m/>
  </r>
  <r>
    <n v="1018519486"/>
    <x v="0"/>
    <d v="2022-03-03T00:00:00"/>
    <d v="2022-10-03T00:00:00"/>
    <e v="#REF!"/>
    <e v="#N/A"/>
    <s v="TRIANGULO"/>
    <x v="0"/>
    <x v="1"/>
    <x v="1"/>
    <s v="RC"/>
    <s v="DYLAN "/>
    <s v="SANTIAGO"/>
    <s v="GUEVARA"/>
    <s v="GUEDEZ"/>
    <s v="DYLAN  SANTIAGO GUEVARA GUEDEZ"/>
    <d v="2020-11-03T00:00:00"/>
    <x v="2"/>
    <n v="1"/>
    <n v="23"/>
    <s v="2 AÑOS 1 MESES 2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"/>
    <m/>
    <s v="CALLE 84 A SUR 1 ESTE 63-01"/>
    <n v="3209097849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RONANYELIS"/>
    <s v="ROSIBETH"/>
    <s v="GUEDEZ "/>
    <s v="GUEDEZ"/>
    <d v="2003-03-23T00:00:00"/>
    <s v="VENEZUELA"/>
    <s v="EXTERIOR"/>
    <s v="EXTERIOR"/>
    <s v="SIN DOCUMENTO"/>
    <m/>
    <s v="ROMAN"/>
    <s v="NOE "/>
    <s v="GUEVARA "/>
    <s v="FRANCO"/>
    <d v="2001-05-15T00:00:00"/>
    <n v="21"/>
    <s v="VENEZUELA"/>
    <s v="EXTERIOR"/>
    <s v="EXTERIOR"/>
    <s v="SIN DOCUMENTO"/>
    <m/>
    <s v="RONANYELIS"/>
    <s v="ROSIBETH"/>
    <s v="GUEDEZ "/>
    <s v="GUEDEZ"/>
    <d v="2003-03-23T00:00:00"/>
    <n v="19"/>
    <s v="VENEZUELA"/>
    <s v="EXTERIOR"/>
    <s v="EXTERIOR"/>
    <x v="1"/>
    <x v="1"/>
    <x v="0"/>
    <d v="2022-02-28T00:00:00"/>
    <s v="SI_"/>
    <x v="2"/>
    <n v="1"/>
    <s v="SI_"/>
    <m/>
    <m/>
    <n v="29"/>
    <n v="2575"/>
    <n v="49"/>
    <s v="SI_"/>
    <n v="6"/>
    <m/>
    <m/>
    <x v="1"/>
    <m/>
  </r>
  <r>
    <n v="1243860754"/>
    <x v="0"/>
    <d v="2022-03-03T00:00:00"/>
    <d v="2022-10-03T00:00:00"/>
    <e v="#REF!"/>
    <e v="#N/A"/>
    <s v="TRIANGULO"/>
    <x v="0"/>
    <x v="3"/>
    <x v="3"/>
    <s v="RC"/>
    <s v="SAMARA"/>
    <s v="CRISTINA "/>
    <s v="YUNDA"/>
    <s v="SANCHEZ"/>
    <s v="SAMARA CRISTINA  YUNDA SANCHEZ"/>
    <d v="2021-11-20T00:00:00"/>
    <x v="3"/>
    <n v="1"/>
    <n v="6"/>
    <s v="1 AÑOS 1 MESES 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"/>
    <m/>
    <s v="CALLE 90 C SUR 1 24 PISO 1"/>
    <n v="3178552536"/>
    <m/>
    <x v="0"/>
    <s v="NO SE AUTORECONOCE EN NINGUNO DE LOS ANTERIORES"/>
    <x v="0"/>
    <x v="3"/>
    <s v="NO_"/>
    <s v="NO_"/>
    <s v="a. Pertenecientes a hogares con puntaje SISBEN"/>
    <m/>
    <s v="TIO(A)"/>
    <s v="CC"/>
    <n v="1022968718"/>
    <s v="NEVI"/>
    <m/>
    <s v="SANCHEZ "/>
    <s v="OYOLA"/>
    <d v="1991-03-19T00:00:00"/>
    <s v="COLOMBIA"/>
    <s v="CAUCA"/>
    <s v="CAJIBÍO"/>
    <s v="CC"/>
    <n v="76352778"/>
    <s v="JHON"/>
    <s v="EDY"/>
    <s v="YUNDA "/>
    <s v="CAMPO"/>
    <d v="1984-12-04T00:00:00"/>
    <n v="38"/>
    <s v="COLOMBIA"/>
    <s v="CAUCA"/>
    <s v="CAJIBÍO"/>
    <s v="CC"/>
    <n v="1060799781"/>
    <s v="EUNICE"/>
    <m/>
    <s v="SANCHEZ "/>
    <s v="OYOLA"/>
    <d v="1989-03-17T00:00:00"/>
    <n v="33"/>
    <s v="COLOMBIA"/>
    <s v="CAUCA"/>
    <s v="CAJIBÍO"/>
    <x v="0"/>
    <x v="3"/>
    <x v="0"/>
    <d v="2022-02-28T00:00:00"/>
    <s v="SI_"/>
    <x v="2"/>
    <n v="1"/>
    <s v="NO_"/>
    <m/>
    <m/>
    <n v="49"/>
    <n v="2540"/>
    <n v="49"/>
    <s v="SI_"/>
    <m/>
    <m/>
    <m/>
    <x v="1"/>
    <m/>
  </r>
  <r>
    <n v="1016750654"/>
    <x v="0"/>
    <d v="2022-03-03T00:00:00"/>
    <d v="2022-03-15T00:00:00"/>
    <e v="#REF!"/>
    <e v="#N/A"/>
    <m/>
    <x v="0"/>
    <x v="1"/>
    <x v="1"/>
    <s v="RC"/>
    <s v="AMAIA"/>
    <s v="ISABELLA "/>
    <s v="AGUDELO"/>
    <s v="BERNAL"/>
    <s v="AMAIA ISABELLA  AGUDELO BERNAL"/>
    <d v="2020-10-13T00:00:00"/>
    <x v="2"/>
    <n v="2"/>
    <n v="13"/>
    <s v="2 AÑOS 2 MESES 1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ALLE 105 A SUR 7 ESTE 09"/>
    <n v="3143668359"/>
    <m/>
    <x v="0"/>
    <s v="NO SE AUTORECONOCE EN NINGUNO DE LOS ANTERIORES"/>
    <x v="0"/>
    <x v="4"/>
    <s v="NO_"/>
    <s v="NO_"/>
    <s v="a. Pertenecientes a hogares con puntaje SISBEN"/>
    <m/>
    <s v="MADRE"/>
    <s v="CC"/>
    <n v="1007770220"/>
    <s v="CHELCINTH "/>
    <s v="KATHERIN"/>
    <s v="BERNAL"/>
    <s v="SANTOFIMIO"/>
    <d v="1999-03-16T00:00:00"/>
    <s v="COLOMBIA"/>
    <s v="CUNDINAMARCA"/>
    <s v="FACATATIVÁ"/>
    <s v="CC"/>
    <n v="1013583167"/>
    <s v="JORGE"/>
    <s v="ANDRES"/>
    <s v="AGUDELO"/>
    <s v="MARTINEZ"/>
    <d v="1988-09-28T00:00:00"/>
    <n v="34"/>
    <s v="COLOMBIA"/>
    <s v="BOGOTÁ"/>
    <s v="BOGOTÁ"/>
    <s v="CC"/>
    <n v="1007770220"/>
    <s v="CHELCINTH "/>
    <s v="KATHERIN"/>
    <s v="BERNAL"/>
    <s v="SANTOFIMIO"/>
    <d v="1999-03-16T00:00:00"/>
    <n v="23"/>
    <s v="COLOMBIA"/>
    <s v="CUNDINAMARCA"/>
    <s v="FACATATIVÁ"/>
    <x v="0"/>
    <x v="0"/>
    <x v="0"/>
    <d v="2022-02-28T00:00:00"/>
    <s v="SI_"/>
    <x v="1"/>
    <m/>
    <s v="NO_"/>
    <m/>
    <m/>
    <n v="48"/>
    <n v="2900"/>
    <n v="50"/>
    <s v="SI_"/>
    <n v="6"/>
    <m/>
    <m/>
    <x v="1"/>
    <m/>
  </r>
  <r>
    <n v="1023046490"/>
    <x v="1"/>
    <d v="2022-03-03T00:00:00"/>
    <m/>
    <m/>
    <m/>
    <m/>
    <x v="0"/>
    <x v="1"/>
    <x v="1"/>
    <s v="RC"/>
    <s v="DAYLIN "/>
    <s v="CELESTE "/>
    <s v="RIVERA "/>
    <s v="GUEVARA "/>
    <s v="DAYLIN  CELESTE  RIVERA  GUEVARA "/>
    <d v="2021-03-23T00:00:00"/>
    <x v="3"/>
    <n v="9"/>
    <n v="3"/>
    <s v="1 AÑOS 9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"/>
    <m/>
    <s v="CALLE 9 SUR 8-69 ESTE "/>
    <n v="3125781822"/>
    <m/>
    <x v="0"/>
    <s v="NO SE AUTORECONOCE EN NINGUNO DE LOS ANTERIORES"/>
    <x v="0"/>
    <x v="4"/>
    <s v="NO_"/>
    <s v="NO_"/>
    <s v="a. Pertenecientes a hogares con puntaje SISBEN"/>
    <m/>
    <s v="MADRE"/>
    <s v="CC"/>
    <n v="1024473571"/>
    <s v="YADIRA "/>
    <m/>
    <s v="GUEVARA "/>
    <s v="MONTIEL "/>
    <d v="2001-03-10T00:00:00"/>
    <s v="COLOMBIA"/>
    <s v="BOGOTÁ"/>
    <s v="BOGOTÁ"/>
    <s v="CC"/>
    <n v="1000214657"/>
    <s v="JUAN "/>
    <s v="DAVID "/>
    <s v="RIVERA "/>
    <s v="CRUZ"/>
    <d v="1997-01-21T00:00:00"/>
    <n v="25"/>
    <s v="COLOMBIA"/>
    <s v="BOGOTÁ"/>
    <s v="BOGOTÁ"/>
    <s v="CC"/>
    <n v="1024473571"/>
    <s v="YADIRA "/>
    <m/>
    <s v="GUEVARA "/>
    <s v="MONTIEL "/>
    <d v="2001-03-10T00:00:00"/>
    <n v="21"/>
    <s v="COLOMBIA"/>
    <s v="BOGOTÁ"/>
    <s v="BOGOTÁ"/>
    <x v="0"/>
    <x v="4"/>
    <x v="0"/>
    <d v="2022-02-28T00:00:00"/>
    <s v="SI_"/>
    <x v="2"/>
    <n v="3"/>
    <s v="NO_"/>
    <m/>
    <m/>
    <n v="38"/>
    <n v="2785"/>
    <n v="49"/>
    <s v="SI_"/>
    <n v="6"/>
    <m/>
    <m/>
    <x v="1"/>
    <m/>
  </r>
  <r>
    <n v="1023048027"/>
    <x v="1"/>
    <d v="2022-03-14T00:00:00"/>
    <m/>
    <m/>
    <m/>
    <m/>
    <x v="0"/>
    <x v="2"/>
    <x v="2"/>
    <s v="RC"/>
    <s v="MARIA "/>
    <s v="SALOME "/>
    <s v="LOPEZ "/>
    <s v="USECHE "/>
    <s v="MARIA  SALOME  LOPEZ  USECHE "/>
    <d v="2022-01-30T00:00:00"/>
    <x v="1"/>
    <n v="10"/>
    <n v="26"/>
    <s v="0 AÑOS 10 MESES 2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DIAGONAL 97 F BIS SUR 4 ESTE 45"/>
    <n v="3208112091"/>
    <m/>
    <x v="0"/>
    <s v="NO SE AUTORECONOCE EN NINGUNO DE LOS ANTERIORES"/>
    <x v="1"/>
    <x v="1"/>
    <s v="NO_"/>
    <s v="NO_"/>
    <s v="o. Ingresos iguales o inferiores a 1.5 Smlv"/>
    <m/>
    <s v="MADRE"/>
    <s v="CC"/>
    <n v="1193073564"/>
    <s v="DILIA "/>
    <s v="VANESSA"/>
    <s v="LOPEZ"/>
    <s v="USECHE "/>
    <d v="2002-11-11T00:00:00"/>
    <s v="COLOMBIA"/>
    <s v="BOGOTÁ"/>
    <s v="BOGOTÁ"/>
    <m/>
    <m/>
    <m/>
    <m/>
    <m/>
    <m/>
    <m/>
    <s v=""/>
    <m/>
    <m/>
    <m/>
    <s v="CC"/>
    <n v="1193073564"/>
    <s v="DILIA "/>
    <s v="VANESSA"/>
    <s v="LOPEZ"/>
    <s v="USECHE "/>
    <d v="2002-11-11T00:00:00"/>
    <n v="20"/>
    <s v="COLOMBIA"/>
    <s v="BOGOTÁ"/>
    <s v="BOGOTÁ"/>
    <x v="1"/>
    <x v="1"/>
    <x v="0"/>
    <d v="2022-03-07T00:00:00"/>
    <s v="SI_"/>
    <x v="2"/>
    <n v="1"/>
    <s v="NO_"/>
    <m/>
    <m/>
    <n v="39"/>
    <n v="2500"/>
    <n v="47"/>
    <s v="SI_"/>
    <m/>
    <m/>
    <m/>
    <x v="2"/>
    <m/>
  </r>
  <r>
    <n v="1193073564"/>
    <x v="0"/>
    <d v="2022-03-03T00:00:00"/>
    <d v="2022-03-11T00:00:00"/>
    <e v="#REF!"/>
    <e v="#N/A"/>
    <m/>
    <x v="0"/>
    <x v="0"/>
    <x v="0"/>
    <s v="CC"/>
    <s v="DILIA"/>
    <s v="VANESSA"/>
    <s v="LOPEZ "/>
    <s v="USECHE "/>
    <s v="DILIA VANESSA LOPEZ  USECHE "/>
    <d v="2002-11-11T00:00:00"/>
    <x v="4"/>
    <n v="1"/>
    <n v="15"/>
    <s v="20 AÑOS 1 MESES 15 DIAS "/>
    <x v="0"/>
    <x v="0"/>
    <x v="0"/>
    <s v="TOLIMA"/>
    <s v="HOND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DIAGONAL 97 F BIS SUR 4 ESTE 45"/>
    <n v="3208112091"/>
    <m/>
    <x v="0"/>
    <s v="NO SE AUTORECONOCE EN NINGUNO DE LOS ANTERIORES"/>
    <x v="1"/>
    <x v="1"/>
    <s v="NO_"/>
    <s v="NO_"/>
    <s v="o. Ingresos iguales o inferiores a 1.5 Smlv"/>
    <m/>
    <s v="CONYUGE"/>
    <s v="SIN DOCUMENTO"/>
    <m/>
    <s v="ULISES"/>
    <s v="ANTONIO"/>
    <s v="MORALES"/>
    <s v="CHIRINOS"/>
    <d v="2001-08-12T00:00:00"/>
    <s v="VENEZUELA"/>
    <s v="EXTERIOR"/>
    <s v="EXTERIOR"/>
    <m/>
    <m/>
    <m/>
    <m/>
    <m/>
    <m/>
    <m/>
    <s v=""/>
    <m/>
    <m/>
    <m/>
    <m/>
    <m/>
    <m/>
    <m/>
    <m/>
    <m/>
    <m/>
    <s v=""/>
    <m/>
    <m/>
    <m/>
    <x v="1"/>
    <x v="1"/>
    <x v="0"/>
    <d v="2022-02-28T00:00:00"/>
    <m/>
    <x v="0"/>
    <m/>
    <m/>
    <m/>
    <m/>
    <m/>
    <m/>
    <m/>
    <m/>
    <m/>
    <m/>
    <s v="40 SEM"/>
    <x v="0"/>
    <m/>
  </r>
  <r>
    <n v="1013698425"/>
    <x v="0"/>
    <d v="2022-03-03T00:00:00"/>
    <d v="2022-10-03T00:00:00"/>
    <e v="#REF!"/>
    <e v="#N/A"/>
    <s v="TRIANGULO"/>
    <x v="0"/>
    <x v="3"/>
    <x v="3"/>
    <s v="RC"/>
    <s v="ADHARA"/>
    <s v="SOPHIA"/>
    <s v="PATIÑO "/>
    <s v="SANCHEZ"/>
    <s v="ADHARA SOPHIA PATIÑO  SANCHEZ"/>
    <d v="2021-10-25T00:00:00"/>
    <x v="3"/>
    <n v="2"/>
    <n v="1"/>
    <s v="1 AÑOS 2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ARRERA 6 B ESTE 91 SUR 77"/>
    <n v="3202672897"/>
    <m/>
    <x v="0"/>
    <s v="NO SE AUTORECONOCE EN NINGUNO DE LOS ANTERIORES"/>
    <x v="0"/>
    <x v="4"/>
    <s v="NO_"/>
    <s v="NO_"/>
    <s v="a. Pertenecientes a hogares con puntaje SISBEN"/>
    <m/>
    <s v="TIO(A)"/>
    <s v="CC"/>
    <n v="1060799781"/>
    <s v="EUNICE"/>
    <m/>
    <s v="SANCHEZ "/>
    <s v="OYOLA"/>
    <d v="1989-03-17T00:00:00"/>
    <s v="COLOMBIA"/>
    <s v="BOGOTÁ"/>
    <s v="BOGOTÁ"/>
    <s v="CC"/>
    <n v="8010086"/>
    <s v="EVER "/>
    <s v="ALFONSO"/>
    <s v="PATIÑO "/>
    <s v="SASTRE"/>
    <d v="1980-04-25T00:00:00"/>
    <n v="42"/>
    <s v="COLOMBIA"/>
    <s v="BOGOTÁ"/>
    <s v="BOGOTÁ"/>
    <s v="CC"/>
    <n v="1022968718"/>
    <s v="NEVI"/>
    <m/>
    <s v="SANCHEZ "/>
    <s v="OYOLA"/>
    <d v="1991-03-19T00:00:00"/>
    <n v="31"/>
    <s v="COLOMBIA"/>
    <s v="CAUCA"/>
    <s v="CAJIBÍO"/>
    <x v="0"/>
    <x v="5"/>
    <x v="0"/>
    <d v="2022-02-28T00:00:00"/>
    <s v="SI_"/>
    <x v="2"/>
    <n v="1"/>
    <m/>
    <m/>
    <m/>
    <n v="39"/>
    <n v="2640"/>
    <n v="49"/>
    <s v="SI_"/>
    <m/>
    <m/>
    <m/>
    <x v="1"/>
    <m/>
  </r>
  <r>
    <n v="1243860756"/>
    <x v="1"/>
    <d v="2022-03-03T00:00:00"/>
    <m/>
    <m/>
    <m/>
    <s v="TRIANGULO"/>
    <x v="0"/>
    <x v="3"/>
    <x v="3"/>
    <s v="RC"/>
    <s v="OLIVER"/>
    <s v="DAMIAN"/>
    <s v="AYALA "/>
    <s v="MAZO"/>
    <s v="OLIVER DAMIAN AYALA  MAZO"/>
    <d v="2021-11-21T00:00:00"/>
    <x v="3"/>
    <n v="1"/>
    <n v="5"/>
    <s v="1 AÑOS 1 MESES 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8"/>
    <m/>
    <s v="CARRERA 8B ESTE 89 D 34 SUR "/>
    <n v="3105495507"/>
    <m/>
    <x v="0"/>
    <s v="NO SE AUTORECONOCE EN NINGUNO DE LOS ANTERIORES"/>
    <x v="0"/>
    <x v="5"/>
    <s v="NO_"/>
    <s v="NO_"/>
    <s v="a. Pertenecientes a hogares con puntaje SISBEN"/>
    <m/>
    <s v="ABUELO(A)"/>
    <s v="CC"/>
    <n v="24052868"/>
    <s v="MARIA"/>
    <s v="CONSUELO"/>
    <s v="GAMBOA"/>
    <s v="MORALES"/>
    <d v="1971-09-29T00:00:00"/>
    <s v="COLOMBIA"/>
    <s v="BOYACÁ"/>
    <s v="SANTA SOFÍA"/>
    <s v="CC"/>
    <n v="1022989877"/>
    <s v="MIGUEL "/>
    <s v="ANGEL "/>
    <s v="AYALA"/>
    <s v="BARBOSA"/>
    <d v="1993-09-20T00:00:00"/>
    <n v="29"/>
    <s v="COLOMBIA"/>
    <s v="BOGOTÁ"/>
    <s v="BOGOTÁ"/>
    <s v="CC"/>
    <n v="1022985105"/>
    <s v="SANDRA "/>
    <s v="MILENA "/>
    <s v="MAZO "/>
    <s v="GAMBOA"/>
    <d v="1993-03-22T00:00:00"/>
    <n v="29"/>
    <s v="COLOMBIA"/>
    <s v="BOYACÁ"/>
    <s v="SANTA SOFÍA"/>
    <x v="0"/>
    <x v="0"/>
    <x v="0"/>
    <d v="2022-02-28T00:00:00"/>
    <s v="SI_"/>
    <x v="2"/>
    <n v="1"/>
    <m/>
    <m/>
    <m/>
    <n v="39"/>
    <n v="3400"/>
    <n v="54"/>
    <s v="SI_"/>
    <n v="6"/>
    <m/>
    <m/>
    <x v="1"/>
    <m/>
  </r>
  <r>
    <n v="1023048793"/>
    <x v="1"/>
    <d v="2022-08-23T00:00:00"/>
    <m/>
    <m/>
    <m/>
    <m/>
    <x v="0"/>
    <x v="0"/>
    <x v="0"/>
    <s v="RC"/>
    <s v="LIAM"/>
    <s v="DAMIAN"/>
    <s v="FAJARDO"/>
    <s v="GARZON"/>
    <s v="LIAM DAMIAN FAJARDO GARZON"/>
    <d v="2022-07-22T00:00:00"/>
    <x v="1"/>
    <n v="5"/>
    <n v="4"/>
    <s v="0 AÑOS 5 MESES 4 DIAS "/>
    <x v="1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CARRERA 7 A ESTE 99 SUR 93"/>
    <n v="3217622633"/>
    <m/>
    <x v="0"/>
    <s v="NO SE AUTORECONOCE EN NINGUNO DE LOS ANTERIORES"/>
    <x v="1"/>
    <x v="1"/>
    <s v="NO_"/>
    <s v="NO_"/>
    <s v="o. Ingresos iguales o inferiores a 1.5 Smlv"/>
    <m/>
    <s v="PADRE"/>
    <s v="CC"/>
    <n v="1022980397"/>
    <s v="CRISTIAN "/>
    <s v="FERNEY "/>
    <s v="FAJARDO "/>
    <s v="RUIZ "/>
    <d v="1992-09-26T00:00:00"/>
    <s v="COLOMBIA"/>
    <s v="CUNDINAMARCA"/>
    <s v="TOPAIPÍ"/>
    <s v="CC"/>
    <n v="1022980397"/>
    <s v="CRISTIAN "/>
    <s v="FERNEY "/>
    <s v="FAJARDO "/>
    <s v="RUIZ "/>
    <d v="1992-09-26T00:00:00"/>
    <n v="30"/>
    <s v="COLOMBIA"/>
    <s v="CUNDINAMARCA"/>
    <s v="TOPAIPÍ"/>
    <s v="CC"/>
    <n v="1022992812"/>
    <s v="ANDREA "/>
    <s v="PAOLA"/>
    <s v="GARZON "/>
    <s v="SALINAS"/>
    <d v="1992-10-26T00:00:00"/>
    <n v="30"/>
    <s v="COLOMBIA"/>
    <s v="BOGOTÁ"/>
    <s v="BOGOTÁ"/>
    <x v="0"/>
    <x v="6"/>
    <x v="1"/>
    <d v="2022-08-22T00:00:00"/>
    <s v="SI_"/>
    <x v="1"/>
    <m/>
    <s v="NO_"/>
    <m/>
    <m/>
    <s v="40 SEMANAS"/>
    <s v="3540 GR"/>
    <s v="50 CM"/>
    <s v="SI_"/>
    <m/>
    <m/>
    <m/>
    <x v="0"/>
    <m/>
  </r>
  <r>
    <n v="1022992812"/>
    <x v="0"/>
    <d v="2022-03-03T00:00:00"/>
    <d v="2022-08-22T00:00:00"/>
    <e v="#REF!"/>
    <e v="#N/A"/>
    <m/>
    <x v="0"/>
    <x v="0"/>
    <x v="0"/>
    <s v="CC"/>
    <s v="ANDREA "/>
    <s v="PAOLA"/>
    <s v="GARZON "/>
    <s v="SALINAS"/>
    <s v="ANDREA  PAOLA GARZON  SALINAS"/>
    <d v="1992-10-26T00:00:00"/>
    <x v="5"/>
    <n v="2"/>
    <n v="0"/>
    <s v="30 AÑOS 2 MESES 0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CARRERA 7 A ESTE 99 SUR 93"/>
    <n v="3217622633"/>
    <m/>
    <x v="0"/>
    <s v="NO SE AUTORECONOCE EN NINGUNO DE LOS ANTERIORES"/>
    <x v="0"/>
    <x v="6"/>
    <s v="NO_"/>
    <s v="NO_"/>
    <s v="o. Ingresos iguales o inferiores a 1.5 Smlv"/>
    <m/>
    <s v="CONYUGE"/>
    <s v="CC"/>
    <n v="1022980397"/>
    <s v="CRISTIAN "/>
    <s v="FERNEY "/>
    <s v="FAJARDO "/>
    <s v="RUIZ "/>
    <d v="1992-09-26T00:00:00"/>
    <s v="COLOMBIA"/>
    <s v="CUNDINAMARCA"/>
    <s v="TOPAIPÍ"/>
    <m/>
    <m/>
    <m/>
    <m/>
    <m/>
    <m/>
    <m/>
    <s v=""/>
    <m/>
    <m/>
    <m/>
    <m/>
    <m/>
    <m/>
    <m/>
    <m/>
    <m/>
    <m/>
    <s v=""/>
    <m/>
    <m/>
    <m/>
    <x v="0"/>
    <x v="6"/>
    <x v="0"/>
    <d v="2022-02-28T00:00:00"/>
    <s v="SI_"/>
    <x v="0"/>
    <m/>
    <m/>
    <m/>
    <m/>
    <m/>
    <m/>
    <m/>
    <m/>
    <m/>
    <m/>
    <s v="18 SEM"/>
    <x v="0"/>
    <m/>
  </r>
  <r>
    <n v="1018520645"/>
    <x v="0"/>
    <d v="2022-06-21T00:00:00"/>
    <d v="2022-10-03T00:00:00"/>
    <e v="#REF!"/>
    <e v="#N/A"/>
    <s v="TRIANGULO"/>
    <x v="0"/>
    <x v="0"/>
    <x v="0"/>
    <s v="RC"/>
    <s v="CARLOS "/>
    <s v="EDUARDO"/>
    <s v="CASTILLO"/>
    <s v="RODRIGUEZ"/>
    <s v="CARLOS  EDUARDO CASTILLO RODRIGUEZ"/>
    <d v="2022-03-18T00:00:00"/>
    <x v="1"/>
    <n v="9"/>
    <n v="8"/>
    <s v="0 AÑOS 9 MESES 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"/>
    <m/>
    <s v="CALLE 84 A SUR 1-02"/>
    <n v="3169510560"/>
    <m/>
    <x v="1"/>
    <s v="NO SE AUTORECONOCE EN NINGUNO DE LOS ANTERIORES"/>
    <x v="1"/>
    <x v="1"/>
    <s v="NO_"/>
    <s v="NO_"/>
    <s v="o. Ingresos iguales o inferiores a 1.5 Smlv"/>
    <m/>
    <s v="MADRE"/>
    <s v="SIN DOCUMENTO"/>
    <m/>
    <s v="GILMA"/>
    <s v="YERICA"/>
    <s v="RODRIGUEZ "/>
    <s v="FRANCO "/>
    <n v="30103"/>
    <s v="VENEZUELA"/>
    <s v="EXTERIOR"/>
    <s v="EXTERIOR"/>
    <m/>
    <m/>
    <m/>
    <m/>
    <m/>
    <m/>
    <m/>
    <s v=""/>
    <m/>
    <m/>
    <m/>
    <s v="SIN DOCUMENTO"/>
    <m/>
    <s v="GILMA"/>
    <s v="YERICA"/>
    <s v="RODRIGUEZ "/>
    <s v="FRANCO "/>
    <d v="1982-06-01T00:00:00"/>
    <n v="40"/>
    <s v="VENEZUELA"/>
    <s v="EXTERIOR"/>
    <s v="EXTERIOR"/>
    <x v="1"/>
    <x v="1"/>
    <x v="1"/>
    <m/>
    <s v="NO_"/>
    <x v="0"/>
    <m/>
    <m/>
    <m/>
    <s v="NO"/>
    <n v="38"/>
    <n v="2700"/>
    <n v="49"/>
    <m/>
    <m/>
    <m/>
    <m/>
    <x v="2"/>
    <m/>
  </r>
  <r>
    <s v="DC500CA5B8D042B4A5FAA67919A3134E17207"/>
    <x v="0"/>
    <d v="2022-03-03T00:00:00"/>
    <d v="2022-06-21T00:00:00"/>
    <e v="#REF!"/>
    <e v="#N/A"/>
    <m/>
    <x v="0"/>
    <x v="0"/>
    <x v="0"/>
    <s v="SIN DOCUMENTO"/>
    <s v="GILMA"/>
    <s v="YERICA"/>
    <s v="RODRIGUEZ "/>
    <s v="FRANCO "/>
    <s v="GILMA YERICA RODRIGUEZ  FRANCO "/>
    <d v="1982-06-01T00:00:00"/>
    <x v="6"/>
    <n v="6"/>
    <n v="25"/>
    <s v="40 AÑOS 6 MESES 25 DIAS "/>
    <x v="0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"/>
    <m/>
    <s v="CALLE 84 A SUR 1-01"/>
    <n v="3169510559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ASTRID "/>
    <s v="FREDESMINDER"/>
    <s v="GUEVARA "/>
    <s v="FRANCO"/>
    <d v="1992-11-21T00:00:00"/>
    <s v="VENEZUELA"/>
    <s v="EXTERIOR"/>
    <s v="EXTERIOR"/>
    <m/>
    <m/>
    <m/>
    <m/>
    <m/>
    <m/>
    <m/>
    <s v=""/>
    <m/>
    <m/>
    <m/>
    <m/>
    <m/>
    <m/>
    <m/>
    <m/>
    <m/>
    <m/>
    <s v=""/>
    <m/>
    <m/>
    <m/>
    <x v="1"/>
    <x v="1"/>
    <x v="0"/>
    <d v="2022-02-28T00:00:00"/>
    <s v="SI_"/>
    <x v="0"/>
    <m/>
    <m/>
    <m/>
    <m/>
    <m/>
    <m/>
    <m/>
    <m/>
    <m/>
    <m/>
    <s v="20 SEM "/>
    <x v="0"/>
    <m/>
  </r>
  <r>
    <n v="1026604134"/>
    <x v="0"/>
    <d v="2022-03-03T00:00:00"/>
    <d v="2022-07-25T00:00:00"/>
    <e v="#REF!"/>
    <e v="#N/A"/>
    <m/>
    <x v="0"/>
    <x v="2"/>
    <x v="2"/>
    <s v="RC"/>
    <s v="SIMONE "/>
    <m/>
    <s v="BECERRA "/>
    <s v="MORA"/>
    <s v="SIMONE   BECERRA  MORA"/>
    <d v="2021-12-25T00:00:00"/>
    <x v="3"/>
    <n v="0"/>
    <n v="1"/>
    <s v="1 AÑOS 0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0"/>
    <m/>
    <s v="CARRERA 7 BIS A ESTE 99-15 SUR"/>
    <n v="3142922319"/>
    <m/>
    <x v="0"/>
    <s v="NO SE AUTORECONOCE EN NINGUNO DE LOS ANTERIORES"/>
    <x v="0"/>
    <x v="7"/>
    <s v="NO_"/>
    <s v="NO_"/>
    <s v="a. Pertenecientes a hogares con puntaje SISBEN"/>
    <m/>
    <s v="MADRE"/>
    <s v="CC"/>
    <n v="1010201094"/>
    <s v="IMIRIDA"/>
    <m/>
    <s v="MORA "/>
    <s v="NIÑO"/>
    <d v="1991-12-19T00:00:00"/>
    <s v="COLOMBIA"/>
    <s v="BOGOTÁ"/>
    <s v="BOGOTÁ"/>
    <m/>
    <m/>
    <m/>
    <m/>
    <m/>
    <m/>
    <m/>
    <s v=""/>
    <m/>
    <m/>
    <m/>
    <s v="CC"/>
    <n v="1010201094"/>
    <s v="IMIRIDA"/>
    <m/>
    <s v="MORA "/>
    <s v="NIÑO"/>
    <d v="1991-12-19T00:00:00"/>
    <n v="31"/>
    <s v="COLOMBIA"/>
    <s v="BOGOTÁ"/>
    <s v="BOGOTÁ"/>
    <x v="0"/>
    <x v="3"/>
    <x v="0"/>
    <d v="2022-02-28T00:00:00"/>
    <s v="SI_"/>
    <x v="2"/>
    <n v="1"/>
    <m/>
    <m/>
    <m/>
    <n v="39"/>
    <n v="2120"/>
    <n v="43"/>
    <m/>
    <m/>
    <m/>
    <m/>
    <x v="1"/>
    <m/>
  </r>
  <r>
    <n v="1032515264"/>
    <x v="1"/>
    <d v="2022-06-21T00:00:00"/>
    <m/>
    <m/>
    <m/>
    <m/>
    <x v="0"/>
    <x v="0"/>
    <x v="0"/>
    <s v="RC"/>
    <s v="DIANA"/>
    <s v="ISABELLA"/>
    <s v="VARGAS "/>
    <s v="LADINO"/>
    <s v="DIANA ISABELLA VARGAS  LADINO"/>
    <d v="2022-05-18T00:00:00"/>
    <x v="1"/>
    <n v="7"/>
    <n v="8"/>
    <s v="0 AÑOS 7 MESES 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1"/>
    <m/>
    <s v="CARRERA 10 A ESTE  108 SUR 19"/>
    <n v="3138764151"/>
    <m/>
    <x v="0"/>
    <s v="NO SE AUTORECONOCE EN NINGUNO DE LOS ANTERIORES"/>
    <x v="1"/>
    <x v="1"/>
    <s v="NO_"/>
    <s v="NO_"/>
    <s v="o. Ingresos iguales o inferiores a 1.5 Smlv"/>
    <m/>
    <s v="MADRE"/>
    <s v="CC"/>
    <n v="1013637881"/>
    <s v="GINA"/>
    <s v="VANESSA"/>
    <s v="LADINO "/>
    <s v="BERNAL"/>
    <d v="1992-12-18T00:00:00"/>
    <s v="COLOMBIA"/>
    <s v="BOGOTÁ"/>
    <s v="BOGOTÁ"/>
    <s v="CC"/>
    <n v="1022973071"/>
    <s v="LUIS "/>
    <s v="GABRIEL "/>
    <s v="VARGAS "/>
    <s v="GONZALEZ"/>
    <d v="1991-12-19T00:00:00"/>
    <n v="31"/>
    <s v="COLOMBIA"/>
    <s v="CUNDINAMARCA"/>
    <s v="EL COLEGIO"/>
    <s v="CC"/>
    <n v="1013637881"/>
    <s v="GINA"/>
    <s v="VANESSA"/>
    <s v="LADINO "/>
    <s v="BERNAL"/>
    <d v="1992-12-18T00:00:00"/>
    <n v="30"/>
    <s v="COLOMBIA"/>
    <s v="BOGOTÁ"/>
    <s v="BOGOTÁ"/>
    <x v="1"/>
    <x v="3"/>
    <x v="1"/>
    <m/>
    <s v="NO_"/>
    <x v="0"/>
    <m/>
    <m/>
    <m/>
    <s v="NO"/>
    <m/>
    <n v="38"/>
    <m/>
    <m/>
    <m/>
    <m/>
    <m/>
    <x v="2"/>
    <m/>
  </r>
  <r>
    <n v="1013637881"/>
    <x v="0"/>
    <d v="2022-03-03T00:00:00"/>
    <d v="2022-06-21T00:00:00"/>
    <e v="#REF!"/>
    <e v="#N/A"/>
    <m/>
    <x v="0"/>
    <x v="0"/>
    <x v="0"/>
    <s v="CC"/>
    <s v="GINA"/>
    <s v="VANESSA"/>
    <s v="LADINO "/>
    <s v="BERNAL"/>
    <s v="GINA VANESSA LADINO  BERNAL"/>
    <d v="1992-12-18T00:00:00"/>
    <x v="5"/>
    <n v="0"/>
    <n v="8"/>
    <s v="30 AÑOS 0 MESES 8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1"/>
    <m/>
    <s v="CARRERA 10 A ESTE  108 SUR 18"/>
    <n v="3138764151"/>
    <m/>
    <x v="0"/>
    <s v="NO SE AUTORECONOCE EN NINGUNO DE LOS ANTERIORES"/>
    <x v="1"/>
    <x v="1"/>
    <s v="NO_"/>
    <s v="NO_"/>
    <s v="o. Ingresos iguales o inferiores a 1.5 Smlv"/>
    <m/>
    <s v="CONYUGE"/>
    <s v="CC"/>
    <n v="1022973071"/>
    <s v="LUIS "/>
    <s v="GABRIEL "/>
    <s v="VARGAS "/>
    <s v="GONZALEZ"/>
    <d v="1991-12-19T00:00:00"/>
    <s v="COLOMBIA"/>
    <s v="CUNDINAMARCA"/>
    <s v="EL COLEGIO"/>
    <m/>
    <m/>
    <m/>
    <m/>
    <m/>
    <m/>
    <m/>
    <s v=""/>
    <m/>
    <m/>
    <m/>
    <m/>
    <m/>
    <m/>
    <m/>
    <m/>
    <m/>
    <m/>
    <s v=""/>
    <m/>
    <m/>
    <m/>
    <x v="1"/>
    <x v="7"/>
    <x v="0"/>
    <d v="2022-02-28T00:00:00"/>
    <s v="SI_"/>
    <x v="0"/>
    <m/>
    <m/>
    <m/>
    <m/>
    <m/>
    <m/>
    <m/>
    <m/>
    <m/>
    <m/>
    <s v="24 SEM"/>
    <x v="0"/>
    <m/>
  </r>
  <r>
    <n v="1023048270"/>
    <x v="0"/>
    <d v="2022-05-10T00:00:00"/>
    <d v="2022-10-03T00:00:00"/>
    <e v="#REF!"/>
    <e v="#N/A"/>
    <s v="SAN JUAN A"/>
    <x v="0"/>
    <x v="2"/>
    <x v="2"/>
    <s v="RC"/>
    <s v="FERNANDA "/>
    <s v="YSABELL"/>
    <s v="SANCHEZ "/>
    <s v="ARRIETA"/>
    <s v="FERNANDA  YSABELL SANCHEZ  ARRIETA"/>
    <d v="2022-04-16T00:00:00"/>
    <x v="1"/>
    <n v="8"/>
    <n v="10"/>
    <s v="0 AÑOS 8 MESES 1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2"/>
    <m/>
    <s v="TV 12 BIS 71 SUR 12 "/>
    <n v="3142823828"/>
    <m/>
    <x v="0"/>
    <s v="NO SE AUTORECONOCE EN NINGUNO DE LOS ANTERIORES"/>
    <x v="1"/>
    <x v="1"/>
    <s v="NO_"/>
    <s v="NO_"/>
    <s v="o. Ingresos iguales o inferiores a 1.5 Smlv"/>
    <s v="SI_"/>
    <s v="ABUELO(A)"/>
    <s v="PEP"/>
    <n v="772894105041961"/>
    <s v="OLGA "/>
    <s v="ELENA "/>
    <s v="GOMEZ"/>
    <m/>
    <d v="1961-04-05T00:00:00"/>
    <s v="VENEZUELA"/>
    <s v="EXTERIOR"/>
    <s v="EXTERIOR"/>
    <m/>
    <m/>
    <m/>
    <m/>
    <m/>
    <m/>
    <m/>
    <s v=""/>
    <m/>
    <m/>
    <m/>
    <s v="PEP"/>
    <n v="717951107081984"/>
    <s v="ELENA "/>
    <s v="YSABEL"/>
    <s v="ARRIETA "/>
    <s v="GOMEZ"/>
    <m/>
    <s v=""/>
    <s v="VENEZUELA"/>
    <s v="EXTERIOR"/>
    <s v="EXTERIOR"/>
    <x v="0"/>
    <x v="0"/>
    <x v="2"/>
    <s v="NO_"/>
    <m/>
    <x v="1"/>
    <m/>
    <m/>
    <m/>
    <m/>
    <n v="37"/>
    <n v="3250"/>
    <n v="50"/>
    <m/>
    <m/>
    <m/>
    <m/>
    <x v="2"/>
    <m/>
  </r>
  <r>
    <s v="5231EF66A2B647A79E0B95B386BC82CB47150"/>
    <x v="0"/>
    <d v="2022-03-03T00:00:00"/>
    <d v="2022-05-09T00:00:00"/>
    <e v="#REF!"/>
    <e v="#N/A"/>
    <m/>
    <x v="0"/>
    <x v="0"/>
    <x v="0"/>
    <s v="SIN DOCUMENTO"/>
    <s v="ELENA "/>
    <s v="YSABEL"/>
    <s v="ARIETA "/>
    <s v="GOMEZ"/>
    <s v="ELENA  YSABEL ARIETA  GOMEZ"/>
    <d v="1984-08-07T00:00:00"/>
    <x v="7"/>
    <n v="4"/>
    <n v="19"/>
    <s v="38 AÑOS 4 MESES 19 DIAS "/>
    <x v="0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2"/>
    <m/>
    <s v="TRANVERSAL 12 BIS 71 SUR 12 "/>
    <n v="3142823828"/>
    <m/>
    <x v="1"/>
    <s v="NO SE AUTORECONOCE EN NINGUNO DE LOS ANTERIORES"/>
    <x v="1"/>
    <x v="1"/>
    <s v="NO_"/>
    <s v="NO_"/>
    <s v="o. Ingresos iguales o inferiores a 1.5 Smlv"/>
    <m/>
    <s v="MADRE"/>
    <s v="PEP"/>
    <n v="772894105041961"/>
    <s v="OLGA "/>
    <s v="ELENA "/>
    <s v="GOMEZ"/>
    <m/>
    <d v="1961-04-05T00:00:00"/>
    <s v="VENEZUELA"/>
    <s v="EXTERIOR"/>
    <s v="EXTERIOR"/>
    <m/>
    <m/>
    <m/>
    <m/>
    <m/>
    <m/>
    <m/>
    <s v=""/>
    <m/>
    <m/>
    <m/>
    <m/>
    <m/>
    <m/>
    <m/>
    <m/>
    <m/>
    <m/>
    <s v=""/>
    <m/>
    <m/>
    <m/>
    <x v="0"/>
    <x v="0"/>
    <x v="0"/>
    <d v="2022-02-28T00:00:00"/>
    <s v="SI_"/>
    <x v="0"/>
    <m/>
    <m/>
    <m/>
    <m/>
    <m/>
    <m/>
    <m/>
    <m/>
    <m/>
    <m/>
    <s v="17 SEM "/>
    <x v="0"/>
    <m/>
  </r>
  <r>
    <n v="1033822280"/>
    <x v="1"/>
    <d v="2022-03-03T00:00:00"/>
    <m/>
    <m/>
    <m/>
    <m/>
    <x v="0"/>
    <x v="1"/>
    <x v="1"/>
    <s v="RC"/>
    <s v="OWEN "/>
    <s v="ANDREY"/>
    <s v="MACIAS"/>
    <s v="RODRIGUEZ"/>
    <s v="OWEN  ANDREY MACIAS RODRIGUEZ"/>
    <d v="2018-03-10T00:00:00"/>
    <x v="8"/>
    <n v="9"/>
    <n v="16"/>
    <s v="4 AÑOS 9 MESES 1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3"/>
    <m/>
    <s v="CALLE 138 A 21 ESTE 69"/>
    <n v="3192220410"/>
    <m/>
    <x v="0"/>
    <s v="NO SE AUTORECONOCE EN NINGUNO DE LOS ANTERIORES"/>
    <x v="0"/>
    <x v="3"/>
    <s v="NO_"/>
    <s v="NO_"/>
    <s v="a. Pertenecientes a hogares con puntaje SISBEN"/>
    <m/>
    <s v="MADRE"/>
    <s v="CC"/>
    <n v="1022978193"/>
    <s v="ANGIE "/>
    <s v="CAROLINA "/>
    <s v="RODRIGUEZ"/>
    <s v="FLORIDO"/>
    <d v="1992-04-16T00:00:00"/>
    <s v="COLOMBIA"/>
    <s v="BOGOTÁ"/>
    <s v="BOGOTÁ"/>
    <s v="CC"/>
    <n v="1073694681"/>
    <s v="JFERSON"/>
    <s v="STIVEN"/>
    <s v="MACIAS "/>
    <s v="GARCIA "/>
    <d v="1992-07-15T00:00:00"/>
    <n v="30"/>
    <s v="COLOMBIA"/>
    <s v="BOGOTÁ"/>
    <s v="BOGOTÁ"/>
    <s v="CC"/>
    <n v="1022978193"/>
    <s v="ANGIE "/>
    <s v="CAROLINA "/>
    <s v="RODRIGUEZ"/>
    <s v="FLORIDO"/>
    <d v="1992-04-16T00:00:00"/>
    <n v="30"/>
    <s v="COLOMBIA"/>
    <s v="BOGOTÁ"/>
    <s v="BOGOTÁ"/>
    <x v="1"/>
    <x v="2"/>
    <x v="0"/>
    <d v="2022-02-28T00:00:00"/>
    <s v="SI_"/>
    <x v="2"/>
    <n v="1"/>
    <m/>
    <m/>
    <m/>
    <n v="39"/>
    <n v="2350"/>
    <n v="45"/>
    <s v="SI_"/>
    <m/>
    <m/>
    <m/>
    <x v="3"/>
    <m/>
  </r>
  <r>
    <n v="1240693955"/>
    <x v="1"/>
    <d v="2022-03-03T00:00:00"/>
    <m/>
    <m/>
    <m/>
    <m/>
    <x v="0"/>
    <x v="1"/>
    <x v="1"/>
    <s v="RC"/>
    <s v="ARANZA"/>
    <s v="SOFIA "/>
    <s v="GARCIA "/>
    <s v="MAVAREZ"/>
    <s v="ARANZA SOFIA  GARCIA  MAVAREZ"/>
    <d v="2021-01-20T00:00:00"/>
    <x v="3"/>
    <n v="11"/>
    <n v="6"/>
    <s v="1 AÑOS 11 MESES 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CARRERA 8 D ESTE 102 SUR 24"/>
    <n v="33013430677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MARIA PAULA "/>
    <s v="CRISTINA "/>
    <s v="MAVAREZ "/>
    <s v="GARCIA "/>
    <d v="1998-09-10T00:00:00"/>
    <s v="VENEZUELA"/>
    <s v="EXTERIOR"/>
    <s v="EXTERIOR"/>
    <m/>
    <m/>
    <m/>
    <m/>
    <m/>
    <m/>
    <m/>
    <s v=""/>
    <m/>
    <m/>
    <m/>
    <s v="SIN DOCUMENTO"/>
    <m/>
    <s v="MARIA PAULA "/>
    <s v="CRISTINA "/>
    <s v="MAVAREZ "/>
    <s v="GARCIA "/>
    <d v="1998-09-10T00:00:00"/>
    <n v="24"/>
    <s v="VENEZUELA"/>
    <s v="EXTERIOR"/>
    <s v="EXTERIOR"/>
    <x v="1"/>
    <x v="8"/>
    <x v="0"/>
    <d v="2022-02-28T00:00:00"/>
    <s v="SI_"/>
    <x v="1"/>
    <m/>
    <m/>
    <m/>
    <m/>
    <n v="39"/>
    <n v="3500"/>
    <n v="58"/>
    <s v="SI_"/>
    <m/>
    <m/>
    <m/>
    <x v="1"/>
    <m/>
  </r>
  <r>
    <n v="1243859943"/>
    <x v="1"/>
    <d v="2022-03-03T00:00:00"/>
    <m/>
    <m/>
    <m/>
    <m/>
    <x v="0"/>
    <x v="1"/>
    <x v="1"/>
    <s v="RC"/>
    <s v="LUCIANA "/>
    <m/>
    <s v="QUIROGA "/>
    <s v="CHARRI "/>
    <s v="LUCIANA   QUIROGA  CHARRI "/>
    <d v="2021-01-28T00:00:00"/>
    <x v="3"/>
    <n v="10"/>
    <n v="28"/>
    <s v="1 AÑOS 10 MESES 2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CARRERA 6 ESTE 97 D SUR 01 "/>
    <n v="3156250787"/>
    <m/>
    <x v="0"/>
    <s v="NO SE AUTORECONOCE EN NINGUNO DE LOS ANTERIORES"/>
    <x v="0"/>
    <x v="5"/>
    <s v="NO_"/>
    <s v="NO_"/>
    <s v="a. Pertenecientes a hogares con puntaje SISBEN"/>
    <m/>
    <s v="MADRE"/>
    <s v="CC"/>
    <n v="1022929393"/>
    <s v="HERCILIA "/>
    <m/>
    <s v="CHARRI "/>
    <s v="MARTINEZ"/>
    <d v="1986-10-07T00:00:00"/>
    <s v="COLOMBIA"/>
    <s v="TOLIMA"/>
    <s v="CHAPARRAL"/>
    <s v="CC"/>
    <n v="79095323"/>
    <s v="NAYITH"/>
    <m/>
    <s v="QUIROGA "/>
    <s v="GALINDO "/>
    <d v="1983-04-25T00:00:00"/>
    <n v="39"/>
    <s v="COLOMBIA"/>
    <s v="CUNDINAMARCA"/>
    <s v="LA MESA"/>
    <s v="CC"/>
    <n v="1022929393"/>
    <s v="HERCILIA "/>
    <m/>
    <s v="CHARRI "/>
    <s v="MARTINEZ"/>
    <d v="1986-10-07T00:00:00"/>
    <n v="36"/>
    <s v="COLOMBIA"/>
    <s v="TOLIMA"/>
    <s v="CHAPARRAL"/>
    <x v="0"/>
    <x v="6"/>
    <x v="0"/>
    <d v="2022-02-28T00:00:00"/>
    <s v="SI_"/>
    <x v="2"/>
    <n v="4"/>
    <s v="SI_"/>
    <m/>
    <m/>
    <n v="37"/>
    <n v="2100"/>
    <n v="34"/>
    <s v="SI_"/>
    <m/>
    <m/>
    <m/>
    <x v="1"/>
    <m/>
  </r>
  <r>
    <n v="1243859248"/>
    <x v="1"/>
    <d v="2022-03-03T00:00:00"/>
    <m/>
    <m/>
    <m/>
    <m/>
    <x v="0"/>
    <x v="1"/>
    <x v="1"/>
    <s v="RC"/>
    <s v="EITHAN "/>
    <s v="EMMANUEL "/>
    <s v="PINTO "/>
    <s v="OROZCO"/>
    <s v="EITHAN  EMMANUEL  PINTO  OROZCO"/>
    <s v="30/07/2020"/>
    <x v="2"/>
    <n v="4"/>
    <n v="26"/>
    <s v="2 AÑOS 4 MESES 2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CALLE 117B SUR 021"/>
    <n v="3045227993"/>
    <m/>
    <x v="0"/>
    <s v="NO SE AUTORECONOCE EN NINGUNO DE LOS ANTERIORES"/>
    <x v="0"/>
    <x v="8"/>
    <s v="NO_"/>
    <s v="NO_"/>
    <s v="a. Pertenecientes a hogares con puntaje SISBEN"/>
    <m/>
    <s v="MADRE"/>
    <s v="CC"/>
    <n v="1006026755"/>
    <s v="MARBI"/>
    <s v="JINETH"/>
    <s v="OROZCO "/>
    <s v="CAMPOS "/>
    <d v="1999-07-06T00:00:00"/>
    <s v="COLOMBIA"/>
    <s v="TOLIMA"/>
    <s v="LÉRIDA"/>
    <m/>
    <m/>
    <m/>
    <m/>
    <m/>
    <m/>
    <m/>
    <s v=""/>
    <m/>
    <m/>
    <m/>
    <s v="CC"/>
    <n v="1006026755"/>
    <s v="MARBI"/>
    <s v="JINETH"/>
    <s v="OROZCO "/>
    <s v="CAMPOS "/>
    <d v="1999-07-06T00:00:00"/>
    <n v="23"/>
    <s v="COLOMBIA"/>
    <s v="TOLIMA"/>
    <s v="LÉRIDA"/>
    <x v="0"/>
    <x v="0"/>
    <x v="0"/>
    <d v="2022-02-28T00:00:00"/>
    <s v="SI_"/>
    <x v="1"/>
    <m/>
    <m/>
    <m/>
    <m/>
    <n v="39"/>
    <n v="2700"/>
    <n v="47"/>
    <s v="SI_"/>
    <m/>
    <m/>
    <m/>
    <x v="1"/>
    <m/>
  </r>
  <r>
    <n v="1023048659"/>
    <x v="1"/>
    <d v="2022-07-19T00:00:00"/>
    <m/>
    <m/>
    <m/>
    <m/>
    <x v="0"/>
    <x v="0"/>
    <x v="0"/>
    <s v="RC"/>
    <s v="SARA"/>
    <s v="AILYN"/>
    <s v="FANDIÑO"/>
    <s v="HERRERA"/>
    <s v="SARA AILYN FANDIÑO HERRERA"/>
    <d v="2022-06-28T00:00:00"/>
    <x v="1"/>
    <n v="5"/>
    <n v="28"/>
    <s v="0 AÑOS 5 MESES 28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5"/>
    <m/>
    <s v="CARRE 7 BIS A ESTE 104 SUIR 80"/>
    <n v="3202091987"/>
    <n v="3223967929"/>
    <x v="0"/>
    <s v="NO SE AUTORECONOCE EN NINGUNO DE LOS ANTERIORES"/>
    <x v="1"/>
    <x v="1"/>
    <s v="NO_"/>
    <s v="NO_"/>
    <s v="o. Ingresos iguales o inferiores a 1.5 Smlv"/>
    <m/>
    <s v="MADRE"/>
    <s v="CC"/>
    <n v="1026293133"/>
    <s v="ASTRID "/>
    <s v="CAROLINA "/>
    <s v="HERRERA "/>
    <s v="ACOSTA "/>
    <d v="1995-11-01T00:00:00"/>
    <s v="COLOMBIA"/>
    <s v="BOGOTÁ"/>
    <s v="BOGOTÁ"/>
    <m/>
    <m/>
    <m/>
    <m/>
    <m/>
    <m/>
    <m/>
    <s v=""/>
    <m/>
    <m/>
    <m/>
    <s v="CC"/>
    <n v="1026293133"/>
    <s v="ASTRID "/>
    <s v="CAROLINA "/>
    <s v="HERRERA "/>
    <s v="ACOSTA "/>
    <d v="1995-11-01T00:00:00"/>
    <n v="27"/>
    <s v="COLOMBIA"/>
    <s v="BOGOTÁ"/>
    <s v="BOGOTÁ"/>
    <x v="0"/>
    <x v="3"/>
    <x v="1"/>
    <d v="2022-07-19T00:00:00"/>
    <s v="NO_"/>
    <x v="1"/>
    <m/>
    <s v="NO_"/>
    <s v="NO"/>
    <m/>
    <s v="37.5 SEMANAS"/>
    <m/>
    <m/>
    <s v="SI_"/>
    <n v="1"/>
    <n v="1"/>
    <m/>
    <x v="0"/>
    <m/>
  </r>
  <r>
    <n v="1026293133"/>
    <x v="0"/>
    <d v="2022-03-03T00:00:00"/>
    <d v="2022-07-18T00:00:00"/>
    <e v="#REF!"/>
    <e v="#N/A"/>
    <m/>
    <x v="0"/>
    <x v="0"/>
    <x v="0"/>
    <s v="CC"/>
    <s v="ASTRID "/>
    <s v="CAROLINA "/>
    <s v="HERRERA "/>
    <s v="ACOSTA "/>
    <s v="ASTRID  CAROLINA  HERRERA  ACOSTA "/>
    <d v="1995-11-01T00:00:00"/>
    <x v="0"/>
    <n v="1"/>
    <n v="25"/>
    <s v="27 AÑOS 1 MESES 25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5"/>
    <m/>
    <s v="CARRE 7 BIS A ESTE 104 SUIR 80"/>
    <n v="3202091987"/>
    <n v="3223967929"/>
    <x v="0"/>
    <s v="NO SE AUTORECONOCE EN NINGUNO DE LOS ANTERIORES"/>
    <x v="0"/>
    <x v="9"/>
    <s v="NO_"/>
    <s v="NO_"/>
    <m/>
    <m/>
    <s v="PADRE"/>
    <s v="CC"/>
    <n v="51906141"/>
    <s v="IBLANCA "/>
    <s v="INES"/>
    <s v="ACOSTA "/>
    <s v="VA NEGAS"/>
    <d v="1966-06-25T00:00:00"/>
    <s v="COLOMBIA"/>
    <s v="BOGOTÁ"/>
    <s v="BOGOTÁ"/>
    <m/>
    <m/>
    <m/>
    <m/>
    <m/>
    <m/>
    <m/>
    <s v=""/>
    <m/>
    <m/>
    <m/>
    <m/>
    <m/>
    <m/>
    <m/>
    <m/>
    <m/>
    <m/>
    <s v=""/>
    <s v="COLOMBIA"/>
    <s v="BOGOTÁ"/>
    <s v="BOGOTÁ"/>
    <x v="1"/>
    <x v="9"/>
    <x v="0"/>
    <d v="2022-02-28T00:00:00"/>
    <s v="SI_"/>
    <x v="0"/>
    <m/>
    <m/>
    <m/>
    <m/>
    <m/>
    <m/>
    <m/>
    <m/>
    <m/>
    <m/>
    <s v="18 SEM"/>
    <x v="0"/>
    <m/>
  </r>
  <r>
    <n v="1245078722"/>
    <x v="1"/>
    <d v="2022-03-03T00:00:00"/>
    <m/>
    <m/>
    <m/>
    <m/>
    <x v="0"/>
    <x v="4"/>
    <x v="4"/>
    <s v="RC"/>
    <s v="IAN"/>
    <s v="SANTIAGO"/>
    <s v="RODRIGUEZ "/>
    <s v="PIÑEROS"/>
    <s v="IAN SANTIAGO RODRIGUEZ  PIÑEROS"/>
    <d v="2021-05-10T00:00:00"/>
    <x v="3"/>
    <n v="7"/>
    <n v="16"/>
    <s v="1 AÑOS 7 MESES 1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INVASION"/>
    <n v="31087934910"/>
    <n v="3123228949"/>
    <x v="0"/>
    <s v="NO SE AUTORECONOCE EN NINGUNO DE LOS ANTERIORES"/>
    <x v="1"/>
    <x v="1"/>
    <s v="NO_"/>
    <s v="NO_"/>
    <m/>
    <m/>
    <s v="MADRE"/>
    <s v="CC"/>
    <n v="52743133"/>
    <s v="LIGIA"/>
    <s v="GEIN"/>
    <s v="RODRIGUEZ "/>
    <s v="PÑEROS"/>
    <d v="1980-06-01T00:00:00"/>
    <s v="COLOMBIA"/>
    <s v="BOGOTÁ"/>
    <s v="BOGOTÁ"/>
    <m/>
    <m/>
    <m/>
    <m/>
    <m/>
    <m/>
    <m/>
    <s v=""/>
    <m/>
    <m/>
    <m/>
    <m/>
    <m/>
    <m/>
    <m/>
    <m/>
    <m/>
    <m/>
    <s v=""/>
    <s v="COLOMBIA"/>
    <s v="BOGOTÁ"/>
    <s v="BOGOTÁ"/>
    <x v="1"/>
    <x v="1"/>
    <x v="0"/>
    <d v="2022-02-28T00:00:00"/>
    <s v="SI_"/>
    <x v="2"/>
    <n v="1"/>
    <s v="SI_"/>
    <m/>
    <m/>
    <n v="38"/>
    <n v="1555"/>
    <n v="41"/>
    <s v="SI_"/>
    <m/>
    <m/>
    <m/>
    <x v="1"/>
    <m/>
  </r>
  <r>
    <n v="1016921602"/>
    <x v="1"/>
    <d v="2022-03-03T00:00:00"/>
    <m/>
    <m/>
    <m/>
    <m/>
    <x v="0"/>
    <x v="1"/>
    <x v="1"/>
    <s v="RC"/>
    <s v="SAMUEL "/>
    <s v="ALEJANDRO"/>
    <s v="MENA "/>
    <s v="LADERA"/>
    <s v="SAMUEL  ALEJANDRO MENA  LADERA"/>
    <d v="2020-03-05T00:00:00"/>
    <x v="2"/>
    <n v="9"/>
    <n v="21"/>
    <s v="2 AÑOS 9 MESES 2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VEREDA EL UVAL "/>
    <n v="3184892674"/>
    <m/>
    <x v="0"/>
    <s v="NO SE AUTORECONOCE EN NINGUNO DE LOS ANTERIORES"/>
    <x v="0"/>
    <x v="10"/>
    <s v="NO_"/>
    <s v="NO_"/>
    <s v="a. Pertenecientes a hogares con puntaje SISBEN"/>
    <m/>
    <s v="MADRE"/>
    <s v="PEP"/>
    <n v="9629741130519990"/>
    <s v="GABRIELA "/>
    <s v="DE JESUS"/>
    <s v="LADERA "/>
    <s v="RENGIFO"/>
    <d v="1991-05-13T00:00:00"/>
    <s v="COLOMBIA"/>
    <s v="BOGOTÁ"/>
    <s v="BOGOTÁ"/>
    <s v="CC"/>
    <n v="4804986"/>
    <s v="HERNAN "/>
    <m/>
    <s v="MENA "/>
    <s v="PALACIOS "/>
    <d v="1975-06-20T00:00:00"/>
    <n v="47"/>
    <s v="COLOMBIA"/>
    <s v="CHOCÓ"/>
    <s v="RÍO QUITO"/>
    <s v="PEP"/>
    <n v="9629741130519990"/>
    <s v="GABRIELA "/>
    <s v="DE JESUS"/>
    <s v="LADERA "/>
    <s v="RENGIFO"/>
    <d v="1991-05-13T00:00:00"/>
    <n v="31"/>
    <s v="VENEZUELA"/>
    <s v="EXTERIOR"/>
    <s v="EXTERIOR"/>
    <x v="1"/>
    <x v="1"/>
    <x v="0"/>
    <d v="2022-02-28T00:00:00"/>
    <s v="SI_"/>
    <x v="2"/>
    <n v="1"/>
    <s v="NO_"/>
    <m/>
    <m/>
    <n v="39"/>
    <n v="3200"/>
    <n v="68"/>
    <s v="SI_"/>
    <m/>
    <m/>
    <m/>
    <x v="1"/>
    <m/>
  </r>
  <r>
    <n v="1023046494"/>
    <x v="1"/>
    <d v="2022-10-27T00:00:00"/>
    <m/>
    <s v="Ingresos iguales o inferiores a 1.5 Smlv"/>
    <m/>
    <m/>
    <x v="0"/>
    <x v="1"/>
    <x v="1"/>
    <s v="RC"/>
    <s v="MARIA "/>
    <s v="DE LOS ANGELES "/>
    <s v="NELSON "/>
    <s v="MARTINEZ "/>
    <s v="MARIA  DE LOS ANGELES  NELSON  MARTINEZ "/>
    <d v="2021-02-17T00:00:00"/>
    <x v="3"/>
    <n v="10"/>
    <n v="9"/>
    <s v="1 AÑOS 10 MESES 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8"/>
    <m/>
    <s v="CALLE 97F SUR 7A 18  "/>
    <n v="3112551301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YEIMY "/>
    <s v="MILAGROS "/>
    <s v="MARTINEZ "/>
    <m/>
    <d v="1983-03-15T00:00:00"/>
    <s v="VENEZUELA"/>
    <s v="EXTERIOR"/>
    <s v="EXTERIOR"/>
    <s v="SIN DOCUMENTO"/>
    <m/>
    <s v="SARA "/>
    <s v="MASCO "/>
    <s v="NELSON"/>
    <s v="RAMON"/>
    <d v="1983-07-05T00:00:00"/>
    <n v="39"/>
    <s v="VENEZUELA"/>
    <s v="EXTERIOR"/>
    <s v="EXTERIOR"/>
    <s v="SIN DOCUMENTO"/>
    <m/>
    <s v="YEIMY "/>
    <s v="MILAGROS "/>
    <s v="MARTINEZ "/>
    <m/>
    <d v="1983-03-15T00:00:00"/>
    <n v="39"/>
    <s v="VENEZUELA"/>
    <s v="EXTERIOR"/>
    <s v="EXTERIOR"/>
    <x v="1"/>
    <x v="1"/>
    <x v="0"/>
    <d v="2022-10-27T00:00:00"/>
    <s v="SI_"/>
    <x v="1"/>
    <m/>
    <s v="NO_"/>
    <m/>
    <m/>
    <n v="39"/>
    <n v="2500"/>
    <n v="49"/>
    <s v="SI_"/>
    <m/>
    <m/>
    <m/>
    <x v="1"/>
    <m/>
  </r>
  <r>
    <n v="1013375578"/>
    <x v="0"/>
    <d v="2022-03-03T00:00:00"/>
    <d v="2022-10-27T00:00:00"/>
    <m/>
    <e v="#N/A"/>
    <m/>
    <x v="0"/>
    <x v="1"/>
    <x v="1"/>
    <s v="RC"/>
    <s v="DARIANNA "/>
    <s v="ALEXANDRA "/>
    <s v="SOTO"/>
    <s v="CARDENAS"/>
    <s v="DARIANNA  ALEXANDRA  SOTO CARDENAS"/>
    <d v="2020-10-14T00:00:00"/>
    <x v="2"/>
    <n v="2"/>
    <n v="12"/>
    <s v="2 AÑOS 2 MESES 1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RRERA 10 C ESTE SUR "/>
    <n v="3243450580"/>
    <m/>
    <x v="0"/>
    <s v="NO SE AUTORECONOCE EN NINGUNO DE LOS ANTERIORES"/>
    <x v="1"/>
    <x v="1"/>
    <s v="NO_"/>
    <s v="NO_"/>
    <s v="o. Ingresos iguales o inferiores a 1.5 Smlv"/>
    <m/>
    <s v="MADRE"/>
    <s v="CC"/>
    <n v="1104434863"/>
    <s v="DESIDETH "/>
    <s v="ZULAY "/>
    <s v="CARDENAS "/>
    <s v="VERGARA "/>
    <d v="1983-03-19T00:00:00"/>
    <s v="COLOMBIA"/>
    <s v="SUCRE"/>
    <s v="SAN MARCOS"/>
    <m/>
    <m/>
    <m/>
    <m/>
    <m/>
    <m/>
    <m/>
    <s v=""/>
    <m/>
    <m/>
    <m/>
    <s v="CC"/>
    <n v="1104434863"/>
    <s v="DESIDETH "/>
    <s v="ZULAY "/>
    <s v="CARDENAS "/>
    <s v="VERGARA "/>
    <d v="1983-03-19T00:00:00"/>
    <n v="39"/>
    <s v="COLOMBIA"/>
    <s v="SUCRE"/>
    <s v="SAN MARCOS"/>
    <x v="1"/>
    <x v="1"/>
    <x v="0"/>
    <d v="2022-02-28T00:00:00"/>
    <s v="SI_"/>
    <x v="2"/>
    <n v="1"/>
    <s v="NO_"/>
    <m/>
    <m/>
    <n v="39"/>
    <n v="2775"/>
    <n v="49"/>
    <s v="SI_"/>
    <m/>
    <m/>
    <m/>
    <x v="1"/>
    <m/>
  </r>
  <r>
    <n v="1023046253"/>
    <x v="1"/>
    <d v="2022-03-03T00:00:00"/>
    <m/>
    <m/>
    <m/>
    <m/>
    <x v="0"/>
    <x v="1"/>
    <x v="1"/>
    <s v="RC"/>
    <s v="LEIDY"/>
    <s v="XIOMARA "/>
    <s v="MEDINA "/>
    <s v="APONTE"/>
    <s v="LEIDY XIOMARA  MEDINA  APONTE"/>
    <d v="2021-02-09T00:00:00"/>
    <x v="3"/>
    <n v="10"/>
    <n v="17"/>
    <s v="1 AÑOS 10 MESES 1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KRR 8 C ESTE 102 SUR 58"/>
    <n v="3117571681"/>
    <m/>
    <x v="0"/>
    <s v="NO SE AUTORECONOCE EN NINGUNO DE LOS ANTERIORES"/>
    <x v="0"/>
    <x v="4"/>
    <s v="NO_"/>
    <s v="NO_"/>
    <s v="a. Pertenecientes a hogares con puntaje SISBEN"/>
    <m/>
    <s v="MADRE"/>
    <s v="CC"/>
    <n v="1023038841"/>
    <s v="INGRID "/>
    <s v="JOHANNA "/>
    <s v="MEDINA "/>
    <s v="APONTE"/>
    <d v="1999-06-11T00:00:00"/>
    <s v="COLOMBIA"/>
    <s v="BOGOTÁ"/>
    <s v="BOGOTÁ"/>
    <m/>
    <m/>
    <m/>
    <m/>
    <m/>
    <m/>
    <m/>
    <s v=""/>
    <m/>
    <m/>
    <m/>
    <s v="CC"/>
    <n v="1023038841"/>
    <s v="INGRID "/>
    <s v="JOHANNA "/>
    <s v="MEDINA "/>
    <s v="APONTE"/>
    <d v="1999-06-11T00:00:00"/>
    <n v="23"/>
    <s v="COLOMBIA"/>
    <s v="BOGOTÁ"/>
    <s v="BOGOTÁ"/>
    <x v="1"/>
    <x v="6"/>
    <x v="0"/>
    <d v="2022-03-01T00:00:00"/>
    <s v="SI_"/>
    <x v="2"/>
    <n v="2"/>
    <s v="NO_"/>
    <m/>
    <m/>
    <n v="39"/>
    <n v="3020"/>
    <n v="50"/>
    <s v="NO_"/>
    <n v="6"/>
    <m/>
    <m/>
    <x v="1"/>
    <m/>
  </r>
  <r>
    <n v="1243860477"/>
    <x v="1"/>
    <d v="2022-08-12T00:00:00"/>
    <m/>
    <m/>
    <m/>
    <s v="TRIANGULO"/>
    <x v="0"/>
    <x v="1"/>
    <x v="1"/>
    <s v="RC"/>
    <s v="EVELIN "/>
    <s v="MARIANA"/>
    <s v="MURILLO"/>
    <s v="RODRIGUEZ"/>
    <s v="EVELIN  MARIANA MURILLO RODRIGUEZ"/>
    <d v="2021-07-16T00:00:00"/>
    <x v="3"/>
    <n v="5"/>
    <n v="10"/>
    <s v="1 AÑOS 5 MESES 1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s v="USME"/>
    <s v="KRR 4 ESTE # 91 SUR 34 PI 2"/>
    <n v="3133475609"/>
    <m/>
    <x v="0"/>
    <s v="NO SE AUTORECONOCE EN NINGUNO DE LOS ANTERIORES"/>
    <x v="1"/>
    <x v="1"/>
    <s v="NO_"/>
    <s v="NO_"/>
    <s v="o. Ingresos iguales o inferiores a 1.5 Smlv"/>
    <m/>
    <s v="MADRE"/>
    <s v="CC"/>
    <n v="1072644404"/>
    <s v="YEIMMY"/>
    <s v="CAROLINA"/>
    <s v="RODRIGUEZ "/>
    <s v="AMARILLO"/>
    <d v="1987-05-30T00:00:00"/>
    <s v="COLOMBIA"/>
    <s v="CUNDINAMARCA"/>
    <s v="CHÍA"/>
    <s v="CC"/>
    <n v="1022961188"/>
    <s v="YEFERSON"/>
    <s v="ARLEY"/>
    <s v="MURILLO"/>
    <m/>
    <d v="1990-07-04T00:00:00"/>
    <n v="32"/>
    <s v="COLOMBIA"/>
    <s v="BOYACÁ"/>
    <s v="CHIQUINQUIRÁ"/>
    <s v="CC"/>
    <n v="1072644404"/>
    <s v="YEIMMY"/>
    <s v="CAROLINA"/>
    <s v="RODRIGUEZ "/>
    <s v="AMARILLO"/>
    <d v="1987-05-30T00:00:00"/>
    <n v="35"/>
    <s v="COLOMBIA"/>
    <s v="CUNDINAMARCA"/>
    <s v="CHÍA"/>
    <x v="0"/>
    <x v="5"/>
    <x v="0"/>
    <s v="12-18-22"/>
    <s v="SI_"/>
    <x v="2"/>
    <n v="1"/>
    <s v="NO_"/>
    <m/>
    <m/>
    <n v="39"/>
    <n v="2940"/>
    <n v="49"/>
    <s v="NO_"/>
    <n v="6"/>
    <m/>
    <m/>
    <x v="1"/>
    <m/>
  </r>
  <r>
    <n v="1051478721"/>
    <x v="0"/>
    <d v="2022-03-03T00:00:00"/>
    <d v="2022-08-12T00:00:00"/>
    <e v="#REF!"/>
    <e v="#N/A"/>
    <m/>
    <x v="0"/>
    <x v="1"/>
    <x v="1"/>
    <s v="RC"/>
    <s v="NICOLAS "/>
    <s v="SANTIAGO "/>
    <s v="MARTINEZ "/>
    <s v="AGUILAR"/>
    <s v="NICOLAS  SANTIAGO  MARTINEZ  AGUILAR"/>
    <d v="2021-02-18T00:00:00"/>
    <x v="3"/>
    <n v="10"/>
    <n v="8"/>
    <s v="1 AÑOS 10 MESES 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VEREDA EL UVAL "/>
    <n v="3213166580"/>
    <m/>
    <x v="0"/>
    <s v="NO SE AUTORECONOCE EN NINGUNO DE LOS ANTERIORES"/>
    <x v="1"/>
    <x v="1"/>
    <s v="NO_"/>
    <s v="NO_"/>
    <s v="o. Ingresos iguales o inferiores a 1.5 Smlv"/>
    <m/>
    <s v="MADRE"/>
    <s v="CC"/>
    <n v="1051476260"/>
    <s v="RUTH "/>
    <s v="EMILCE"/>
    <s v="AGUILAR "/>
    <s v="CHAPARO"/>
    <d v="1993-11-06T00:00:00"/>
    <s v="COLOMBIA"/>
    <s v="BOYACÁ"/>
    <s v="SOGAMOSO"/>
    <s v="CC"/>
    <n v="1002414625"/>
    <s v="ALEXANDER "/>
    <m/>
    <s v="MARTINEZ "/>
    <s v="PULIDO"/>
    <d v="1994-06-06T00:00:00"/>
    <n v="28"/>
    <s v="COLOMBIA"/>
    <s v="BOYACÁ"/>
    <s v="AQUITANIA"/>
    <s v="CC"/>
    <n v="1051476260"/>
    <s v="RUTH "/>
    <s v="EMILCE"/>
    <s v="AGUILAR "/>
    <s v="CHAPARO"/>
    <d v="1993-11-06T00:00:00"/>
    <n v="29"/>
    <s v="COLOMBIA"/>
    <s v="BOYACÁ"/>
    <s v="SOGAMOSO"/>
    <x v="1"/>
    <x v="2"/>
    <x v="0"/>
    <d v="2022-03-02T00:00:00"/>
    <s v="SI_"/>
    <x v="1"/>
    <m/>
    <s v="NO_"/>
    <m/>
    <m/>
    <n v="38"/>
    <n v="2750"/>
    <n v="49"/>
    <s v="NO_"/>
    <n v="6"/>
    <m/>
    <m/>
    <x v="1"/>
    <m/>
  </r>
  <r>
    <n v="1016750852"/>
    <x v="1"/>
    <d v="2022-03-03T00:00:00"/>
    <m/>
    <m/>
    <m/>
    <m/>
    <x v="0"/>
    <x v="1"/>
    <x v="1"/>
    <s v="RC"/>
    <s v="JUAN  "/>
    <s v="DAVID "/>
    <s v="MARTINEZ "/>
    <s v="TAUTIVA"/>
    <s v="JUAN   DAVID  MARTINEZ  TAUTIVA"/>
    <d v="2020-11-09T00:00:00"/>
    <x v="2"/>
    <n v="1"/>
    <n v="17"/>
    <s v="2 AÑOS 1 MESES 1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VEREDA EL UVAL "/>
    <n v="3213148160"/>
    <m/>
    <x v="0"/>
    <s v="NO SE AUTORECONOCE EN NINGUNO DE LOS ANTERIORES"/>
    <x v="0"/>
    <x v="3"/>
    <s v="NO_"/>
    <s v="NO_"/>
    <s v="a. Pertenecientes a hogares con puntaje SISBEN"/>
    <m/>
    <s v="MADRE"/>
    <s v="CC"/>
    <n v="1022967941"/>
    <s v="YENIFER "/>
    <m/>
    <s v="TAUTIVA "/>
    <s v="GONZALEZ"/>
    <d v="1991-04-12T00:00:00"/>
    <s v="COLOMBIA"/>
    <s v="BOGOTÁ"/>
    <s v="BOGOTÁ"/>
    <m/>
    <m/>
    <m/>
    <m/>
    <m/>
    <m/>
    <m/>
    <s v=""/>
    <m/>
    <m/>
    <m/>
    <s v="CC"/>
    <n v="1022967941"/>
    <s v="YENIFER "/>
    <m/>
    <s v="TAUTIVA "/>
    <s v="GONZALEZ"/>
    <d v="1991-04-12T00:00:00"/>
    <n v="31"/>
    <s v="COLOMBIA"/>
    <s v="BOGOTÁ"/>
    <s v="BOGOTÁ"/>
    <x v="0"/>
    <x v="6"/>
    <x v="0"/>
    <d v="2022-03-02T00:00:00"/>
    <s v="SI_"/>
    <x v="2"/>
    <n v="1"/>
    <s v="SI_"/>
    <m/>
    <m/>
    <n v="34"/>
    <n v="1820"/>
    <n v="45"/>
    <s v="NO_"/>
    <n v="6"/>
    <m/>
    <m/>
    <x v="1"/>
    <m/>
  </r>
  <r>
    <n v="1140932613"/>
    <x v="0"/>
    <d v="2022-03-03T00:00:00"/>
    <d v="2022-09-01T00:00:00"/>
    <e v="#REF!"/>
    <e v="#N/A"/>
    <m/>
    <x v="0"/>
    <x v="1"/>
    <x v="1"/>
    <s v="RC"/>
    <s v="WENDY "/>
    <s v="SALOME "/>
    <s v="MURILLO "/>
    <s v="RAMIREZ"/>
    <s v="WENDY  SALOME  MURILLO  RAMIREZ"/>
    <d v="2017-07-28T00:00:00"/>
    <x v="9"/>
    <n v="4"/>
    <n v="28"/>
    <s v="5 AÑOS 4 MESES 2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VEREDA EL UVAL "/>
    <n v="3226360956"/>
    <m/>
    <x v="0"/>
    <s v="NO SE AUTORECONOCE EN NINGUNO DE LOS ANTERIORES"/>
    <x v="0"/>
    <x v="11"/>
    <s v="NO_"/>
    <s v="NO_"/>
    <s v="a. Pertenecientes a hogares con puntaje SISBEN"/>
    <m/>
    <s v="MADRE"/>
    <s v="CC"/>
    <n v="52889099"/>
    <s v="NANCY "/>
    <s v="YOLANDA "/>
    <s v="RAMIREZ"/>
    <s v="RUIZ "/>
    <d v="1981-04-14T00:00:00"/>
    <s v="COLOMBIA"/>
    <s v="BOGOTÁ"/>
    <s v="BOGOTÁ"/>
    <s v="CC"/>
    <n v="79923115"/>
    <s v="JHON"/>
    <s v="JAIRO "/>
    <s v="MURILLO"/>
    <m/>
    <d v="1977-12-05T00:00:00"/>
    <n v="45"/>
    <s v="COLOMBIA"/>
    <s v="CUNDINAMARCA"/>
    <s v="LA PALMA"/>
    <s v="CC"/>
    <n v="52889099"/>
    <s v="NANCY "/>
    <s v="YOLANDA "/>
    <s v="RAMIREZ"/>
    <s v="RUIZ "/>
    <d v="1981-04-14T00:00:00"/>
    <n v="41"/>
    <s v="COLOMBIA"/>
    <s v="BOGOTÁ"/>
    <s v="BOGOTÁ"/>
    <x v="1"/>
    <x v="7"/>
    <x v="0"/>
    <d v="2022-03-02T00:00:00"/>
    <s v="SI_"/>
    <x v="1"/>
    <m/>
    <s v="NO_"/>
    <m/>
    <m/>
    <n v="39"/>
    <n v="2840"/>
    <n v="49"/>
    <s v="NO_"/>
    <n v="6"/>
    <m/>
    <m/>
    <x v="3"/>
    <m/>
  </r>
  <r>
    <n v="1023041908"/>
    <x v="1"/>
    <d v="2022-03-03T00:00:00"/>
    <m/>
    <m/>
    <m/>
    <m/>
    <x v="0"/>
    <x v="1"/>
    <x v="1"/>
    <s v="RC"/>
    <s v="LINDA "/>
    <s v="GUADALUPE "/>
    <s v="ROJAS "/>
    <s v="LEON"/>
    <s v="LINDA  GUADALUPE  ROJAS  LEON"/>
    <d v="2018-09-23T00:00:00"/>
    <x v="8"/>
    <n v="3"/>
    <n v="3"/>
    <s v="4 AÑOS 3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VEREDA EL UVAL "/>
    <n v="3008240688"/>
    <m/>
    <x v="0"/>
    <s v="NO SE AUTORECONOCE EN NINGUNO DE LOS ANTERIORES"/>
    <x v="1"/>
    <x v="1"/>
    <s v="NO_"/>
    <s v="NO_"/>
    <s v="a. Pertenecientes a hogares con puntaje SISBEN"/>
    <m/>
    <s v="MADRE"/>
    <s v="CC"/>
    <n v="1051473920"/>
    <s v="YENNY "/>
    <s v="PAOLA "/>
    <s v="LEON "/>
    <s v="SICUARIZA"/>
    <d v="1989-04-30T00:00:00"/>
    <s v="COLOMBIA"/>
    <s v="BOYACÁ"/>
    <s v="AQUITANIA"/>
    <s v="CC"/>
    <n v="7125650"/>
    <s v="LUIS "/>
    <s v="SERAFIN"/>
    <s v="ROJAS "/>
    <s v="HIGUERA"/>
    <d v="1968-04-05T00:00:00"/>
    <n v="54"/>
    <s v="COLOMBIA"/>
    <s v="BOYACÁ"/>
    <s v="AQUITANIA"/>
    <s v="CC"/>
    <n v="1051473920"/>
    <s v="YENNY "/>
    <s v="PAOLA "/>
    <s v="LEON "/>
    <s v="SICUARIZA"/>
    <d v="1989-04-30T00:00:00"/>
    <n v="33"/>
    <s v="COLOMBIA"/>
    <s v="BOYACÁ"/>
    <s v="AQUITANIA"/>
    <x v="1"/>
    <x v="1"/>
    <x v="0"/>
    <d v="2022-03-02T00:00:00"/>
    <s v="SI_"/>
    <x v="1"/>
    <m/>
    <s v="NO_"/>
    <m/>
    <m/>
    <n v="39"/>
    <n v="2950"/>
    <n v="49"/>
    <s v="NO_"/>
    <n v="6"/>
    <m/>
    <m/>
    <x v="3"/>
    <m/>
  </r>
  <r>
    <n v="1023045458"/>
    <x v="1"/>
    <d v="2022-03-22T00:00:00"/>
    <m/>
    <m/>
    <m/>
    <m/>
    <x v="0"/>
    <x v="1"/>
    <x v="1"/>
    <s v="RC"/>
    <s v="EMILY"/>
    <s v="ISABELLA "/>
    <s v="ESPITIA"/>
    <s v="URBINA"/>
    <s v="EMILY ISABELLA  ESPITIA URBINA"/>
    <d v="2020-08-25T00:00:00"/>
    <x v="2"/>
    <n v="4"/>
    <n v="1"/>
    <s v="2 AÑOS 4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LLE 111 SUR 6F ESTE"/>
    <n v="3025971991"/>
    <m/>
    <x v="0"/>
    <s v="NO SE AUTORECONOCE EN NINGUNO DE LOS ANTERIORES"/>
    <x v="1"/>
    <x v="1"/>
    <s v="NO_"/>
    <s v="NO_"/>
    <s v="o. Ingresos iguales o inferiores a 1.5 Smlv"/>
    <m/>
    <s v="MADRE"/>
    <s v="CC"/>
    <n v="1016111171"/>
    <s v="ASLEI"/>
    <s v="TATIANA"/>
    <s v="URBINA"/>
    <s v="ZARATE"/>
    <d v="1999-07-04T00:00:00"/>
    <s v="COLOMBIA"/>
    <s v="BOGOTÁ"/>
    <s v="BOGOTÁ"/>
    <s v="CC"/>
    <n v="1000695483"/>
    <s v="DANIEL"/>
    <s v="FELIPE"/>
    <s v="ESPITIA"/>
    <s v="TORRES"/>
    <d v="2003-07-16T00:00:00"/>
    <n v="19"/>
    <s v="COLOMBIA"/>
    <s v="BOGOTÁ"/>
    <s v="BOGOTÁ"/>
    <s v="CC"/>
    <n v="1016111171"/>
    <s v="ASLEI"/>
    <s v="TATIANA"/>
    <s v="URBINA"/>
    <s v="ZARATE"/>
    <d v="1999-07-04T00:00:00"/>
    <n v="23"/>
    <s v="COLOMBIA"/>
    <s v="BOGOTÁ"/>
    <s v="BOGOTÁ"/>
    <x v="1"/>
    <x v="1"/>
    <x v="0"/>
    <d v="2022-03-22T00:00:00"/>
    <s v="SI_"/>
    <x v="1"/>
    <m/>
    <s v="NO_"/>
    <m/>
    <m/>
    <n v="39"/>
    <n v="2630"/>
    <n v="47"/>
    <s v="SI_"/>
    <n v="6"/>
    <m/>
    <m/>
    <x v="1"/>
    <m/>
  </r>
  <r>
    <n v="1023420025"/>
    <x v="0"/>
    <d v="2022-03-03T00:00:00"/>
    <d v="2022-03-16T00:00:00"/>
    <e v="#REF!"/>
    <e v="#N/A"/>
    <m/>
    <x v="0"/>
    <x v="1"/>
    <x v="1"/>
    <s v="RC"/>
    <s v="MICHAEL"/>
    <s v="DANIEL"/>
    <s v="RODRIGUEZ "/>
    <s v="GONZALEZ"/>
    <s v="MICHAEL DANIEL RODRIGUEZ  GONZALEZ"/>
    <d v="2020-11-12T00:00:00"/>
    <x v="2"/>
    <n v="1"/>
    <n v="14"/>
    <s v="2 AÑOS 1 MESES 1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CARRERA 6 F BIS A ESTE 99 SUR 20"/>
    <n v="3224717648"/>
    <m/>
    <x v="0"/>
    <s v="NO SE AUTORECONOCE EN NINGUNO DE LOS ANTERIORES"/>
    <x v="1"/>
    <x v="1"/>
    <s v="NO_"/>
    <s v="NO_"/>
    <s v="o. Ingresos iguales o inferiores a 1.5 Smlv"/>
    <m/>
    <s v="MADRE"/>
    <s v="CC"/>
    <n v="1004037424"/>
    <s v="DERLY "/>
    <s v="JINETH "/>
    <s v="GONZALEZ "/>
    <s v="GONZALEZ"/>
    <d v="2001-12-03T00:00:00"/>
    <s v="COLOMBIA"/>
    <s v="CUNDINAMARCA"/>
    <s v="VIOTÁ"/>
    <m/>
    <m/>
    <m/>
    <m/>
    <m/>
    <m/>
    <m/>
    <s v=""/>
    <m/>
    <m/>
    <m/>
    <s v="CC"/>
    <n v="1004037424"/>
    <s v="DERLY "/>
    <s v="JINETH "/>
    <s v="GONZALEZ "/>
    <s v="GONZALEZ"/>
    <d v="2001-12-03T00:00:00"/>
    <n v="21"/>
    <s v="COLOMBIA"/>
    <s v="CUNDINAMARCA"/>
    <s v="VIOTÁ"/>
    <x v="1"/>
    <x v="1"/>
    <x v="0"/>
    <d v="2022-03-04T00:00:00"/>
    <s v="NO_"/>
    <x v="0"/>
    <m/>
    <s v="NO_"/>
    <m/>
    <m/>
    <n v="40"/>
    <n v="3220"/>
    <n v="53"/>
    <s v="NO_"/>
    <n v="6"/>
    <m/>
    <m/>
    <x v="1"/>
    <m/>
  </r>
  <r>
    <n v="1016749017"/>
    <x v="1"/>
    <d v="2022-03-03T00:00:00"/>
    <m/>
    <m/>
    <m/>
    <s v="TRIANGULO"/>
    <x v="0"/>
    <x v="1"/>
    <x v="1"/>
    <s v="RC"/>
    <s v="ERICK"/>
    <m/>
    <s v="RUBIO"/>
    <s v="RAMIREZ"/>
    <s v="ERICK  RUBIO RAMIREZ"/>
    <d v="2020-03-05T00:00:00"/>
    <x v="2"/>
    <n v="9"/>
    <n v="21"/>
    <s v="2 AÑOS 9 MESES 2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CARRERA 8D ESTE 90SUR 15"/>
    <n v="3134470361"/>
    <m/>
    <x v="0"/>
    <s v="NO SE AUTORECONOCE EN NINGUNO DE LOS ANTERIORES"/>
    <x v="0"/>
    <x v="12"/>
    <s v="NO_"/>
    <s v="NO_"/>
    <s v="a. Pertenecientes a hogares con puntaje SISBEN"/>
    <m/>
    <s v="MADRE"/>
    <s v="CC"/>
    <n v="1022925547"/>
    <s v="MARIA "/>
    <s v="JOHANNA "/>
    <s v="RAMIREZ"/>
    <s v="SALDARRIAGA"/>
    <d v="1984-08-27T00:00:00"/>
    <s v="COLOMBIA"/>
    <s v="RISARALDA"/>
    <s v="PEREIRA "/>
    <s v="CC"/>
    <n v="7252466"/>
    <s v="JHON "/>
    <s v="JAIRO "/>
    <s v="RUBIO "/>
    <s v="CARDONA "/>
    <d v="1971-07-31T00:00:00"/>
    <n v="51"/>
    <s v="COLOMBIA"/>
    <s v="BOYACÁ"/>
    <s v="PUERTO "/>
    <s v="CC"/>
    <n v="1022925547"/>
    <s v="MARIA "/>
    <s v="JOHANNA "/>
    <s v="RAMIREZ"/>
    <s v="SALDARRIAGA"/>
    <d v="1984-08-27T00:00:00"/>
    <n v="38"/>
    <s v="COLOMBIA"/>
    <s v="RISARALDA"/>
    <s v="PEREIRA "/>
    <x v="1"/>
    <x v="6"/>
    <x v="0"/>
    <d v="2022-03-04T00:00:00"/>
    <s v="SI_"/>
    <x v="2"/>
    <n v="1"/>
    <s v="NO_"/>
    <m/>
    <m/>
    <n v="39"/>
    <n v="3020"/>
    <n v="47"/>
    <s v="NO_"/>
    <n v="6"/>
    <m/>
    <m/>
    <x v="1"/>
    <m/>
  </r>
  <r>
    <n v="1031858155"/>
    <x v="1"/>
    <d v="2022-05-10T00:00:00"/>
    <m/>
    <m/>
    <m/>
    <m/>
    <x v="0"/>
    <x v="1"/>
    <x v="1"/>
    <s v="RC"/>
    <s v="ERICK "/>
    <s v="SANTIAGO "/>
    <s v="BALDOVINO "/>
    <s v="LOPEZ"/>
    <s v="ERICK  SANTIAGO  BALDOVINO  LOPEZ"/>
    <d v="2021-03-24T00:00:00"/>
    <x v="3"/>
    <n v="9"/>
    <n v="2"/>
    <s v="1 AÑOS 9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DG 97 F BIS SUR N 4 ESTE 45 "/>
    <n v="3209164545"/>
    <m/>
    <x v="0"/>
    <s v="NO SE AUTORECONOCE EN NINGUNO DE LOS ANTERIORES"/>
    <x v="1"/>
    <x v="1"/>
    <s v="NO_"/>
    <s v="NO_"/>
    <s v="o. Ingresos iguales o inferiores a 1.5 Smlv"/>
    <m/>
    <s v="MADRE"/>
    <s v="CC"/>
    <n v="1023019017"/>
    <s v="ANGIE "/>
    <s v="JURANY"/>
    <s v="LOPEZ "/>
    <s v="USECHE"/>
    <d v="1996-10-28T00:00:00"/>
    <s v="COLOMBIA"/>
    <s v="TOLIMA"/>
    <s v="HONDA"/>
    <m/>
    <m/>
    <m/>
    <m/>
    <m/>
    <m/>
    <m/>
    <s v=""/>
    <m/>
    <m/>
    <m/>
    <s v="CC"/>
    <n v="1023019017"/>
    <s v="ANGIE "/>
    <s v="JURANY"/>
    <s v="LOPEZ "/>
    <s v="USECHE"/>
    <d v="1996-10-28T00:00:00"/>
    <n v="26"/>
    <s v="COLOMBIA"/>
    <s v="TOLIMA"/>
    <s v="HONDA"/>
    <x v="0"/>
    <x v="5"/>
    <x v="2"/>
    <d v="2022-05-06T00:00:00"/>
    <s v="SI_"/>
    <x v="2"/>
    <d v="2022-04-04T00:00:00"/>
    <s v="NO_"/>
    <m/>
    <m/>
    <n v="39"/>
    <n v="2950"/>
    <n v="49"/>
    <s v="SI_"/>
    <n v="8"/>
    <m/>
    <m/>
    <x v="1"/>
    <m/>
  </r>
  <r>
    <n v="1243858843"/>
    <x v="0"/>
    <d v="2022-03-03T00:00:00"/>
    <d v="2022-05-09T00:00:00"/>
    <e v="#REF!"/>
    <e v="#N/A"/>
    <m/>
    <x v="0"/>
    <x v="1"/>
    <x v="1"/>
    <s v="RC"/>
    <s v="JHONSI "/>
    <s v="SEBASTIAN"/>
    <s v="RIASCOS "/>
    <s v="CARABALI"/>
    <s v="JHONSI  SEBASTIAN RIASCOS  CARABALI"/>
    <d v="2020-05-29T00:00:00"/>
    <x v="2"/>
    <n v="6"/>
    <n v="27"/>
    <s v="2 AÑOS 6 MESES 2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CARRERA 3A ESTE91 SUR 08"/>
    <n v="3212630706"/>
    <m/>
    <x v="0"/>
    <s v="NO SE AUTORECONOCE EN NINGUNO DE LOS ANTERIORES"/>
    <x v="1"/>
    <x v="1"/>
    <s v="NO_"/>
    <s v="NO_"/>
    <s v="o. Ingresos iguales o inferiores a 1.5 Smlv"/>
    <m/>
    <s v="MADRE"/>
    <s v="CC"/>
    <n v="1087204220"/>
    <s v="ANYI"/>
    <s v="JOHANA"/>
    <s v="CARABALI"/>
    <s v="CABEZAS"/>
    <d v="1995-10-30T00:00:00"/>
    <s v="COLOMBIA"/>
    <s v="NARIÑO"/>
    <s v="TUMACO"/>
    <s v="CC"/>
    <n v="1111769183"/>
    <s v="JHON"/>
    <s v="JAMES"/>
    <s v="RIASCOS "/>
    <s v="RIASCOS "/>
    <d v="1988-04-12T00:00:00"/>
    <n v="34"/>
    <s v="COLOMBIA"/>
    <s v="VALLE_DEL_CAUCA"/>
    <s v="BUENAVENTURA"/>
    <s v="CC"/>
    <n v="1087204220"/>
    <s v="ANYI"/>
    <s v="JOHANA"/>
    <s v="CARABALI"/>
    <s v="CABEZAS"/>
    <d v="1995-10-30T00:00:00"/>
    <n v="27"/>
    <s v="COLOMBIA"/>
    <s v="NARIÑO"/>
    <s v="TUMACO"/>
    <x v="1"/>
    <x v="2"/>
    <x v="0"/>
    <d v="2022-03-04T00:00:00"/>
    <s v="SI_"/>
    <x v="2"/>
    <n v="1"/>
    <s v="NO_"/>
    <m/>
    <m/>
    <n v="39"/>
    <n v="3500"/>
    <n v="50"/>
    <s v="NO_"/>
    <n v="6"/>
    <m/>
    <m/>
    <x v="1"/>
    <m/>
  </r>
  <r>
    <n v="1119187596"/>
    <x v="1"/>
    <d v="2022-03-03T00:00:00"/>
    <m/>
    <m/>
    <m/>
    <m/>
    <x v="0"/>
    <x v="1"/>
    <x v="1"/>
    <s v="RC"/>
    <s v="AXELL"/>
    <s v="JOHANNY"/>
    <s v="SIERRA "/>
    <s v="CONTRERAS"/>
    <s v="AXELL JOHANNY SIERRA  CONTRERAS"/>
    <d v="2020-07-26T00:00:00"/>
    <x v="2"/>
    <n v="5"/>
    <n v="0"/>
    <s v="2 AÑOS 5 MESES 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CARRERA 90D 87-64"/>
    <n v="3124305136"/>
    <m/>
    <x v="0"/>
    <s v="NO SE AUTORECONOCE EN NINGUNO DE LOS ANTERIORES"/>
    <x v="1"/>
    <x v="1"/>
    <s v="NO_"/>
    <s v="NO_"/>
    <s v="o. Ingresos iguales o inferiores a 1.5 Smlv"/>
    <m/>
    <s v="MADRE"/>
    <s v="CC"/>
    <n v="1119180064"/>
    <s v="YURY "/>
    <s v="NATALIA"/>
    <s v="CONTRERAS "/>
    <s v="GUERRERO"/>
    <d v="2003-04-30T00:00:00"/>
    <s v="COLOMBIA"/>
    <s v="ARAUCA"/>
    <s v="FORTUL"/>
    <s v="CC"/>
    <n v="1007399087"/>
    <s v="JOHANNY"/>
    <m/>
    <s v="SIERRA "/>
    <s v="CARDOZO"/>
    <d v="2002-03-22T00:00:00"/>
    <n v="20"/>
    <s v="COLOMBIA"/>
    <s v="ARAUCA"/>
    <s v="SARAVENA"/>
    <s v="CC"/>
    <n v="1119180064"/>
    <s v="YURI"/>
    <s v="NATALIA"/>
    <s v="CONTRERAS "/>
    <s v="GUERRERO"/>
    <d v="2003-04-30T00:00:00"/>
    <n v="19"/>
    <s v="COLOMBIA"/>
    <s v="ARAUCA"/>
    <s v="FORTUL"/>
    <x v="1"/>
    <x v="2"/>
    <x v="0"/>
    <d v="2022-03-04T00:00:00"/>
    <s v="SI_"/>
    <x v="2"/>
    <n v="1"/>
    <s v="NO_"/>
    <m/>
    <m/>
    <n v="39"/>
    <n v="3330"/>
    <n v="53"/>
    <s v="SI_"/>
    <n v="6"/>
    <m/>
    <m/>
    <x v="1"/>
    <m/>
  </r>
  <r>
    <n v="1063313739"/>
    <x v="0"/>
    <d v="2022-03-03T00:00:00"/>
    <d v="2022-03-04T00:00:00"/>
    <e v="#REF!"/>
    <e v="#N/A"/>
    <s v="No se evidencia ninguna respuesta por parte de la madre del menor a su retiro del programa y su negación a la visita domiciliaria con las respectivas maestras buscando respuesta a tal retiro"/>
    <x v="0"/>
    <x v="1"/>
    <x v="1"/>
    <s v="RC"/>
    <s v="IAN "/>
    <s v="GAEL "/>
    <s v="BUELVAS "/>
    <s v="RESTREPO "/>
    <s v="IAN  GAEL  BUELVAS  RESTREPO "/>
    <d v="2021-05-18T00:00:00"/>
    <x v="3"/>
    <n v="7"/>
    <n v="8"/>
    <s v="1 AÑOS 7 MESES 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R 5 ESTE 106 A SUR  16 CA"/>
    <n v="3223779531"/>
    <m/>
    <x v="0"/>
    <s v="NO SE AUTORECONOCE EN NINGUNO DE LOS ANTERIORES"/>
    <x v="1"/>
    <x v="1"/>
    <s v="NO_"/>
    <s v="NO_"/>
    <s v="o. Ingresos iguales o inferiores a 1.5 Smlv"/>
    <m/>
    <s v="MADRE"/>
    <s v="CC"/>
    <n v="1063293386"/>
    <s v="MELISSA"/>
    <m/>
    <s v="BUELVAS "/>
    <s v="RESTREPO"/>
    <d v="1993-01-03T00:00:00"/>
    <s v="COLOMBIA"/>
    <s v="CÓRDOBA"/>
    <s v="MONTELÍBANO"/>
    <m/>
    <m/>
    <m/>
    <m/>
    <m/>
    <m/>
    <m/>
    <s v=""/>
    <m/>
    <m/>
    <m/>
    <s v="CC"/>
    <n v="1063293386"/>
    <s v="MELISSA"/>
    <m/>
    <s v="BUELVAS "/>
    <s v="RESTREPO"/>
    <d v="1993-01-03T00:00:00"/>
    <n v="29"/>
    <s v="COLOMBIA"/>
    <s v="CÓRDOBA"/>
    <s v="MONTELÍBANO"/>
    <x v="1"/>
    <x v="2"/>
    <x v="0"/>
    <d v="2022-02-28T00:00:00"/>
    <s v="SI_"/>
    <x v="2"/>
    <n v="1"/>
    <s v="NO_"/>
    <m/>
    <m/>
    <n v="40"/>
    <n v="3290"/>
    <n v="51"/>
    <s v="SI_"/>
    <n v="6"/>
    <m/>
    <m/>
    <x v="1"/>
    <m/>
  </r>
  <r>
    <n v="1243860728"/>
    <x v="0"/>
    <d v="2022-03-03T00:00:00"/>
    <d v="2022-10-03T00:00:00"/>
    <e v="#REF!"/>
    <e v="#N/A"/>
    <s v="VIRREY"/>
    <x v="0"/>
    <x v="3"/>
    <x v="3"/>
    <s v="RC"/>
    <s v="AURORA "/>
    <s v="CELESTE "/>
    <s v="SALAZAR "/>
    <s v="RODRIGUEZ "/>
    <s v="AURORA  CELESTE  SALAZAR  RODRIGUEZ "/>
    <d v="2021-11-02T00:00:00"/>
    <x v="3"/>
    <n v="1"/>
    <n v="24"/>
    <s v="1 AÑOS 1 MESES 2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9"/>
    <m/>
    <s v="CRA 6 A #92 A 15 SUR"/>
    <n v="3212661453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SAMIRA "/>
    <s v="JOSE"/>
    <s v="RODRIGUEZ"/>
    <s v="NATERA "/>
    <d v="2003-11-04T00:00:00"/>
    <s v="VENEZUELA"/>
    <s v="EXTERIOR"/>
    <s v="EXTERIOR"/>
    <s v="SIN DOCUMENTO"/>
    <m/>
    <s v="ALAN "/>
    <s v="BRUNO"/>
    <s v="SALAZAR "/>
    <s v="BLANCO"/>
    <d v="1985-11-12T00:00:00"/>
    <n v="37"/>
    <s v="VENEZUELA"/>
    <s v="EXTERIOR"/>
    <s v="EXTERIOR"/>
    <s v="SIN DOCUMENTO"/>
    <m/>
    <s v="SAMIRA "/>
    <s v="JOSE"/>
    <s v="RODRIGUEZ"/>
    <s v="NATERA "/>
    <d v="2003-11-04T00:00:00"/>
    <n v="19"/>
    <s v="VENEZUELA"/>
    <s v="EXTERIOR"/>
    <s v="EXTERIOR"/>
    <x v="1"/>
    <x v="1"/>
    <x v="0"/>
    <d v="2022-03-07T00:00:00"/>
    <s v="SI_"/>
    <x v="2"/>
    <n v="1"/>
    <s v="NO_"/>
    <m/>
    <m/>
    <n v="39"/>
    <n v="2980"/>
    <n v="47"/>
    <s v="SI_"/>
    <m/>
    <m/>
    <m/>
    <x v="1"/>
    <m/>
  </r>
  <r>
    <n v="1030046839"/>
    <x v="0"/>
    <d v="2022-03-10T00:00:00"/>
    <d v="2022-10-03T00:00:00"/>
    <e v="#REF!"/>
    <e v="#N/A"/>
    <s v="TRIANGULO"/>
    <x v="0"/>
    <x v="1"/>
    <x v="1"/>
    <s v="RC"/>
    <s v="RONNY"/>
    <s v="EMMANUEL "/>
    <s v="CAÑA"/>
    <s v="GUEVARA "/>
    <s v="RONNY EMMANUEL  CAÑA GUEVARA "/>
    <d v="2019-10-30T00:00:00"/>
    <x v="10"/>
    <n v="1"/>
    <n v="26"/>
    <s v="3 AÑOS 1 MESES 2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"/>
    <m/>
    <s v="CALLE 84 A SUR 1 ESTE 63-01"/>
    <n v="3204190615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ASTRID "/>
    <s v="FREDESMINDER"/>
    <s v="GUEVARA "/>
    <s v="FRANCO"/>
    <d v="1992-11-21T00:00:00"/>
    <s v="VENEZUELA"/>
    <s v="EXTERIOR"/>
    <s v="EXTERIOR"/>
    <s v="SIN DOCUMENTO"/>
    <m/>
    <s v="DARWIN "/>
    <s v="ENRIQUE"/>
    <s v="CAÑA "/>
    <s v="GARCIA "/>
    <d v="1994-06-10T00:00:00"/>
    <n v="28"/>
    <s v="VENEZUELA"/>
    <s v="EXTERIOR"/>
    <s v="EXTERIOR"/>
    <s v="SIN DOCUMENTO"/>
    <m/>
    <s v="ASTRID"/>
    <s v="FREDESMINDER"/>
    <s v="GUEVARA "/>
    <s v="FRANCO"/>
    <d v="1992-11-21T00:00:00"/>
    <n v="30"/>
    <s v="VENEZUELA"/>
    <s v="EXTERIOR"/>
    <s v="EXTERIOR"/>
    <x v="1"/>
    <x v="1"/>
    <x v="0"/>
    <d v="2022-03-10T00:00:00"/>
    <s v="SI_"/>
    <x v="2"/>
    <n v="1"/>
    <s v="SI_"/>
    <m/>
    <m/>
    <n v="33"/>
    <n v="1520"/>
    <n v="44"/>
    <s v="SI_"/>
    <n v="6"/>
    <m/>
    <m/>
    <x v="3"/>
    <m/>
  </r>
  <r>
    <n v="1140939399"/>
    <x v="1"/>
    <d v="2022-03-10T00:00:00"/>
    <m/>
    <m/>
    <m/>
    <m/>
    <x v="0"/>
    <x v="1"/>
    <x v="1"/>
    <s v="RC"/>
    <s v="ALAN"/>
    <s v="ZAID"/>
    <s v="PRADO"/>
    <s v="HINCAPIE "/>
    <s v="ALAN ZAID PRADO HINCAPIE "/>
    <d v="2020-08-30T00:00:00"/>
    <x v="2"/>
    <n v="3"/>
    <n v="26"/>
    <s v="2 AÑOS 3 MESES 2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ALLE 105A SUR 7H ESTE 88"/>
    <n v="3112537566"/>
    <m/>
    <x v="0"/>
    <s v="NO SE AUTORECONOCE EN NINGUNO DE LOS ANTERIORES"/>
    <x v="1"/>
    <x v="1"/>
    <s v="NO_"/>
    <s v="NO_"/>
    <s v="o. Ingresos iguales o inferiores a 1.5 Smlv"/>
    <m/>
    <s v="MADRE"/>
    <s v="CC"/>
    <n v="1033808269"/>
    <s v="YUDY"/>
    <s v="ARGENIS"/>
    <s v="HINCAPIE"/>
    <s v="HINCAPIE"/>
    <d v="1998-07-12T00:00:00"/>
    <s v="COLOMBIA"/>
    <s v="CALDAS"/>
    <s v="SAMANÁ"/>
    <s v="CC"/>
    <n v="80746694"/>
    <s v="JORGE"/>
    <m/>
    <s v="PRADO"/>
    <s v="MORENO"/>
    <d v="1984-05-03T00:00:00"/>
    <n v="38"/>
    <s v="COLOMBIA"/>
    <s v="BOYACÁ"/>
    <s v="PUERTO "/>
    <m/>
    <n v="1033808269"/>
    <s v="YUDY"/>
    <s v="ARGENIS"/>
    <s v="HINCAPIE"/>
    <s v="HINCAPIE"/>
    <d v="1998-07-12T00:00:00"/>
    <n v="24"/>
    <s v="COLOMBIA"/>
    <s v="CALDAS"/>
    <s v="SAMANÁ"/>
    <x v="0"/>
    <x v="2"/>
    <x v="0"/>
    <d v="2022-03-10T00:00:00"/>
    <s v="SI_"/>
    <x v="2"/>
    <n v="2"/>
    <s v="SI_"/>
    <m/>
    <m/>
    <n v="38"/>
    <n v="3340"/>
    <n v="51"/>
    <s v="SI_"/>
    <n v="6"/>
    <m/>
    <m/>
    <x v="1"/>
    <m/>
  </r>
  <r>
    <n v="1023420650"/>
    <x v="0"/>
    <d v="2022-03-10T00:00:00"/>
    <d v="2022-09-01T00:00:00"/>
    <e v="#REF!"/>
    <e v="#N/A"/>
    <m/>
    <x v="0"/>
    <x v="1"/>
    <x v="1"/>
    <s v="RC"/>
    <s v="MATHIAS"/>
    <s v="ALESSANDRO"/>
    <s v="GUEVARA"/>
    <s v="RODRIGUEZ"/>
    <s v="MATHIAS ALESSANDRO GUEVARA RODRIGUEZ"/>
    <d v="2021-02-27T00:00:00"/>
    <x v="3"/>
    <n v="9"/>
    <n v="29"/>
    <s v="1 AÑOS 9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LLE 108 SUR 7D ESTE 29 PI2"/>
    <n v="3212759985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REYMAR "/>
    <s v="DANIELA "/>
    <s v="RODRIGUEZ "/>
    <s v="HERNANDEZ"/>
    <d v="1999-07-06T00:00:00"/>
    <s v="VENEZUELA"/>
    <s v="EXTERIOR"/>
    <s v="EXTERIOR"/>
    <s v="SIN DOCUMENTO"/>
    <m/>
    <s v="JHONNY"/>
    <s v="ALEXANDER"/>
    <s v="GUEVARA "/>
    <s v="CARDENAS "/>
    <d v="1996-01-11T00:00:00"/>
    <n v="26"/>
    <s v="VENEZUELA"/>
    <s v="EXTERIOR"/>
    <s v="EXTERIOR"/>
    <s v="SIN DOCUMENTO"/>
    <m/>
    <s v="REYMAR "/>
    <s v="DANIELA "/>
    <s v="RODRIGUEZ "/>
    <s v="HERNANDEZ"/>
    <d v="1999-07-06T00:00:00"/>
    <n v="23"/>
    <s v="VENEZUELA"/>
    <s v="EXTERIOR"/>
    <s v="EXTERIOR"/>
    <x v="1"/>
    <x v="1"/>
    <x v="0"/>
    <d v="2022-03-10T00:00:00"/>
    <s v="SI_"/>
    <x v="1"/>
    <m/>
    <s v="NO_"/>
    <m/>
    <m/>
    <n v="37"/>
    <n v="2650"/>
    <n v="47"/>
    <s v="SI_"/>
    <n v="6"/>
    <m/>
    <m/>
    <x v="1"/>
    <m/>
  </r>
  <r>
    <n v="1243860045"/>
    <x v="1"/>
    <d v="2022-08-02T00:00:00"/>
    <m/>
    <m/>
    <m/>
    <m/>
    <x v="0"/>
    <x v="1"/>
    <x v="1"/>
    <s v="RC"/>
    <s v="GABRIEL "/>
    <s v="JESUS"/>
    <s v="MONTILLA"/>
    <s v="PINEDA"/>
    <s v="GABRIEL  JESUS MONTILLA PINEDA"/>
    <d v="2020-10-08T00:00:00"/>
    <x v="2"/>
    <n v="2"/>
    <n v="18"/>
    <s v="2 AÑOS 2 MESES 1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ZONA DE ASENATAMIENTO SIN LEGALIZAR"/>
    <n v="3113811985"/>
    <m/>
    <x v="2"/>
    <s v="NO SE AUTORECONOCE EN NINGUNO DE LOS ANTERIORES"/>
    <x v="1"/>
    <x v="1"/>
    <s v="NO_"/>
    <s v="NO_"/>
    <s v="o. Ingresos iguales o inferiores a 1.5 Smlv"/>
    <m/>
    <s v="MADRE"/>
    <s v="SIN DOCUMENTO"/>
    <m/>
    <s v="RUSMARY"/>
    <s v="SARAY"/>
    <s v="MONTILLA "/>
    <s v="PINEDA"/>
    <d v="2004-05-28T00:00:00"/>
    <s v="VENEZUELA"/>
    <s v="EXTERIOR"/>
    <s v="EXTERIOR"/>
    <m/>
    <m/>
    <m/>
    <m/>
    <m/>
    <m/>
    <m/>
    <s v=""/>
    <m/>
    <m/>
    <m/>
    <m/>
    <m/>
    <s v="RUSMARY"/>
    <s v="SARAY"/>
    <s v="MONTILLA "/>
    <s v="PINEDA"/>
    <d v="2004-05-28T00:00:00"/>
    <n v="18"/>
    <s v="VENEZUELA"/>
    <s v="EXTERIOR"/>
    <s v="EXTERIOR"/>
    <x v="1"/>
    <x v="1"/>
    <x v="0"/>
    <d v="2022-07-29T00:00:00"/>
    <s v="SI_"/>
    <x v="2"/>
    <d v="2022-07-29T00:00:00"/>
    <s v="NO_"/>
    <m/>
    <m/>
    <n v="39"/>
    <n v="2680"/>
    <n v="49"/>
    <s v="SI_"/>
    <n v="6"/>
    <m/>
    <m/>
    <x v="1"/>
    <m/>
  </r>
  <r>
    <n v="1003202163"/>
    <x v="0"/>
    <d v="2022-03-10T00:00:00"/>
    <d v="2022-08-01T00:00:00"/>
    <e v="#REF!"/>
    <e v="#N/A"/>
    <m/>
    <x v="0"/>
    <x v="1"/>
    <x v="1"/>
    <s v="ANM"/>
    <s v="JOEL"/>
    <s v="ELIAM"/>
    <s v="RUSSO"/>
    <s v="GONZALEZ"/>
    <s v="JOEL ELIAM RUSSO GONZALEZ"/>
    <d v="2021-03-10T00:00:00"/>
    <x v="3"/>
    <n v="9"/>
    <n v="16"/>
    <s v="1 AÑOS 9 MESES 16 DIAS "/>
    <x v="2"/>
    <x v="1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CARRERA 6 F ESTE 90 SUR 26"/>
    <n v="3214193178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ESTEFANIA "/>
    <s v="DEL VALLE"/>
    <s v="GONZALEZ "/>
    <s v="CONTRERAS"/>
    <d v="2001-02-11T00:00:00"/>
    <s v="VENEZUELA"/>
    <s v="EXTERIOR"/>
    <s v="EXTERIOR"/>
    <m/>
    <m/>
    <m/>
    <m/>
    <m/>
    <m/>
    <m/>
    <s v=""/>
    <m/>
    <m/>
    <m/>
    <m/>
    <m/>
    <s v="ESTEFANIA "/>
    <s v="DEL VALLE"/>
    <s v="GONZALEZ "/>
    <s v="CONTRERAS"/>
    <d v="2001-02-11T00:00:00"/>
    <n v="21"/>
    <s v="VENEZUELA"/>
    <s v="EXTERIOR"/>
    <s v="EXTERIOR"/>
    <x v="1"/>
    <x v="1"/>
    <x v="0"/>
    <d v="2021-03-10T00:00:00"/>
    <s v="SI_"/>
    <x v="1"/>
    <m/>
    <s v="NO_"/>
    <m/>
    <m/>
    <n v="39"/>
    <n v="2900"/>
    <n v="47"/>
    <s v="SI_"/>
    <n v="6"/>
    <m/>
    <m/>
    <x v="1"/>
    <m/>
  </r>
  <r>
    <n v="1034672281"/>
    <x v="0"/>
    <d v="2022-03-10T00:00:00"/>
    <d v="2022-06-06T00:00:00"/>
    <e v="#REF!"/>
    <e v="#N/A"/>
    <m/>
    <x v="0"/>
    <x v="3"/>
    <x v="3"/>
    <s v="RC"/>
    <s v="ABBY"/>
    <m/>
    <s v="HERRERA "/>
    <s v="PAEZ"/>
    <s v="ABBY  HERRERA  PAEZ"/>
    <d v="2021-05-14T00:00:00"/>
    <x v="3"/>
    <n v="7"/>
    <n v="12"/>
    <s v="1 AÑOS 7 MESES 1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8"/>
    <m/>
    <s v="CALLE 97 SUR 7B ESTE "/>
    <s v="310 7740505"/>
    <m/>
    <x v="0"/>
    <s v="NO SE AUTORECONOCE EN NINGUNO DE LOS ANTERIORES"/>
    <x v="1"/>
    <x v="1"/>
    <s v="NO_"/>
    <s v="NO_"/>
    <s v="o. Ingresos iguales o inferiores a 1.5 Smlv"/>
    <m/>
    <s v="MADRE"/>
    <s v="CC"/>
    <n v="1003175357"/>
    <s v="JARITZA"/>
    <m/>
    <s v="PAEZ"/>
    <s v="ARIAS"/>
    <d v="2001-07-10T00:00:00"/>
    <s v="COLOMBIA"/>
    <s v="CESAR"/>
    <s v="RÍO DE ORO"/>
    <s v="CC"/>
    <n v="1000061736"/>
    <s v="BRAYAN "/>
    <s v="STEVEN"/>
    <s v="HERRERA "/>
    <s v="MARTINEZ "/>
    <d v="2000-04-26T00:00:00"/>
    <n v="22"/>
    <s v="COLOMBIA"/>
    <s v="BOGOTÁ"/>
    <s v="BOGOTÁ"/>
    <s v="CC"/>
    <n v="1003175357"/>
    <s v="JARITZA"/>
    <m/>
    <s v="PAEZ"/>
    <s v="ARIAS"/>
    <d v="2001-07-10T00:00:00"/>
    <n v="21"/>
    <s v="COLOMBIA"/>
    <s v="CESAR"/>
    <s v="RÍO DE ORO"/>
    <x v="0"/>
    <x v="6"/>
    <x v="0"/>
    <d v="2022-03-10T00:00:00"/>
    <s v="SI_"/>
    <x v="2"/>
    <n v="1"/>
    <s v="NO_"/>
    <m/>
    <m/>
    <n v="39"/>
    <n v="2890"/>
    <n v="49"/>
    <s v="SI_"/>
    <n v="6"/>
    <m/>
    <m/>
    <x v="1"/>
    <m/>
  </r>
  <r>
    <n v="1020010439"/>
    <x v="0"/>
    <d v="2022-03-10T00:00:00"/>
    <d v="2022-03-28T00:00:00"/>
    <e v="#REF!"/>
    <e v="#N/A"/>
    <m/>
    <x v="0"/>
    <x v="3"/>
    <x v="3"/>
    <s v="RC"/>
    <s v="DANNA "/>
    <s v="SOFIA "/>
    <s v="MOSQUERA "/>
    <s v="CHAUX"/>
    <s v="DANNA  SOFIA  MOSQUERA  CHAUX"/>
    <d v="2021-05-21T00:00:00"/>
    <x v="3"/>
    <n v="7"/>
    <n v="5"/>
    <s v="1 AÑOS 7 MESES 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ARRERA 7 ESTE 97 B SUR 38 "/>
    <s v="311 2325563"/>
    <m/>
    <x v="0"/>
    <s v="NO SE AUTORECONOCE EN NINGUNO DE LOS ANTERIORES"/>
    <x v="1"/>
    <x v="1"/>
    <s v="NO_"/>
    <s v="NO_"/>
    <s v="o. Ingresos iguales o inferiores a 1.5 Smlv"/>
    <m/>
    <s v="MADRE"/>
    <s v="CC"/>
    <n v="1026584748"/>
    <s v="YEIMY "/>
    <s v="ANDREA "/>
    <s v="CHAUX"/>
    <s v="VARGAS"/>
    <d v="1995-10-25T00:00:00"/>
    <s v="COLOMBIA"/>
    <s v="BOGOTÁ"/>
    <s v="BOGOTÁ"/>
    <m/>
    <m/>
    <m/>
    <m/>
    <m/>
    <m/>
    <m/>
    <s v=""/>
    <m/>
    <m/>
    <m/>
    <s v="CC"/>
    <n v="1026584748"/>
    <s v="YEIMY "/>
    <s v="ANDREA "/>
    <s v="CHAUX"/>
    <s v="VARGAS"/>
    <d v="1995-10-25T00:00:00"/>
    <n v="27"/>
    <s v="COLOMBIA"/>
    <s v="BOGOTÁ"/>
    <s v="BOGOTÁ"/>
    <x v="0"/>
    <x v="2"/>
    <x v="0"/>
    <d v="2022-03-10T00:00:00"/>
    <s v="SI_"/>
    <x v="2"/>
    <n v="1"/>
    <s v="NO_"/>
    <m/>
    <m/>
    <n v="40"/>
    <n v="3160"/>
    <n v="51"/>
    <s v="SI_"/>
    <n v="6"/>
    <m/>
    <m/>
    <x v="1"/>
    <m/>
  </r>
  <r>
    <n v="1023047989"/>
    <x v="0"/>
    <d v="2022-03-14T00:00:00"/>
    <d v="2022-10-03T00:00:00"/>
    <e v="#REF!"/>
    <e v="#N/A"/>
    <s v="SAN JUAN A"/>
    <x v="0"/>
    <x v="2"/>
    <x v="2"/>
    <s v="RC"/>
    <s v="VALERIA"/>
    <m/>
    <s v="RUBIANO"/>
    <s v="BACHILLER"/>
    <s v="VALERIA  RUBIANO BACHILLER"/>
    <d v="2022-02-24T00:00:00"/>
    <x v="1"/>
    <n v="10"/>
    <n v="2"/>
    <s v="0 AÑOS 10 MESES 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9"/>
    <m/>
    <s v="CRA 9 #91-21 SUR"/>
    <n v="3112136805"/>
    <m/>
    <x v="1"/>
    <s v="NO SE AUTORECONOCE EN NINGUNO DE LOS ANTERIORES"/>
    <x v="0"/>
    <x v="13"/>
    <s v="NO_"/>
    <s v="NO_"/>
    <s v="a. Pertenecientes a hogares con puntaje SISBEN"/>
    <m/>
    <s v="MADRE"/>
    <s v="CC"/>
    <n v="1022959952"/>
    <s v="KAREN "/>
    <s v="ALEXANDRA "/>
    <s v="BACHILLER"/>
    <s v="VARGAS"/>
    <d v="1990-05-21T00:00:00"/>
    <s v="COLOMBIA"/>
    <s v="BOGOTÁ"/>
    <s v="BOGOTÁ"/>
    <s v="CC"/>
    <n v="1023032787"/>
    <s v="OSCAR"/>
    <s v="FABIAN"/>
    <s v="RUBIANO"/>
    <s v="SIERRA"/>
    <d v="1998-12-16T00:00:00"/>
    <n v="24"/>
    <s v="COLOMBIA"/>
    <s v="BOGOTÁ"/>
    <s v="BOGOTÁ"/>
    <s v="CC"/>
    <n v="1022959952"/>
    <s v="KAREN "/>
    <s v="ALEXANDRA"/>
    <s v="BACHILLER"/>
    <s v="VARGAS"/>
    <d v="1990-05-21T00:00:00"/>
    <n v="32"/>
    <s v="COLOMBIA"/>
    <s v="BOGOTÁ"/>
    <s v="BOGOTÁ"/>
    <x v="0"/>
    <x v="5"/>
    <x v="0"/>
    <d v="2022-03-07T00:00:00"/>
    <s v="SI_"/>
    <x v="1"/>
    <m/>
    <s v="NO_"/>
    <m/>
    <m/>
    <n v="38"/>
    <n v="2830"/>
    <n v="45"/>
    <m/>
    <m/>
    <m/>
    <m/>
    <x v="2"/>
    <m/>
  </r>
  <r>
    <n v="1022959952"/>
    <x v="0"/>
    <d v="2022-03-03T00:00:00"/>
    <d v="2022-03-11T00:00:00"/>
    <e v="#REF!"/>
    <e v="#N/A"/>
    <m/>
    <x v="0"/>
    <x v="0"/>
    <x v="0"/>
    <s v="CC"/>
    <s v="KAREN"/>
    <s v="ALEXANDRA"/>
    <s v="BACHILLER"/>
    <s v="VARGAS"/>
    <s v="KAREN ALEXANDRA BACHILLER VARGAS"/>
    <d v="1990-05-21T00:00:00"/>
    <x v="11"/>
    <n v="7"/>
    <n v="5"/>
    <s v="32 AÑOS 7 MESES 5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9"/>
    <m/>
    <s v="CRA 9 # 91- 21 SUR"/>
    <n v="3112136805"/>
    <m/>
    <x v="1"/>
    <s v="NO SE AUTORECONOCE EN NINGUNO DE LOS ANTERIORES"/>
    <x v="0"/>
    <x v="13"/>
    <s v="NO_"/>
    <s v="NO_"/>
    <s v="a. Pertenecientes a hogares con puntaje SISBEN"/>
    <m/>
    <s v="HERMANO(A)"/>
    <s v="CC"/>
    <n v="1000578153"/>
    <s v="ANGIE"/>
    <s v="CATALINA"/>
    <s v="VARGAS"/>
    <s v="HILARION"/>
    <d v="2000-04-30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5"/>
    <x v="1"/>
    <s v="26/02/20222"/>
    <s v="SI_"/>
    <x v="0"/>
    <m/>
    <m/>
    <s v="SI"/>
    <m/>
    <m/>
    <m/>
    <m/>
    <m/>
    <m/>
    <m/>
    <n v="38"/>
    <x v="0"/>
    <m/>
  </r>
  <r>
    <n v="1033830973"/>
    <x v="0"/>
    <d v="2022-03-03T00:00:00"/>
    <d v="2022-10-03T00:00:00"/>
    <e v="#REF!"/>
    <e v="#N/A"/>
    <s v="SAN JUANA"/>
    <x v="0"/>
    <x v="3"/>
    <x v="3"/>
    <s v="RC"/>
    <s v="IAN"/>
    <s v="SEBASTIAN"/>
    <s v="RAMIREZ"/>
    <s v="VARGAS"/>
    <s v="IAN SEBASTIAN RAMIREZ VARGAS"/>
    <d v="2022-01-02T00:00:00"/>
    <x v="1"/>
    <n v="11"/>
    <n v="24"/>
    <s v="0 AÑOS 11 MESES 2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9"/>
    <m/>
    <s v="CRA 9 # 91- 21 SUR"/>
    <n v="3204018873"/>
    <m/>
    <x v="1"/>
    <s v="NO SE AUTORECONOCE EN NINGUNO DE LOS ANTERIORES"/>
    <x v="1"/>
    <x v="1"/>
    <s v="NO_"/>
    <s v="NO_"/>
    <s v="o. Ingresos iguales o inferiores a 1.5 Smlv"/>
    <m/>
    <s v="MADRE"/>
    <s v="CC"/>
    <n v="1000578153"/>
    <s v="ANGIE"/>
    <s v="CATALINA"/>
    <s v="VARGAS"/>
    <s v="HILARION"/>
    <d v="2000-04-30T00:00:00"/>
    <s v="COLOMBIA"/>
    <s v="BOGOTÁ"/>
    <s v="BOGOTÁ"/>
    <s v="CC"/>
    <n v="1023005710"/>
    <s v="LUIS"/>
    <s v="FERNANDO"/>
    <s v="RAMIREZ"/>
    <s v="JIMENO"/>
    <d v="1995-07-17T00:00:00"/>
    <n v="27"/>
    <s v="COLOMBIA"/>
    <s v="BOGOTÁ"/>
    <s v="BOGOTÁ"/>
    <s v="CC"/>
    <n v="1000578153"/>
    <s v="ANGIE"/>
    <s v="CATALINA"/>
    <s v="VARGAS"/>
    <s v="HILARION"/>
    <d v="2000-04-30T00:00:00"/>
    <n v="22"/>
    <s v="COLOMBIA"/>
    <s v="BOGOTÁ"/>
    <s v="BOGOTÁ"/>
    <x v="1"/>
    <x v="6"/>
    <x v="0"/>
    <s v="26/02/20222"/>
    <s v="SI_"/>
    <x v="2"/>
    <n v="1"/>
    <s v="NO_"/>
    <m/>
    <m/>
    <s v="40 SEMANAS"/>
    <s v="3200 GR"/>
    <s v="49 CM"/>
    <s v="SI_"/>
    <n v="2"/>
    <n v="2"/>
    <m/>
    <x v="2"/>
    <m/>
  </r>
  <r>
    <n v="1023046020"/>
    <x v="1"/>
    <d v="2022-03-03T00:00:00"/>
    <m/>
    <m/>
    <m/>
    <s v="TRIANGULO"/>
    <x v="0"/>
    <x v="4"/>
    <x v="4"/>
    <s v="RC"/>
    <s v="SAMUEL"/>
    <s v="JOAO"/>
    <s v="GARCIA"/>
    <s v="GUERRERO"/>
    <s v="SAMUEL JOAO GARCIA GUERRERO"/>
    <d v="2020-12-09T00:00:00"/>
    <x v="2"/>
    <n v="0"/>
    <n v="17"/>
    <s v="2 AÑOS 0 MESES 1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DG 99 SUR #6 ESTE  00"/>
    <n v="3138909167"/>
    <n v="3174757990"/>
    <x v="0"/>
    <s v="NO SE AUTORECONOCE EN NINGUNO DE LOS ANTERIORES"/>
    <x v="1"/>
    <x v="1"/>
    <s v="NO_"/>
    <s v="NO_"/>
    <s v="o. Ingresos iguales o inferiores a 1.5 Smlv"/>
    <m/>
    <s v="MADRE"/>
    <s v="CC"/>
    <s v="1O22993846"/>
    <s v="GINA"/>
    <s v="LORENA"/>
    <s v="GUERRERO"/>
    <s v="FAJARDO"/>
    <d v="1994-01-21T00:00:00"/>
    <s v="COLOMBIA"/>
    <s v="BOGOTÁ"/>
    <s v="BOGOTÁ"/>
    <m/>
    <m/>
    <m/>
    <m/>
    <m/>
    <m/>
    <m/>
    <s v=""/>
    <m/>
    <m/>
    <m/>
    <s v="CC"/>
    <n v="1007297033"/>
    <s v="GINA"/>
    <s v="DANIELA"/>
    <s v="GUERRERO"/>
    <s v="FAJARDO"/>
    <d v="1994-01-21T00:00:00"/>
    <n v="28"/>
    <s v="COLOMBIA"/>
    <s v="BOGOTÁ"/>
    <s v="BOGOTÁ"/>
    <x v="0"/>
    <x v="5"/>
    <x v="0"/>
    <d v="2022-03-01T00:00:00"/>
    <s v="SI_"/>
    <x v="1"/>
    <m/>
    <s v="SI_"/>
    <m/>
    <m/>
    <n v="35"/>
    <s v="2110 GR"/>
    <s v="47 CM"/>
    <m/>
    <n v="6"/>
    <n v="12"/>
    <m/>
    <x v="1"/>
    <m/>
  </r>
  <r>
    <n v="1243861083"/>
    <x v="1"/>
    <d v="2022-06-14T00:00:00"/>
    <m/>
    <m/>
    <m/>
    <m/>
    <x v="0"/>
    <x v="0"/>
    <x v="0"/>
    <s v="RC"/>
    <s v="NAHOMI"/>
    <s v="SOFIA"/>
    <s v="ZARAZA"/>
    <s v="BUITRAGO"/>
    <s v="NAHOMI SOFIA ZARAZA BUITRAGO"/>
    <d v="2022-05-19T00:00:00"/>
    <x v="1"/>
    <n v="7"/>
    <n v="7"/>
    <s v="0 AÑOS 7 MESES 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1"/>
    <m/>
    <s v="KR 9C ESTE 106 SUR 07"/>
    <n v="3223887230"/>
    <m/>
    <x v="0"/>
    <s v="NO SE AUTORECONOCE EN NINGUNO DE LOS ANTERIORES"/>
    <x v="1"/>
    <x v="1"/>
    <s v="NO_"/>
    <s v="NO_"/>
    <s v="o. Ingresos iguales o inferiores a 1.5 Smlv"/>
    <m/>
    <s v="MADRE"/>
    <s v="CC"/>
    <n v="1000624977"/>
    <s v="ANGIE "/>
    <s v="LORENA "/>
    <s v="BUITRAGO"/>
    <s v="CASTAÑO"/>
    <d v="2002-06-13T00:00:00"/>
    <s v="COLOMBIA"/>
    <s v="BOGOTÁ"/>
    <s v="BOGOTÁ"/>
    <s v="CC"/>
    <n v="1031159755"/>
    <s v="WILMAR"/>
    <m/>
    <s v="SALAZAR"/>
    <s v="LONDOÑO"/>
    <d v="1998-05-18T00:00:00"/>
    <n v="24"/>
    <s v="COLOMBIA"/>
    <s v="BOGOTÁ"/>
    <s v="BOGOTÁ"/>
    <s v="CC"/>
    <n v="1000624977"/>
    <s v="ANGIE "/>
    <s v="LORENA "/>
    <s v="BUITRAGO"/>
    <s v="CASTAÑO"/>
    <d v="2002-06-13T00:00:00"/>
    <n v="20"/>
    <s v="COLOMBIA"/>
    <s v="BOGOTÁ"/>
    <s v="BOGOTÁ"/>
    <x v="1"/>
    <x v="1"/>
    <x v="1"/>
    <s v="NO_"/>
    <m/>
    <x v="1"/>
    <m/>
    <s v="NO_"/>
    <m/>
    <m/>
    <n v="38"/>
    <n v="3205"/>
    <n v="50"/>
    <m/>
    <m/>
    <m/>
    <m/>
    <x v="2"/>
    <m/>
  </r>
  <r>
    <n v="1000624977"/>
    <x v="0"/>
    <d v="2022-03-22T00:00:00"/>
    <d v="2022-06-13T00:00:00"/>
    <e v="#REF!"/>
    <e v="#N/A"/>
    <m/>
    <x v="0"/>
    <x v="0"/>
    <x v="0"/>
    <s v="CC"/>
    <s v="ANGIE "/>
    <s v="LORENA "/>
    <s v="BUITRAGO"/>
    <s v="CASTAÑO"/>
    <s v="ANGIE  LORENA  BUITRAGO CASTAÑO"/>
    <d v="2002-06-13T00:00:00"/>
    <x v="4"/>
    <n v="6"/>
    <n v="13"/>
    <s v="20 AÑOS 6 MESES 13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1"/>
    <m/>
    <s v="KR 9C ESTE 106 SUR 06"/>
    <n v="3223887230"/>
    <m/>
    <x v="0"/>
    <s v="NO SE AUTORECONOCE EN NINGUNO DE LOS ANTERIORES"/>
    <x v="1"/>
    <x v="1"/>
    <s v="NO_"/>
    <s v="NO_"/>
    <s v="a. Pertenecientes a hogares con puntaje SISBEN"/>
    <m/>
    <s v="CONYUGE"/>
    <s v="CC"/>
    <n v="1031159755"/>
    <s v="WILMAR"/>
    <m/>
    <s v="SALAZAR"/>
    <s v="LONDOÑO"/>
    <d v="1998-05-18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1"/>
    <x v="1"/>
    <x v="1"/>
    <s v="18/033/2022"/>
    <m/>
    <x v="0"/>
    <m/>
    <m/>
    <m/>
    <m/>
    <m/>
    <m/>
    <m/>
    <m/>
    <m/>
    <m/>
    <n v="30"/>
    <x v="0"/>
    <m/>
  </r>
  <r>
    <n v="1017223010"/>
    <x v="0"/>
    <d v="2022-03-03T00:00:00"/>
    <d v="2022-03-16T00:00:00"/>
    <e v="#REF!"/>
    <e v="#N/A"/>
    <m/>
    <x v="0"/>
    <x v="0"/>
    <x v="0"/>
    <s v="CC"/>
    <s v="YESENIA"/>
    <m/>
    <s v="HERRERA"/>
    <s v="IDARRAGA"/>
    <s v="YESENIA  HERRERA IDARRAGA"/>
    <d v="1994-07-19T00:00:00"/>
    <x v="12"/>
    <n v="5"/>
    <n v="7"/>
    <s v="28 AÑOS 5 MESES 7 DIAS "/>
    <x v="0"/>
    <x v="0"/>
    <x v="0"/>
    <s v="ANTIOQUIA"/>
    <s v="NECOCLÍ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RA 8 ESTE #98 B 12  SUR"/>
    <n v="3218713857"/>
    <n v="3144629219"/>
    <x v="0"/>
    <s v="NO SE AUTORECONOCE EN NINGUNO DE LOS ANTERIORES"/>
    <x v="1"/>
    <x v="1"/>
    <s v="NO_"/>
    <s v="NO_"/>
    <s v="o. Ingresos iguales o inferiores a 1.5 Smlv"/>
    <m/>
    <s v="CONYUGE"/>
    <s v="CC"/>
    <n v="1022988613"/>
    <s v="MIGUEL"/>
    <s v="ANGEL"/>
    <s v="MARTINEZ"/>
    <s v="HERNANDEZ"/>
    <d v="1993-08-04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3"/>
    <x v="0"/>
    <s v="26/02/20222"/>
    <s v="SI_"/>
    <x v="0"/>
    <m/>
    <m/>
    <m/>
    <m/>
    <m/>
    <m/>
    <m/>
    <m/>
    <m/>
    <m/>
    <n v="34"/>
    <x v="0"/>
    <m/>
  </r>
  <r>
    <n v="1243861023"/>
    <x v="1"/>
    <d v="2022-10-04T00:00:00"/>
    <m/>
    <m/>
    <m/>
    <m/>
    <x v="0"/>
    <x v="5"/>
    <x v="5"/>
    <s v="RC"/>
    <s v="LIAM"/>
    <s v="CALEB "/>
    <s v="ROJAS"/>
    <s v="SANABRIA"/>
    <s v="LIAM CALEB  ROJAS SANABRIA"/>
    <d v="2022-04-01T00:00:00"/>
    <x v="1"/>
    <n v="8"/>
    <n v="25"/>
    <s v="0 AÑOS 8 MESES 25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1"/>
    <m/>
    <s v="CLL102SUR 8 ESTE-23"/>
    <n v="3143217969"/>
    <m/>
    <x v="0"/>
    <s v="NO SE AUTORECONOCE EN NINGUNO DE LOS ANTERIORES"/>
    <x v="2"/>
    <x v="1"/>
    <s v="NO_"/>
    <s v="NO_"/>
    <m/>
    <m/>
    <m/>
    <m/>
    <m/>
    <m/>
    <m/>
    <m/>
    <m/>
    <m/>
    <m/>
    <m/>
    <m/>
    <s v="CC"/>
    <n v="1117820403"/>
    <s v="MIGUEL"/>
    <s v="ANGEL"/>
    <s v="ROJAS"/>
    <s v="PEREZ"/>
    <d v="1992-08-26T00:00:00"/>
    <n v="30"/>
    <s v="COLOMBIA"/>
    <s v="BOGOTÁ"/>
    <s v="BOGOTÁ"/>
    <m/>
    <m/>
    <m/>
    <m/>
    <m/>
    <m/>
    <m/>
    <s v=""/>
    <m/>
    <m/>
    <m/>
    <x v="0"/>
    <x v="6"/>
    <x v="0"/>
    <d v="2022-10-03T00:00:00"/>
    <s v="SI_"/>
    <x v="2"/>
    <m/>
    <s v="NO_"/>
    <m/>
    <m/>
    <m/>
    <n v="3290"/>
    <n v="52"/>
    <m/>
    <n v="6"/>
    <s v="HASTA EL MOMENTO"/>
    <m/>
    <x v="2"/>
    <m/>
  </r>
  <r>
    <n v="1021696822"/>
    <x v="0"/>
    <d v="2022-03-03T00:00:00"/>
    <d v="2022-10-03T00:00:00"/>
    <e v="#REF!"/>
    <e v="#N/A"/>
    <m/>
    <x v="0"/>
    <x v="3"/>
    <x v="3"/>
    <s v="RC"/>
    <s v="EMMA"/>
    <s v="VICTORIA"/>
    <s v="BOHORQUEZ"/>
    <s v="GUERRERO"/>
    <s v="EMMA VICTORIA BOHORQUEZ GUERRERO"/>
    <d v="2021-11-27T00:00:00"/>
    <x v="3"/>
    <n v="0"/>
    <n v="29"/>
    <s v="1 AÑOS 0 MESES 2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100 D #6 B ESTE 18 SUR"/>
    <n v="3118697189"/>
    <n v="3187574479"/>
    <x v="0"/>
    <s v="NO SE AUTORECONOCE EN NINGUNO DE LOS ANTERIORES"/>
    <x v="1"/>
    <x v="1"/>
    <s v="NO_"/>
    <s v="NO_"/>
    <s v="o. Ingresos iguales o inferiores a 1.5 Smlv"/>
    <m/>
    <s v="MADRE"/>
    <s v="CC"/>
    <n v="1022980282"/>
    <s v="LIZETH"/>
    <s v="TATIANA"/>
    <s v="GUERRERO"/>
    <s v="FAJARDO"/>
    <d v="1992-09-13T00:00:00"/>
    <s v="COLOMBIA"/>
    <s v="BOGOTÁ"/>
    <s v="BOGOTÁ"/>
    <s v="CC"/>
    <n v="1022960528"/>
    <s v="CRISTHIAN"/>
    <s v="CAMILO"/>
    <s v="BOHORQUEZ"/>
    <s v="JAMIOY"/>
    <d v="1990-05-01T00:00:00"/>
    <n v="32"/>
    <s v="COLOMBIA"/>
    <s v="BOGOTÁ"/>
    <s v="BOGOTÁ"/>
    <s v="CC"/>
    <n v="1022980282"/>
    <s v="LIZETH"/>
    <s v="TATIANA"/>
    <s v="GUERRERO"/>
    <s v="FAJARDO"/>
    <d v="1992-09-13T00:00:00"/>
    <n v="30"/>
    <s v="COLOMBIA"/>
    <s v="BOGOTÁ"/>
    <s v="BOGOTÁ"/>
    <x v="0"/>
    <x v="5"/>
    <x v="0"/>
    <s v="26/02/20222"/>
    <s v="SI_"/>
    <x v="2"/>
    <n v="8"/>
    <s v="SI_"/>
    <m/>
    <s v="39.7"/>
    <n v="36"/>
    <s v="2000 GR"/>
    <s v="45 CM"/>
    <s v="SI_"/>
    <n v="3"/>
    <n v="3"/>
    <m/>
    <x v="1"/>
    <m/>
  </r>
  <r>
    <n v="1023045269"/>
    <x v="1"/>
    <d v="2022-03-03T00:00:00"/>
    <m/>
    <m/>
    <m/>
    <m/>
    <x v="0"/>
    <x v="4"/>
    <x v="4"/>
    <s v="RC"/>
    <s v="ANGEL"/>
    <s v="MANUEL"/>
    <s v="MARTINEZ"/>
    <s v="MORENO"/>
    <s v="ANGEL MANUEL MARTINEZ MORENO"/>
    <d v="2020-02-11T00:00:00"/>
    <x v="2"/>
    <n v="10"/>
    <n v="15"/>
    <s v="2 AÑOS 10 MESES 1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RA 7 D ESTE #91 47 SUR"/>
    <n v="3133030042"/>
    <m/>
    <x v="0"/>
    <s v="NO SE AUTORECONOCE EN NINGUNO DE LOS ANTERIORES"/>
    <x v="0"/>
    <x v="8"/>
    <s v="NO_"/>
    <s v="NO_"/>
    <s v="a. Pertenecientes a hogares con puntaje SISBEN"/>
    <m/>
    <s v="MADRE"/>
    <s v="CC"/>
    <n v="52371413"/>
    <s v="MARIA"/>
    <s v="AZUCENA"/>
    <s v="MORENO"/>
    <s v="RODRIGUEZ"/>
    <d v="1977-04-11T00:00:00"/>
    <s v="COLOMBIA"/>
    <s v="BOGOTÁ"/>
    <s v="BOGOTÁ"/>
    <m/>
    <m/>
    <m/>
    <m/>
    <m/>
    <m/>
    <m/>
    <s v=""/>
    <m/>
    <m/>
    <m/>
    <s v="CC"/>
    <n v="52371413"/>
    <s v="MARIA"/>
    <s v="AZUCENA"/>
    <s v="MORENO"/>
    <s v="RODRIGUEZ"/>
    <d v="1977-04-11T00:00:00"/>
    <n v="45"/>
    <s v="COLOMBIA"/>
    <s v="BOGOTÁ"/>
    <s v="BOGOTÁ"/>
    <x v="0"/>
    <x v="7"/>
    <x v="0"/>
    <s v="26/02/20222"/>
    <s v="SI_"/>
    <x v="2"/>
    <n v="1"/>
    <s v="NO_"/>
    <m/>
    <m/>
    <n v="39"/>
    <s v="3465 GR"/>
    <s v="50 CM"/>
    <s v="NO_"/>
    <n v="6"/>
    <n v="20"/>
    <m/>
    <x v="1"/>
    <m/>
  </r>
  <r>
    <n v="1023047751"/>
    <x v="0"/>
    <d v="2022-03-03T00:00:00"/>
    <d v="2022-07-25T00:00:00"/>
    <e v="#REF!"/>
    <e v="#N/A"/>
    <m/>
    <x v="0"/>
    <x v="2"/>
    <x v="2"/>
    <s v="RC"/>
    <s v="DILAN"/>
    <s v="JERONIMO"/>
    <s v="PRADO"/>
    <s v="OTAVO"/>
    <s v="DILAN JERONIMO PRADO OTAVO"/>
    <d v="2022-01-10T00:00:00"/>
    <x v="1"/>
    <n v="11"/>
    <n v="16"/>
    <s v="0 AÑOS 11 MESES 1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ALLE 94 #7 B ESTE 11  SUR"/>
    <n v="3227390930"/>
    <n v="3057451956"/>
    <x v="0"/>
    <s v="NO SE AUTORECONOCE EN NINGUNO DE LOS ANTERIORES"/>
    <x v="0"/>
    <x v="11"/>
    <s v="NO_"/>
    <s v="SI_"/>
    <s v="a. Pertenecientes a hogares con puntaje SISBEN"/>
    <m/>
    <s v="MADRE"/>
    <s v="CC"/>
    <n v="1115792366"/>
    <s v="LORENA"/>
    <m/>
    <s v="OTAVO"/>
    <s v="LOAISA"/>
    <d v="1989-10-31T00:00:00"/>
    <s v="COLOMBIA"/>
    <s v="CAQUETÁ"/>
    <s v="BELÉN DE LOS ANDAQUÍES"/>
    <m/>
    <m/>
    <m/>
    <m/>
    <m/>
    <m/>
    <m/>
    <s v=""/>
    <m/>
    <m/>
    <m/>
    <s v="CC"/>
    <n v="111579236"/>
    <s v="LORENA"/>
    <m/>
    <s v="OTAVO"/>
    <s v="LOAISA"/>
    <d v="1989-10-31T00:00:00"/>
    <n v="33"/>
    <s v="COLOMBIA"/>
    <s v="CAQUETÁ"/>
    <s v="BELÉN DE LOS ANDAQUÍES"/>
    <x v="1"/>
    <x v="1"/>
    <x v="0"/>
    <s v="26/02/20222"/>
    <s v="SI_"/>
    <x v="2"/>
    <n v="1"/>
    <s v="NO_"/>
    <m/>
    <m/>
    <n v="40"/>
    <s v="3345 GR"/>
    <n v="50"/>
    <s v="SI_"/>
    <n v="1"/>
    <n v="1"/>
    <m/>
    <x v="2"/>
    <m/>
  </r>
  <r>
    <n v="1243859299"/>
    <x v="1"/>
    <d v="2022-03-03T00:00:00"/>
    <m/>
    <m/>
    <m/>
    <m/>
    <x v="0"/>
    <x v="4"/>
    <x v="4"/>
    <s v="RC"/>
    <s v="JESUS"/>
    <s v="FARITH"/>
    <s v="CAMARGO"/>
    <s v="ZAMBRANO"/>
    <s v="JESUS FARITH CAMARGO ZAMBRANO"/>
    <d v="2020-07-31T00:00:00"/>
    <x v="2"/>
    <n v="4"/>
    <n v="25"/>
    <s v="2 AÑOS 4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RA 7 G ESTE #107 34 SUR"/>
    <n v="3012519616"/>
    <n v="3015699844"/>
    <x v="0"/>
    <s v="NO SE AUTORECONOCE EN NINGUNO DE LOS ANTERIORES"/>
    <x v="0"/>
    <x v="12"/>
    <s v="NO_"/>
    <s v="NO_"/>
    <s v="a. Pertenecientes a hogares con puntaje SISBEN"/>
    <m/>
    <s v="MADRE"/>
    <s v="CC"/>
    <n v="1063497475"/>
    <s v="JULIA"/>
    <s v="MARITZA"/>
    <s v="ZAMBRANO"/>
    <s v="CORREA"/>
    <d v="1994-08-01T00:00:00"/>
    <s v="VENEZUELA"/>
    <s v="EXTERIOR"/>
    <s v="EXTERIOR"/>
    <s v="CC"/>
    <n v="1063492560"/>
    <s v="JESUS"/>
    <s v="FARITH"/>
    <s v="CAMARGO"/>
    <s v="MEJIA"/>
    <d v="1994-12-22T00:00:00"/>
    <n v="28"/>
    <s v="COLOMBIA"/>
    <s v="CESAR"/>
    <s v="CHIMICHAGUA"/>
    <s v="CC"/>
    <n v="1063497475"/>
    <s v="JULIA"/>
    <s v="MARITZA"/>
    <s v="ZAMBRANO"/>
    <s v="CORREA"/>
    <d v="1994-08-01T00:00:00"/>
    <n v="28"/>
    <s v="VENEZUELA"/>
    <s v="EXTERIOR"/>
    <s v="EXTERIOR"/>
    <x v="1"/>
    <x v="1"/>
    <x v="0"/>
    <s v="26/02/20222"/>
    <s v="SI_"/>
    <x v="2"/>
    <n v="1"/>
    <s v="NO_"/>
    <m/>
    <m/>
    <n v="39"/>
    <s v="2725 GR"/>
    <n v="49"/>
    <s v="NO_"/>
    <n v="6"/>
    <n v="20"/>
    <m/>
    <x v="1"/>
    <m/>
  </r>
  <r>
    <n v="1140937336"/>
    <x v="1"/>
    <d v="2022-03-03T00:00:00"/>
    <m/>
    <m/>
    <m/>
    <m/>
    <x v="0"/>
    <x v="1"/>
    <x v="1"/>
    <s v="RC"/>
    <s v="EMILY"/>
    <s v="SOFIA"/>
    <s v="FORERO"/>
    <s v="SANABRIA"/>
    <s v="EMILY SOFIA FORERO SANABRIA"/>
    <d v="2020-04-25T00:00:00"/>
    <x v="2"/>
    <n v="8"/>
    <n v="1"/>
    <s v="2 AÑOS 8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TV 7D ESTE # 100-29 SUR"/>
    <n v="3224252034"/>
    <m/>
    <x v="0"/>
    <s v="NO SE AUTORECONOCE EN NINGUNO DE LOS ANTERIORES"/>
    <x v="0"/>
    <x v="4"/>
    <s v="NO_"/>
    <s v="NO_"/>
    <s v="a. Pertenecientes a hogares con puntaje SISBEN"/>
    <m/>
    <s v="MADRE"/>
    <s v="CC"/>
    <n v="1023954727"/>
    <s v="EDITH"/>
    <s v="TATIANA"/>
    <s v="SANABRIA"/>
    <s v="AMAYA"/>
    <d v="1996-09-07T00:00:00"/>
    <s v="COLOMBIA"/>
    <s v="BOGOTÁ"/>
    <s v="BOGOTÁ"/>
    <m/>
    <m/>
    <m/>
    <m/>
    <m/>
    <m/>
    <m/>
    <s v=""/>
    <m/>
    <m/>
    <m/>
    <s v="CC"/>
    <n v="1023954727"/>
    <s v="EDITH"/>
    <s v="TATIANA"/>
    <s v="SANABRIA"/>
    <s v="AMAYA"/>
    <d v="1996-09-07T00:00:00"/>
    <n v="26"/>
    <s v="COLOMBIA"/>
    <s v="BOGOTÁ"/>
    <s v="BOGOTÁ"/>
    <x v="1"/>
    <x v="1"/>
    <x v="0"/>
    <s v="26/02/20222"/>
    <s v="SI_"/>
    <x v="2"/>
    <n v="1"/>
    <s v="NO_"/>
    <m/>
    <m/>
    <n v="39"/>
    <s v="2865 GR"/>
    <n v="47"/>
    <s v="NO_"/>
    <n v="6"/>
    <n v="21"/>
    <m/>
    <x v="1"/>
    <m/>
  </r>
  <r>
    <n v="1021695137"/>
    <x v="1"/>
    <d v="2022-03-03T00:00:00"/>
    <m/>
    <m/>
    <m/>
    <m/>
    <x v="0"/>
    <x v="5"/>
    <x v="5"/>
    <s v="RC"/>
    <s v="JHOJAN"/>
    <s v="ANDRES"/>
    <s v="ROMERO"/>
    <s v="GONZALEZ"/>
    <s v="JHOJAN ANDRES ROMERO GONZALEZ"/>
    <d v="2020-05-02T00:00:00"/>
    <x v="2"/>
    <n v="7"/>
    <n v="24"/>
    <s v="2 AÑOS 7 MESES 2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ALLE 102 #7 ESTE 52 SUR"/>
    <n v="3144208715"/>
    <m/>
    <x v="0"/>
    <s v="NO SE AUTORECONOCE EN NINGUNO DE LOS ANTERIORES"/>
    <x v="0"/>
    <x v="1"/>
    <s v="NO_"/>
    <s v="NO_"/>
    <s v="o. Ingresos iguales o inferiores a 1.5 Smlv"/>
    <m/>
    <s v="ABUELO(A)"/>
    <s v="CC"/>
    <n v="51963693"/>
    <s v="FANNY"/>
    <s v="PATRICIA"/>
    <s v="BAUTISTA"/>
    <s v="CALVO"/>
    <d v="1967-07-07T00:00:00"/>
    <s v="COLOMBIA"/>
    <s v="BOGOTÁ"/>
    <s v="BOGOTÁ"/>
    <m/>
    <m/>
    <m/>
    <m/>
    <m/>
    <m/>
    <m/>
    <s v=""/>
    <m/>
    <m/>
    <m/>
    <s v="CC"/>
    <n v="1033802861"/>
    <s v="IVONNE"/>
    <s v="LIZETH"/>
    <s v="GONZALEZ"/>
    <s v="BAUTISTA"/>
    <d v="1988-01-23T00:00:00"/>
    <n v="34"/>
    <s v="COLOMBIA"/>
    <s v="BOGOTÁ"/>
    <s v="BOGOTÁ"/>
    <x v="0"/>
    <x v="5"/>
    <x v="0"/>
    <s v="26/02/20222"/>
    <s v="SI_"/>
    <x v="2"/>
    <n v="2"/>
    <s v="NO_"/>
    <m/>
    <m/>
    <n v="39"/>
    <n v="2750"/>
    <n v="49"/>
    <s v="NO_"/>
    <n v="6"/>
    <n v="18"/>
    <m/>
    <x v="1"/>
    <m/>
  </r>
  <r>
    <n v="1023046352"/>
    <x v="1"/>
    <d v="2022-03-03T00:00:00"/>
    <m/>
    <m/>
    <m/>
    <m/>
    <x v="0"/>
    <x v="1"/>
    <x v="1"/>
    <s v="RC"/>
    <s v="JOSTHIN"/>
    <s v="GABRIEL"/>
    <s v="RAMOS"/>
    <s v="HERRERA"/>
    <s v="JOSTHIN GABRIEL RAMOS HERRERA"/>
    <d v="2021-02-14T00:00:00"/>
    <x v="3"/>
    <n v="10"/>
    <n v="12"/>
    <s v="1 AÑOS 10 MESES 1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LA INVASIÓN"/>
    <n v="3224781576"/>
    <m/>
    <x v="0"/>
    <s v="NO SE AUTORECONOCE EN NINGUNO DE LOS ANTERIORES"/>
    <x v="1"/>
    <x v="1"/>
    <s v="NO_"/>
    <s v="NO_"/>
    <s v="o. Ingresos iguales o inferiores a 1.5 Smlv"/>
    <m/>
    <s v="MADRE"/>
    <s v="CC"/>
    <n v="1022986233"/>
    <s v="SANDRA"/>
    <s v="PAOLA"/>
    <s v="HERRERA"/>
    <s v="CAMPOS"/>
    <d v="1993-05-07T00:00:00"/>
    <s v="COLOMBIA"/>
    <s v="TOLIMA"/>
    <s v="VILLARRICA"/>
    <s v="CC"/>
    <n v="1022950485"/>
    <s v="JEFERSONN"/>
    <m/>
    <s v="RAMOS"/>
    <s v="HERNANDEZ"/>
    <d v="1989-04-23T00:00:00"/>
    <n v="33"/>
    <s v="COLOMBIA"/>
    <s v="GUAVIARE"/>
    <s v="SAN JOSÉ DELGUAVIARE"/>
    <s v="CC"/>
    <n v="1022986233"/>
    <s v="SANDRA"/>
    <s v="PAOLA"/>
    <s v="HERRERA"/>
    <s v="CAMPOS"/>
    <d v="1993-05-07T00:00:00"/>
    <n v="29"/>
    <s v="COLOMBIA"/>
    <s v="TOLIMA"/>
    <s v="VILLARRICA"/>
    <x v="1"/>
    <x v="1"/>
    <x v="0"/>
    <s v="26/02/20222"/>
    <s v="SI_"/>
    <x v="1"/>
    <m/>
    <s v="NO_"/>
    <m/>
    <m/>
    <n v="39"/>
    <n v="3070"/>
    <n v="50"/>
    <m/>
    <n v="6"/>
    <n v="12"/>
    <m/>
    <x v="1"/>
    <m/>
  </r>
  <r>
    <n v="1243859093"/>
    <x v="1"/>
    <d v="2022-03-03T00:00:00"/>
    <m/>
    <m/>
    <m/>
    <m/>
    <x v="0"/>
    <x v="4"/>
    <x v="4"/>
    <s v="RC"/>
    <s v="ALAN "/>
    <s v="ANDREY"/>
    <s v="OSPINA"/>
    <s v="RODRIGUEZ"/>
    <s v="ALAN  ANDREY OSPINA RODRIGUEZ"/>
    <d v="2020-06-29T00:00:00"/>
    <x v="2"/>
    <n v="5"/>
    <n v="27"/>
    <s v="2 AÑOS 5 MESES 2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98 A #8 11 SUR"/>
    <n v="3112657528"/>
    <n v="3102552614"/>
    <x v="1"/>
    <s v="NO SE AUTORECONOCE EN NINGUNO DE LOS ANTERIORES"/>
    <x v="1"/>
    <x v="1"/>
    <s v="NO_"/>
    <s v="NO_"/>
    <s v="o. Ingresos iguales o inferiores a 1.5 Smlv"/>
    <m/>
    <s v="MADRE"/>
    <s v="CC"/>
    <n v="1031173090"/>
    <s v="ESMERALDA"/>
    <m/>
    <s v="OSPINA"/>
    <s v="RODRIGUEZ"/>
    <d v="1997-12-08T00:00:00"/>
    <s v="COLOMBIA"/>
    <s v="BOGOTÁ"/>
    <s v="BOGOTÁ"/>
    <m/>
    <m/>
    <m/>
    <m/>
    <m/>
    <m/>
    <m/>
    <s v=""/>
    <m/>
    <m/>
    <m/>
    <s v="CC"/>
    <n v="1031173090"/>
    <s v="ESMERALDA"/>
    <m/>
    <s v="OSPINA"/>
    <s v="RODRIGUEZ"/>
    <d v="1997-12-08T00:00:00"/>
    <n v="25"/>
    <s v="COLOMBIA"/>
    <s v="BOGOTÁ"/>
    <s v="BOGOTÁ"/>
    <x v="0"/>
    <x v="2"/>
    <x v="0"/>
    <s v="26/02/20222"/>
    <s v="SI_"/>
    <x v="2"/>
    <n v="1"/>
    <s v="NO_"/>
    <m/>
    <m/>
    <n v="39"/>
    <n v="2970"/>
    <n v="50"/>
    <m/>
    <n v="6"/>
    <n v="11"/>
    <m/>
    <x v="1"/>
    <m/>
  </r>
  <r>
    <n v="1016750544"/>
    <x v="0"/>
    <d v="2022-03-03T00:00:00"/>
    <d v="2022-05-02T00:00:00"/>
    <e v="#REF!"/>
    <e v="#N/A"/>
    <m/>
    <x v="0"/>
    <x v="4"/>
    <x v="4"/>
    <s v="RC"/>
    <s v="LIZETH"/>
    <s v="ROSARIO"/>
    <s v="ARDILA"/>
    <s v="MORALES"/>
    <s v="LIZETH ROSARIO ARDILA MORALES"/>
    <d v="2020-09-14T00:00:00"/>
    <x v="2"/>
    <n v="3"/>
    <n v="12"/>
    <s v="2 AÑOS 3 MESES 1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ALLE 97 D #6 ESTE 21 SUR"/>
    <n v="3102596437"/>
    <m/>
    <x v="0"/>
    <s v="NO SE AUTORECONOCE EN NINGUNO DE LOS ANTERIORES"/>
    <x v="1"/>
    <x v="1"/>
    <s v="NO_"/>
    <s v="NO_"/>
    <s v="o. Ingresos iguales o inferiores a 1.5 Smlv"/>
    <m/>
    <s v="MADRE"/>
    <s v="CC"/>
    <n v="1016750544"/>
    <s v="MARIA"/>
    <s v="MAGDALENA"/>
    <s v="ARDILA"/>
    <s v="MORALES"/>
    <d v="1997-06-25T00:00:00"/>
    <s v="COLOMBIA"/>
    <s v="SANTANDER"/>
    <s v="CHARALÁ"/>
    <m/>
    <m/>
    <m/>
    <m/>
    <m/>
    <m/>
    <m/>
    <s v=""/>
    <m/>
    <m/>
    <m/>
    <s v="CC"/>
    <n v="1070307452"/>
    <s v="MARIA"/>
    <s v="MAGDALENA"/>
    <s v="ARDILA"/>
    <s v="MORALES"/>
    <d v="1997-06-25T00:00:00"/>
    <n v="25"/>
    <s v="COLOMBIA"/>
    <s v="SANTANDER"/>
    <s v="CHARALÁ"/>
    <x v="0"/>
    <x v="6"/>
    <x v="0"/>
    <d v="2022-03-01T00:00:00"/>
    <s v="SI_"/>
    <x v="1"/>
    <m/>
    <s v="NO_"/>
    <m/>
    <m/>
    <n v="39"/>
    <s v="2780 GR"/>
    <n v="49"/>
    <m/>
    <n v="6"/>
    <n v="20"/>
    <m/>
    <x v="1"/>
    <m/>
  </r>
  <r>
    <n v="1023048763"/>
    <x v="0"/>
    <d v="2022-08-23T00:00:00"/>
    <d v="2022-10-03T00:00:00"/>
    <e v="#REF!"/>
    <e v="#N/A"/>
    <s v="TRIANGULO"/>
    <x v="0"/>
    <x v="0"/>
    <x v="0"/>
    <s v="RC"/>
    <s v="WENDY"/>
    <s v="SHARID"/>
    <s v="JUVINAO"/>
    <s v="GONZALEZ"/>
    <s v="WENDY SHARID JUVINAO GONZALEZ"/>
    <d v="2022-06-29T00:00:00"/>
    <x v="1"/>
    <n v="5"/>
    <n v="27"/>
    <s v="0 AÑOS 5 MESES 27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CRA 5 ESTE #88 H 36 SUR"/>
    <n v="3105607828"/>
    <m/>
    <x v="0"/>
    <s v="NO SE AUTORECONOCE EN NINGUNO DE LOS ANTERIORES"/>
    <x v="1"/>
    <x v="1"/>
    <s v="NO_"/>
    <s v="NO_"/>
    <s v="o. Ingresos iguales o inferiores a 1.5 Smlv"/>
    <m/>
    <s v="PADRE"/>
    <s v="CC"/>
    <n v="1004380198"/>
    <s v="NULBEL"/>
    <s v="FERNEY"/>
    <s v="JUVINAO"/>
    <s v="RAMOS"/>
    <d v="2000-11-18T00:00:00"/>
    <s v="COLOMBIA"/>
    <s v="MAGDALENA"/>
    <s v="CIÉNAGA"/>
    <s v="CC"/>
    <n v="1004380198"/>
    <s v="NULBEL"/>
    <s v="FERNEY"/>
    <s v="JUVINAO"/>
    <s v="RAMOS"/>
    <d v="2000-11-18T00:00:00"/>
    <n v="22"/>
    <s v="COLOMBIA"/>
    <s v="MAGDALENA"/>
    <s v="CIÉNAGA"/>
    <s v="CC"/>
    <n v="1000253490"/>
    <s v="NIDIA"/>
    <s v="VICTORIA"/>
    <s v="GONZALEZ"/>
    <s v="FRANCO"/>
    <d v="2002-05-11T00:00:00"/>
    <n v="20"/>
    <s v="COLOMBIA"/>
    <s v="BOGOTÁ"/>
    <s v="BOGOTÁ"/>
    <x v="0"/>
    <x v="6"/>
    <x v="1"/>
    <d v="2022-08-22T00:00:00"/>
    <s v="SI_"/>
    <x v="1"/>
    <m/>
    <s v="NO_"/>
    <m/>
    <m/>
    <s v="39.4 SEMANAS"/>
    <s v="3310 GR"/>
    <s v="51 CM"/>
    <s v="SI_"/>
    <m/>
    <m/>
    <m/>
    <x v="0"/>
    <m/>
  </r>
  <r>
    <n v="1000253490"/>
    <x v="0"/>
    <d v="2022-03-03T00:00:00"/>
    <d v="2022-08-22T00:00:00"/>
    <e v="#REF!"/>
    <e v="#N/A"/>
    <m/>
    <x v="0"/>
    <x v="0"/>
    <x v="0"/>
    <s v="CC"/>
    <s v="NIDIA"/>
    <s v="VICTORIA"/>
    <s v="GONZALEZ "/>
    <s v="FRANCO"/>
    <s v="NIDIA VICTORIA GONZALEZ  FRANCO"/>
    <d v="2002-05-11T00:00:00"/>
    <x v="4"/>
    <n v="7"/>
    <n v="15"/>
    <s v="20 AÑOS 7 MESES 15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CRA 5 ESTE #88 H 36 SUR"/>
    <n v="3105607828"/>
    <m/>
    <x v="0"/>
    <s v="NO SE AUTORECONOCE EN NINGUNO DE LOS ANTERIORES"/>
    <x v="1"/>
    <x v="1"/>
    <s v="NO_"/>
    <s v="NO_"/>
    <s v="o. Ingresos iguales o inferiores a 1.5 Smlv"/>
    <m/>
    <s v="CONYUGE"/>
    <s v="CC"/>
    <n v="1004380198"/>
    <s v="NULBEL"/>
    <s v="FERNEY"/>
    <s v="JUVINAO"/>
    <s v="RAMOS"/>
    <d v="2000-11-18T00:00:00"/>
    <s v="COLOMBIA"/>
    <s v="MAGDALENA"/>
    <s v="CIÉNAGA"/>
    <m/>
    <m/>
    <m/>
    <m/>
    <m/>
    <m/>
    <m/>
    <s v=""/>
    <m/>
    <m/>
    <m/>
    <m/>
    <m/>
    <m/>
    <m/>
    <m/>
    <m/>
    <m/>
    <s v=""/>
    <m/>
    <m/>
    <m/>
    <x v="0"/>
    <x v="6"/>
    <x v="0"/>
    <d v="2022-03-01T00:00:00"/>
    <s v="SI_"/>
    <x v="0"/>
    <m/>
    <m/>
    <m/>
    <m/>
    <m/>
    <m/>
    <m/>
    <m/>
    <m/>
    <m/>
    <n v="22"/>
    <x v="0"/>
    <m/>
  </r>
  <r>
    <n v="1013698567"/>
    <x v="0"/>
    <d v="2022-03-03T00:00:00"/>
    <d v="2022-08-01T00:00:00"/>
    <e v="#REF!"/>
    <e v="#N/A"/>
    <m/>
    <x v="0"/>
    <x v="2"/>
    <x v="2"/>
    <s v="RC"/>
    <s v="THIAGO"/>
    <m/>
    <s v="PERDOMO"/>
    <s v="CANO"/>
    <s v="THIAGO  PERDOMO CANO"/>
    <d v="2021-12-28T00:00:00"/>
    <x v="1"/>
    <n v="11"/>
    <n v="28"/>
    <s v="0 AÑOS 11 MESES 2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CRA 3 ESTE  #97 B 28 SUR"/>
    <n v="3202824919"/>
    <m/>
    <x v="0"/>
    <s v="NO SE AUTORECONOCE EN NINGUNO DE LOS ANTERIORES"/>
    <x v="1"/>
    <x v="1"/>
    <s v="NO_"/>
    <s v="NO_"/>
    <s v="o. Ingresos iguales o inferiores a 1.5 Smlv"/>
    <m/>
    <s v="MADRE"/>
    <s v="CC"/>
    <n v="1193552058"/>
    <s v="YEIMI"/>
    <s v="LORENA"/>
    <s v="CANO"/>
    <s v="SANABRIA"/>
    <d v="2000-09-25T00:00:00"/>
    <s v="COLOMBIA"/>
    <s v="BOGOTÁ"/>
    <s v="BOGOTÁ"/>
    <s v="CC"/>
    <n v="1022998882"/>
    <s v="CRISTHIAN"/>
    <s v="CAMILO"/>
    <s v="PERDOMO"/>
    <s v="YAGUARA"/>
    <d v="1994-04-07T00:00:00"/>
    <n v="28"/>
    <s v="COLOMBIA"/>
    <s v="BOGOTÁ"/>
    <s v="BOGOTÁ"/>
    <s v="CC"/>
    <n v="1193552058"/>
    <s v="YEIMI"/>
    <s v="LORENA"/>
    <s v="CANO"/>
    <s v="SANABRIA"/>
    <d v="2000-09-25T00:00:00"/>
    <n v="22"/>
    <s v="COLOMBIA"/>
    <s v="BOGOTÁ"/>
    <s v="BOGOTÁ"/>
    <x v="0"/>
    <x v="0"/>
    <x v="0"/>
    <d v="2022-02-26T00:00:00"/>
    <s v="SI_"/>
    <x v="2"/>
    <n v="3"/>
    <s v="SI_"/>
    <m/>
    <m/>
    <n v="37"/>
    <s v="2445 GR"/>
    <n v="47"/>
    <m/>
    <n v="2"/>
    <n v="2"/>
    <m/>
    <x v="2"/>
    <m/>
  </r>
  <r>
    <n v="1243763196"/>
    <x v="1"/>
    <d v="2022-08-23T00:00:00"/>
    <m/>
    <m/>
    <m/>
    <m/>
    <x v="0"/>
    <x v="0"/>
    <x v="0"/>
    <s v="RC"/>
    <s v="LUCIANA"/>
    <s v="SALOME"/>
    <s v="LEIVA"/>
    <s v="ATEHORTUA"/>
    <s v="LUCIANA SALOME LEIVA ATEHORTUA"/>
    <d v="2022-07-08T00:00:00"/>
    <x v="1"/>
    <n v="5"/>
    <n v="18"/>
    <s v="0 AÑOS 5 MESES 18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CALE 111 SUR #8 A 43 ESTE"/>
    <n v="3225520508"/>
    <m/>
    <x v="0"/>
    <s v="NO SE AUTORECONOCE EN NINGUNO DE LOS ANTERIORES"/>
    <x v="1"/>
    <x v="1"/>
    <s v="NO_"/>
    <s v="NO_"/>
    <s v="a. Pertenecientes a hogares con puntaje SISBEN"/>
    <m/>
    <s v="TIO(A)"/>
    <s v="CC"/>
    <n v="1001114334"/>
    <s v="JOHAN"/>
    <s v="STIVEN"/>
    <s v="ATEHORTUA"/>
    <s v="JEREZ"/>
    <d v="2000-09-04T00:00:00"/>
    <s v="COLOMBIA"/>
    <s v="BOGOTÁ"/>
    <s v="BOGOTÁ"/>
    <s v="CC"/>
    <n v="1023010216"/>
    <s v="ANDRES"/>
    <s v="DAVID"/>
    <s v="LEIVA"/>
    <s v="RAMIREZ"/>
    <m/>
    <s v=""/>
    <m/>
    <m/>
    <m/>
    <s v="CC"/>
    <n v="1001094722"/>
    <s v="PAULA"/>
    <s v="ANDREA"/>
    <s v="ATEHORTUA"/>
    <s v="JEREZ"/>
    <d v="2002-10-08T00:00:00"/>
    <n v="20"/>
    <s v="COLOMBIA"/>
    <s v="BOGOTÁ"/>
    <s v="BOGOTÁ"/>
    <x v="0"/>
    <x v="6"/>
    <x v="0"/>
    <d v="2022-08-22T00:00:00"/>
    <s v="SI_"/>
    <x v="1"/>
    <m/>
    <s v="NO_"/>
    <m/>
    <m/>
    <s v="38 SEMANAS"/>
    <s v="2825 GR"/>
    <s v="50 CM"/>
    <s v="SI_"/>
    <m/>
    <m/>
    <m/>
    <x v="0"/>
    <m/>
  </r>
  <r>
    <n v="1001094722"/>
    <x v="0"/>
    <d v="2022-03-03T00:00:00"/>
    <d v="2022-08-22T00:00:00"/>
    <e v="#REF!"/>
    <e v="#N/A"/>
    <m/>
    <x v="0"/>
    <x v="0"/>
    <x v="0"/>
    <s v="CC"/>
    <s v="PAULA"/>
    <s v="ANDREA"/>
    <s v="ATEHORTUA"/>
    <s v="JEREZ"/>
    <s v="PAULA ANDREA ATEHORTUA JEREZ"/>
    <d v="2002-10-08T00:00:00"/>
    <x v="4"/>
    <n v="2"/>
    <n v="18"/>
    <s v="20 AÑOS 2 MESES 18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CALE 111 SUR #8 A 43 ESTE"/>
    <n v="3225520508"/>
    <m/>
    <x v="0"/>
    <s v="NO SE AUTORECONOCE EN NINGUNO DE LOS ANTERIORES"/>
    <x v="0"/>
    <x v="14"/>
    <s v="NO_"/>
    <s v="NO_"/>
    <s v="a. Pertenecientes a hogares con puntaje SISBEN"/>
    <m/>
    <s v="HERMANO(A)"/>
    <s v="CC"/>
    <n v="1001114334"/>
    <s v="JOHAN"/>
    <s v="STIVEN"/>
    <s v="ATEHORTUA"/>
    <s v="JEREZ"/>
    <d v="2000-09-04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6"/>
    <x v="0"/>
    <d v="2022-03-01T00:00:00"/>
    <s v="SI_"/>
    <x v="0"/>
    <m/>
    <m/>
    <m/>
    <m/>
    <m/>
    <m/>
    <m/>
    <m/>
    <m/>
    <m/>
    <n v="18"/>
    <x v="0"/>
    <m/>
  </r>
  <r>
    <n v="1023046195"/>
    <x v="1"/>
    <d v="2022-03-03T00:00:00"/>
    <m/>
    <m/>
    <m/>
    <m/>
    <x v="0"/>
    <x v="4"/>
    <x v="4"/>
    <s v="RC"/>
    <s v="HELLEN "/>
    <s v="MARIANA"/>
    <s v="ALBINO"/>
    <s v="MARTINEZ"/>
    <s v="HELLEN  MARIANA ALBINO MARTINEZ"/>
    <d v="2021-02-08T00:00:00"/>
    <x v="3"/>
    <n v="10"/>
    <n v="18"/>
    <s v="1 AÑOS 10 MESES 1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RA 7 BIS ESTE #104 53 SUR"/>
    <n v="3217156188"/>
    <n v="3204501226"/>
    <x v="0"/>
    <s v="NO SE AUTORECONOCE EN NINGUNO DE LOS ANTERIORES"/>
    <x v="1"/>
    <x v="1"/>
    <s v="NO_"/>
    <s v="NO_"/>
    <s v="o. Ingresos iguales o inferiores a 1.5 Smlv"/>
    <m/>
    <s v="MADRE"/>
    <s v="CC"/>
    <n v="1001273620"/>
    <s v="LESLI"/>
    <s v="TATIANA"/>
    <s v="MARTINEZ"/>
    <s v="MERCHAN"/>
    <d v="2002-07-21T00:00:00"/>
    <s v="COLOMBIA"/>
    <s v="BOGOTÁ"/>
    <s v="BOGOTÁ"/>
    <s v="CC"/>
    <n v="1022994111"/>
    <s v="FABIAN"/>
    <s v="ANDRES"/>
    <s v="ALBINO "/>
    <s v="VARGAS"/>
    <d v="1994-03-16T00:00:00"/>
    <n v="28"/>
    <s v="COLOMBIA"/>
    <s v="BOGOTÁ"/>
    <s v="BOGOTÁ"/>
    <s v="CC"/>
    <n v="1001273620"/>
    <s v="LESLI"/>
    <s v="TATIANA"/>
    <s v="MARTINEZ"/>
    <s v="MERCHAN"/>
    <d v="2002-07-21T00:00:00"/>
    <n v="20"/>
    <s v="COLOMBIA"/>
    <s v="BOGOTÁ"/>
    <s v="BOGOTÁ"/>
    <x v="0"/>
    <x v="6"/>
    <x v="0"/>
    <d v="2022-03-01T00:00:00"/>
    <s v="SI_"/>
    <x v="2"/>
    <n v="2"/>
    <s v="SI_"/>
    <m/>
    <m/>
    <n v="40"/>
    <s v="2600 GR"/>
    <n v="46"/>
    <m/>
    <n v="6"/>
    <n v="12"/>
    <m/>
    <x v="1"/>
    <m/>
  </r>
  <r>
    <n v="1016969726"/>
    <x v="1"/>
    <d v="2022-03-29T00:00:00"/>
    <m/>
    <m/>
    <m/>
    <m/>
    <x v="0"/>
    <x v="4"/>
    <x v="4"/>
    <s v="RC"/>
    <s v="DANNA"/>
    <s v="LUCIA"/>
    <s v="DELGADO"/>
    <s v="FANDIÑO"/>
    <s v="DANNA LUCIA DELGADO FANDIÑO"/>
    <d v="2020-09-30T00:00:00"/>
    <x v="2"/>
    <n v="2"/>
    <n v="26"/>
    <s v="2 AÑOS 2 MESES 2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TV7ESTE107ASUR63"/>
    <n v="3135622873"/>
    <m/>
    <x v="0"/>
    <s v="NO SE AUTORECONOCE EN NINGUNO DE LOS ANTERIORES"/>
    <x v="1"/>
    <x v="1"/>
    <m/>
    <m/>
    <s v="o. Ingresos iguales o inferiores a 1.5 Smlv"/>
    <m/>
    <s v="MADRE"/>
    <s v="CC"/>
    <n v="1014218058"/>
    <s v="MIREYA"/>
    <s v="ROCIO"/>
    <s v="FANDIÑO"/>
    <s v="GOMEZ"/>
    <d v="1991-01-04T00:00:00"/>
    <s v="COLOMBIA"/>
    <s v="BOYACÁ"/>
    <s v="CHINAVITA"/>
    <s v="CC"/>
    <n v="1010185025"/>
    <s v="ANDRES"/>
    <s v="FELIPE"/>
    <s v="DELGADO"/>
    <s v="PEREZ"/>
    <d v="1989-08-31T00:00:00"/>
    <n v="33"/>
    <s v="COLOMBIA"/>
    <s v="CAUCA"/>
    <s v="BUENOS AIRES"/>
    <s v="CC"/>
    <n v="1014218058"/>
    <s v="MIREYA"/>
    <s v="ROCIO"/>
    <s v="FANDIÑO"/>
    <s v="GOMEZ"/>
    <d v="1991-01-04T00:00:00"/>
    <n v="31"/>
    <s v="COLOMBIA"/>
    <s v="BOYACÁ"/>
    <s v="CHINAVITA"/>
    <x v="0"/>
    <x v="0"/>
    <x v="0"/>
    <d v="2022-03-28T00:00:00"/>
    <s v="SI_"/>
    <x v="1"/>
    <m/>
    <s v="NO_"/>
    <m/>
    <m/>
    <n v="39"/>
    <n v="2500"/>
    <n v="43"/>
    <s v="NO_"/>
    <n v="6"/>
    <n v="12"/>
    <m/>
    <x v="1"/>
    <m/>
  </r>
  <r>
    <n v="1023045537"/>
    <x v="0"/>
    <d v="2022-03-03T00:00:00"/>
    <d v="2022-03-28T00:00:00"/>
    <e v="#REF!"/>
    <e v="#N/A"/>
    <m/>
    <x v="0"/>
    <x v="2"/>
    <x v="2"/>
    <s v="RC"/>
    <s v="MATIAS"/>
    <s v="ALEXANDER"/>
    <s v="VARELA"/>
    <s v="LAGUNA"/>
    <s v="MATIAS ALEXANDER VARELA LAGUNA"/>
    <d v="2020-09-26T00:00:00"/>
    <x v="2"/>
    <n v="3"/>
    <n v="0"/>
    <s v="2 AÑOS 3 MESES 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CALLE 89 B #6 04 ESTE SUR"/>
    <n v="3148050327"/>
    <m/>
    <x v="0"/>
    <s v="NO SE AUTORECONOCE EN NINGUNO DE LOS ANTERIORES"/>
    <x v="1"/>
    <x v="1"/>
    <s v="NO_"/>
    <s v="NO_"/>
    <s v="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"/>
    <m/>
    <s v="MADRE"/>
    <s v="SIN DOCUMENTO"/>
    <m/>
    <s v="NAIKEL"/>
    <s v="CAROLINA"/>
    <s v="LAGUNA"/>
    <s v="CASTRO"/>
    <d v="1991-10-29T00:00:00"/>
    <s v="VENEZUELA"/>
    <s v="EXTERIOR"/>
    <m/>
    <s v="SIN DOCUMENTO"/>
    <m/>
    <s v="BRAYAN "/>
    <s v="DANIEL"/>
    <s v="VARELA"/>
    <s v="VELANDIA"/>
    <d v="1997-11-22T00:00:00"/>
    <n v="25"/>
    <s v="VENEZUELA"/>
    <s v="EXTERIOR"/>
    <m/>
    <s v="SIN DOCUMENTO"/>
    <m/>
    <s v="NAIKEL"/>
    <s v="CAROLINA"/>
    <s v="LAGUNA"/>
    <s v="CASTRO"/>
    <d v="1991-10-29T00:00:00"/>
    <n v="31"/>
    <s v="VENEZUELA"/>
    <s v="EXTERIOR"/>
    <m/>
    <x v="1"/>
    <x v="1"/>
    <x v="0"/>
    <d v="2022-03-01T00:00:00"/>
    <s v="SI_"/>
    <x v="2"/>
    <n v="1"/>
    <s v="NO_"/>
    <m/>
    <m/>
    <n v="40"/>
    <s v="3185 GR"/>
    <n v="51"/>
    <m/>
    <n v="6"/>
    <n v="12"/>
    <m/>
    <x v="1"/>
    <m/>
  </r>
  <r>
    <n v="1243859420"/>
    <x v="1"/>
    <d v="2022-03-03T00:00:00"/>
    <m/>
    <m/>
    <m/>
    <s v="TRIANGULO"/>
    <x v="0"/>
    <x v="5"/>
    <x v="5"/>
    <s v="RC"/>
    <s v="LAURA"/>
    <s v="CAMILA"/>
    <s v="RODRIGUEZ"/>
    <s v="CASTAÑEDA"/>
    <s v="LAURA CAMILA RODRIGUEZ CASTAÑEDA"/>
    <d v="2020-08-24T00:00:00"/>
    <x v="2"/>
    <n v="4"/>
    <n v="2"/>
    <s v="2 AÑOS 4 MESES 2 DIAS "/>
    <x v="2"/>
    <x v="0"/>
    <x v="0"/>
    <s v="BOGOTÁ"/>
    <s v="BOGOTÁ"/>
    <x v="1"/>
    <s v="SI_"/>
    <s v="COMPENSAR"/>
    <m/>
    <s v="DOWN"/>
    <s v="SI_"/>
    <s v="SI_"/>
    <s v="NO_"/>
    <s v="NO_"/>
    <s v="SI_"/>
    <s v="SI_"/>
    <m/>
    <s v="COLOMBIA"/>
    <s v="BOGOTÁ"/>
    <x v="0"/>
    <s v="LOCALIDAD"/>
    <x v="0"/>
    <x v="23"/>
    <m/>
    <s v="KR1 -89CSUR37"/>
    <n v="3502924351"/>
    <m/>
    <x v="0"/>
    <s v="NO SE AUTORECONOCE EN NINGUNO DE LOS ANTERIORES"/>
    <x v="1"/>
    <x v="1"/>
    <s v="NO_"/>
    <s v="NO_"/>
    <s v="o. Ingresos iguales o inferiores a 1.5 Smlv"/>
    <m/>
    <s v="MADRE"/>
    <s v="CC"/>
    <n v="1059785610"/>
    <s v="YURI"/>
    <s v="NATALIA"/>
    <s v="CASTAÑEDA"/>
    <m/>
    <d v="1991-06-08T00:00:00"/>
    <s v="COLOMBIA"/>
    <s v="CALDAS"/>
    <s v="ANSERMA"/>
    <s v="CC"/>
    <n v="1022954916"/>
    <s v="FABIAN"/>
    <s v="ALBEIRO"/>
    <s v="RODRIGUEZ"/>
    <s v="TIBAVISCO"/>
    <d v="1989-10-31T00:00:00"/>
    <n v="33"/>
    <s v="COLOMBIA"/>
    <s v="BOGOTÁ"/>
    <s v="BOGOTÁ"/>
    <s v="CC"/>
    <n v="1059785610"/>
    <s v="YURI"/>
    <s v="NATALIA"/>
    <s v="CASTAÑEDA"/>
    <m/>
    <d v="1991-06-08T00:00:00"/>
    <n v="31"/>
    <s v="COLOMBIA"/>
    <s v="CALDAS"/>
    <s v="ANSERMA"/>
    <x v="1"/>
    <x v="3"/>
    <x v="0"/>
    <d v="2022-03-01T00:00:00"/>
    <s v="SI_"/>
    <x v="2"/>
    <n v="3"/>
    <s v="SI_"/>
    <m/>
    <m/>
    <n v="35"/>
    <s v="1560 KG"/>
    <n v="41"/>
    <m/>
    <n v="1"/>
    <n v="10"/>
    <m/>
    <x v="1"/>
    <m/>
  </r>
  <r>
    <n v="1022928758"/>
    <x v="0"/>
    <d v="2022-07-05T00:00:00"/>
    <d v="2022-10-03T00:00:00"/>
    <e v="#REF!"/>
    <e v="#N/A"/>
    <s v="TRIANGULO"/>
    <x v="0"/>
    <x v="0"/>
    <x v="0"/>
    <s v="CC"/>
    <s v="MAYERLY"/>
    <s v="ANDREA"/>
    <s v="BONILLA"/>
    <s v="ROJAS"/>
    <s v="MAYERLY ANDREA BONILLA ROJAS"/>
    <d v="1986-10-26T00:00:00"/>
    <x v="13"/>
    <n v="2"/>
    <n v="0"/>
    <s v="36 AÑOS 2 MESES 0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KR 7 A ESTE 90 A SUR 88"/>
    <n v="3003624454"/>
    <n v="3118239364"/>
    <x v="0"/>
    <s v="NO SE AUTORECONOCE EN NINGUNO DE LOS ANTERIORES"/>
    <x v="0"/>
    <x v="15"/>
    <s v="NO_"/>
    <s v="NO_"/>
    <s v="o. Ingresos iguales o inferiores a 1.5 Smlv"/>
    <m/>
    <s v="CONYUGE"/>
    <s v="CC"/>
    <n v="80207636"/>
    <s v="CARLOS"/>
    <s v="WILLIAM"/>
    <s v="RODRIGUEZ"/>
    <s v="BAUTISTA"/>
    <d v="1982-08-23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3"/>
    <x v="0"/>
    <d v="2022-07-06T00:00:00"/>
    <m/>
    <x v="0"/>
    <m/>
    <m/>
    <m/>
    <m/>
    <m/>
    <m/>
    <m/>
    <m/>
    <m/>
    <m/>
    <n v="22"/>
    <x v="0"/>
    <m/>
  </r>
  <r>
    <n v="52290576"/>
    <x v="0"/>
    <d v="2022-03-03T00:00:00"/>
    <d v="2022-07-05T00:00:00"/>
    <e v="#REF!"/>
    <e v="#N/A"/>
    <m/>
    <x v="0"/>
    <x v="0"/>
    <x v="0"/>
    <s v="CC"/>
    <s v="DORIS"/>
    <s v="MARINA"/>
    <s v="ANGULO"/>
    <s v="RAMOS"/>
    <s v="DORIS MARINA ANGULO RAMOS"/>
    <d v="1981-09-28T00:00:00"/>
    <x v="14"/>
    <n v="2"/>
    <n v="28"/>
    <s v="41 AÑOS 2 MESES 28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"/>
    <m/>
    <s v="CALLE 78 A #5 F ESTE 26 SUR"/>
    <n v="3146454534"/>
    <m/>
    <x v="0"/>
    <s v="NO SE AUTORECONOCE EN NINGUNO DE LOS ANTERIORES"/>
    <x v="0"/>
    <x v="7"/>
    <s v="NO_"/>
    <s v="NO_"/>
    <s v="a. Pertenecientes a hogares con puntaje SISBEN"/>
    <m/>
    <s v="CONYUGE"/>
    <s v="CC"/>
    <n v="1007750016"/>
    <s v="HAMMER"/>
    <m/>
    <s v="TRIVIÑO"/>
    <s v="ANGULO"/>
    <d v="2000-10-25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6"/>
    <x v="0"/>
    <d v="2022-03-01T00:00:00"/>
    <s v="SI_"/>
    <x v="0"/>
    <m/>
    <m/>
    <m/>
    <m/>
    <m/>
    <m/>
    <m/>
    <m/>
    <m/>
    <m/>
    <n v="20"/>
    <x v="0"/>
    <m/>
  </r>
  <r>
    <n v="1023048142"/>
    <x v="1"/>
    <d v="2022-05-02T00:00:00"/>
    <m/>
    <m/>
    <m/>
    <s v="TRIANGULO"/>
    <x v="0"/>
    <x v="2"/>
    <x v="2"/>
    <s v="RC"/>
    <s v="LUIS"/>
    <s v="ANGEL"/>
    <s v="ASPRILLA"/>
    <s v="PALACIOS"/>
    <s v="LUIS ANGEL ASPRILLA PALACIOS"/>
    <d v="2022-04-01T00:00:00"/>
    <x v="1"/>
    <n v="8"/>
    <n v="25"/>
    <s v="0 AÑOS 8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4"/>
    <m/>
    <s v="CALLE 78 A SUR  3 ESTE 10 "/>
    <n v="3163529412"/>
    <m/>
    <x v="0"/>
    <s v="NO SE AUTORECONOCE EN NINGUNO DE LOS ANTERIORES"/>
    <x v="1"/>
    <x v="1"/>
    <s v="NO_"/>
    <s v="NO_"/>
    <s v="o. Ingresos iguales o inferiores a 1.5 Smlv"/>
    <s v="SI_"/>
    <s v="MADRE"/>
    <s v="CC"/>
    <n v="1023009036"/>
    <s v="YOMARY"/>
    <m/>
    <s v="PALACIOS"/>
    <s v="ASPRILLA"/>
    <d v="1995-11-07T00:00:00"/>
    <s v="COLOMBIA"/>
    <s v="CHOCÓ"/>
    <s v="NUQUÍ"/>
    <s v="CC"/>
    <n v="1023026327"/>
    <s v="LUIS"/>
    <s v="DAVID"/>
    <s v="ASPRILLA"/>
    <s v="GONZALEZ"/>
    <d v="1997-11-12T00:00:00"/>
    <n v="25"/>
    <s v="COLOMBIA"/>
    <s v="ANTIOQUIA"/>
    <s v="MEDELLÍN"/>
    <s v="CC"/>
    <n v="1023009036"/>
    <s v="YOMARY"/>
    <m/>
    <s v="PALACIOS"/>
    <s v="ASPRILLA"/>
    <d v="1995-11-07T00:00:00"/>
    <n v="27"/>
    <s v="COLOMBIA"/>
    <s v="CHOCÓ"/>
    <s v="NUQUÍ"/>
    <x v="0"/>
    <x v="3"/>
    <x v="2"/>
    <m/>
    <m/>
    <x v="0"/>
    <m/>
    <s v="NO_"/>
    <m/>
    <m/>
    <n v="38"/>
    <n v="3385"/>
    <n v="51"/>
    <m/>
    <m/>
    <m/>
    <m/>
    <x v="2"/>
    <m/>
  </r>
  <r>
    <n v="1023009036"/>
    <x v="0"/>
    <d v="2022-03-03T00:00:00"/>
    <d v="2022-05-02T00:00:00"/>
    <e v="#REF!"/>
    <e v="#N/A"/>
    <m/>
    <x v="0"/>
    <x v="0"/>
    <x v="0"/>
    <s v="CC"/>
    <s v="YOMARY"/>
    <m/>
    <s v="PALACIOS"/>
    <s v="ASPRILLA"/>
    <s v="YOMARY  PALACIOS ASPRILLA"/>
    <d v="1995-11-07T00:00:00"/>
    <x v="0"/>
    <n v="1"/>
    <n v="19"/>
    <s v="27 AÑOS 1 MESES 19 DIAS "/>
    <x v="0"/>
    <x v="0"/>
    <x v="0"/>
    <s v="CHOCÓ"/>
    <s v="NUQUÍ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4"/>
    <m/>
    <s v="CALLE 78 A #3 ESTE 10 SUR"/>
    <n v="3163529412"/>
    <m/>
    <x v="0"/>
    <s v="AFROCOLOMBIANO"/>
    <x v="0"/>
    <x v="3"/>
    <s v="NO_"/>
    <s v="NO_"/>
    <s v="a. Pertenecientes a hogares con puntaje SISBEN"/>
    <m/>
    <s v="MADRE"/>
    <s v="CC"/>
    <n v="26362998"/>
    <s v="EPIFANIA"/>
    <m/>
    <s v="ASPRILLA"/>
    <s v="HURTADO"/>
    <d v="1976-05-07T00:00:00"/>
    <s v="COLOMBIA"/>
    <s v="CHOCÓ"/>
    <s v="NUQUÍ"/>
    <m/>
    <m/>
    <m/>
    <m/>
    <m/>
    <m/>
    <m/>
    <s v=""/>
    <m/>
    <m/>
    <m/>
    <m/>
    <m/>
    <m/>
    <m/>
    <m/>
    <m/>
    <m/>
    <s v=""/>
    <m/>
    <m/>
    <m/>
    <x v="0"/>
    <x v="3"/>
    <x v="0"/>
    <d v="2022-03-01T00:00:00"/>
    <s v="SI_"/>
    <x v="0"/>
    <m/>
    <m/>
    <m/>
    <m/>
    <m/>
    <m/>
    <m/>
    <m/>
    <m/>
    <m/>
    <n v="24"/>
    <x v="0"/>
    <m/>
  </r>
  <r>
    <n v="1023048417"/>
    <x v="1"/>
    <d v="2022-05-24T00:00:00"/>
    <m/>
    <m/>
    <m/>
    <s v="TRIANGULO"/>
    <x v="0"/>
    <x v="2"/>
    <x v="2"/>
    <s v="RC"/>
    <s v="DERECK "/>
    <s v="ALEXIS"/>
    <s v="BABATIVA"/>
    <s v="RODRIGUEZ"/>
    <s v="DERECK  ALEXIS BABATIVA RODRIGUEZ"/>
    <d v="2022-05-12T00:00:00"/>
    <x v="1"/>
    <n v="7"/>
    <n v="14"/>
    <s v="0 AÑOS 7 MESES 1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5"/>
    <m/>
    <s v="KR 10 ESTE  80 SUR  20 "/>
    <n v="3053441163"/>
    <m/>
    <x v="0"/>
    <s v="NO SE AUTORECONOCE EN NINGUNO DE LOS ANTERIORES"/>
    <x v="1"/>
    <x v="1"/>
    <s v="NO_"/>
    <s v="NO_"/>
    <s v="o. Ingresos iguales o inferiores a 1.5 Smlv"/>
    <s v="NO_"/>
    <s v="MADRE"/>
    <s v="CC"/>
    <n v="1023915703"/>
    <s v="YENNY"/>
    <s v="YASMIN"/>
    <s v="RODRIGUEZ"/>
    <s v="BELLO"/>
    <d v="1992-04-17T00:00:00"/>
    <s v="COLOMBIA"/>
    <s v="BOGOTÁ"/>
    <s v="BOGOTÁ"/>
    <s v="CC"/>
    <n v="1079033489"/>
    <s v="FREDY"/>
    <s v="LEONARDO"/>
    <s v="BABATIVA"/>
    <s v="MARTIN"/>
    <d v="1990-10-02T00:00:00"/>
    <n v="32"/>
    <s v="COLOMBIA"/>
    <s v="BOGOTÁ"/>
    <s v="BOGOTÁ"/>
    <s v="CC"/>
    <n v="1023915703"/>
    <s v="YENNY"/>
    <s v="YASMIN"/>
    <s v="RODRIGUEZ"/>
    <s v="BELLO"/>
    <d v="1992-04-17T00:00:00"/>
    <n v="30"/>
    <s v="COLOMBIA"/>
    <s v="BOGOTÁ"/>
    <s v="BOGOTÁ"/>
    <x v="1"/>
    <x v="3"/>
    <x v="2"/>
    <s v="NO_"/>
    <m/>
    <x v="1"/>
    <m/>
    <m/>
    <m/>
    <m/>
    <n v="38"/>
    <n v="2984"/>
    <n v="50"/>
    <m/>
    <m/>
    <m/>
    <m/>
    <x v="2"/>
    <m/>
  </r>
  <r>
    <n v="1023915703"/>
    <x v="0"/>
    <d v="2022-03-03T00:00:00"/>
    <d v="2022-05-23T00:00:00"/>
    <e v="#REF!"/>
    <e v="#N/A"/>
    <m/>
    <x v="0"/>
    <x v="0"/>
    <x v="0"/>
    <s v="CC"/>
    <s v="YENNY"/>
    <s v="YASMIN"/>
    <s v="RODRIGUEZ"/>
    <s v="BELLO"/>
    <s v="YENNY YASMIN RODRIGUEZ BELLO"/>
    <d v="1992-04-17T00:00:00"/>
    <x v="5"/>
    <n v="8"/>
    <n v="9"/>
    <s v="30 AÑOS 8 MESES 9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5"/>
    <m/>
    <s v="CRA 10 ESTE # 80 20 SUR"/>
    <n v="3053441163"/>
    <m/>
    <x v="0"/>
    <s v="NO SE AUTORECONOCE EN NINGUNO DE LOS ANTERIORES"/>
    <x v="0"/>
    <x v="1"/>
    <s v="NO_"/>
    <s v="NO_"/>
    <s v="o. Ingresos iguales o inferiores a 1.5 Smlv"/>
    <m/>
    <s v="CONYUGE"/>
    <s v="CC"/>
    <n v="1079033489"/>
    <s v="FREDY"/>
    <s v="LEONARDO"/>
    <s v="BABATIVA"/>
    <s v="MARTIN"/>
    <d v="1990-10-02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1"/>
    <x v="3"/>
    <x v="0"/>
    <d v="2022-03-01T00:00:00"/>
    <s v="SI_"/>
    <x v="0"/>
    <m/>
    <m/>
    <m/>
    <m/>
    <m/>
    <m/>
    <m/>
    <m/>
    <m/>
    <m/>
    <n v="7"/>
    <x v="0"/>
    <m/>
  </r>
  <r>
    <n v="1014485754"/>
    <x v="0"/>
    <d v="2022-03-03T00:00:00"/>
    <d v="2022-10-03T00:00:00"/>
    <e v="#REF!"/>
    <e v="#N/A"/>
    <s v="TRIANGULO"/>
    <x v="0"/>
    <x v="3"/>
    <x v="3"/>
    <s v="RC"/>
    <s v="LIZBETH"/>
    <s v="DAYANA"/>
    <s v="CAÑIZARES"/>
    <s v="LOPEZ"/>
    <s v="LIZBETH DAYANA CAÑIZARES LOPEZ"/>
    <d v="2021-09-07T00:00:00"/>
    <x v="3"/>
    <n v="3"/>
    <n v="19"/>
    <s v="1 AÑOS 3 MESES 1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5"/>
    <m/>
    <s v="CRA  10 ESTE #76 20 SUR"/>
    <n v="3202551358"/>
    <m/>
    <x v="0"/>
    <s v="NO SE AUTORECONOCE EN NINGUNO DE LOS ANTERIORES"/>
    <x v="1"/>
    <x v="1"/>
    <s v="NO_"/>
    <s v="NO_"/>
    <s v="o. Ingresos iguales o inferiores a 1.5 Smlv"/>
    <m/>
    <s v="MADRE"/>
    <s v="CC"/>
    <n v="1081916263"/>
    <s v="EVA"/>
    <s v="SANDRITH"/>
    <s v="LOPEZ"/>
    <s v="VUELVAS"/>
    <d v="2003-10-15T00:00:00"/>
    <s v="COLOMBIA"/>
    <s v="MAGDALENA"/>
    <s v="PLATO"/>
    <s v="CC"/>
    <n v="1004823226"/>
    <s v="ROBINSON"/>
    <m/>
    <s v="CAÑIZARES"/>
    <s v="GOMEZ"/>
    <d v="1989-05-20T00:00:00"/>
    <n v="33"/>
    <s v="COLOMBIA"/>
    <s v="NORTE_DE_SANTANDER"/>
    <s v="LA ESPERANZA"/>
    <s v="CC"/>
    <n v="1081916263"/>
    <s v="EVA"/>
    <s v="SANDRITH"/>
    <s v="LOPEZ "/>
    <s v="BUELVAS"/>
    <d v="2003-10-15T00:00:00"/>
    <n v="19"/>
    <s v="COLOMBIA"/>
    <s v="MAGDALENA"/>
    <s v="PLATO"/>
    <x v="0"/>
    <x v="0"/>
    <x v="0"/>
    <d v="2022-03-01T00:00:00"/>
    <s v="SI_"/>
    <x v="2"/>
    <n v="1"/>
    <s v="SI_"/>
    <m/>
    <m/>
    <n v="37"/>
    <s v="2400 GR"/>
    <n v="49"/>
    <m/>
    <m/>
    <m/>
    <m/>
    <x v="1"/>
    <m/>
  </r>
  <r>
    <n v="1001300941"/>
    <x v="0"/>
    <d v="2022-03-03T00:00:00"/>
    <d v="2022-10-03T00:00:00"/>
    <e v="#REF!"/>
    <e v="#N/A"/>
    <s v="TRIANGULO"/>
    <x v="0"/>
    <x v="0"/>
    <x v="0"/>
    <s v="CC"/>
    <s v="JULIETH"/>
    <s v="PAOLA"/>
    <s v="HERNANDEZ"/>
    <s v="SEPULVEDA"/>
    <s v="JULIETH PAOLA HERNANDEZ SEPULVEDA"/>
    <d v="2001-06-26T00:00:00"/>
    <x v="15"/>
    <n v="6"/>
    <n v="0"/>
    <s v="21 AÑOS 6 MESES 0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CRA 6 D ESTE #94 13 SUR"/>
    <n v="3195763263"/>
    <m/>
    <x v="0"/>
    <s v="NO SE AUTORECONOCE EN NINGUNO DE LOS ANTERIORES"/>
    <x v="0"/>
    <x v="16"/>
    <s v="NO_"/>
    <s v="NO_"/>
    <s v="a. Pertenecientes a hogares con puntaje SISBEN"/>
    <m/>
    <s v="AMIGO(A)"/>
    <s v="CC"/>
    <n v="1069256565"/>
    <s v="LEIDY"/>
    <s v="ALEXANDRA"/>
    <s v="RUBIANO"/>
    <s v="PINZON"/>
    <d v="1986-06-29T00:00:00"/>
    <s v="COLOMBIA"/>
    <s v="CUNDINAMARCA"/>
    <s v="CHOCONTÁ"/>
    <m/>
    <m/>
    <m/>
    <m/>
    <m/>
    <m/>
    <m/>
    <s v=""/>
    <m/>
    <m/>
    <m/>
    <m/>
    <m/>
    <m/>
    <m/>
    <m/>
    <m/>
    <m/>
    <s v=""/>
    <m/>
    <m/>
    <m/>
    <x v="0"/>
    <x v="0"/>
    <x v="0"/>
    <d v="2022-03-01T00:00:00"/>
    <m/>
    <x v="0"/>
    <m/>
    <m/>
    <m/>
    <m/>
    <m/>
    <m/>
    <m/>
    <m/>
    <m/>
    <m/>
    <n v="9"/>
    <x v="0"/>
    <m/>
  </r>
  <r>
    <n v="1245078680"/>
    <x v="1"/>
    <d v="2022-03-03T00:00:00"/>
    <m/>
    <m/>
    <m/>
    <m/>
    <x v="0"/>
    <x v="4"/>
    <x v="4"/>
    <s v="RC"/>
    <s v="EITHAN"/>
    <s v="ZAID"/>
    <s v="RODRIGUEZ"/>
    <s v="DIAZ"/>
    <s v="EITHAN ZAID RODRIGUEZ DIAZ"/>
    <d v="2021-04-20T00:00:00"/>
    <x v="3"/>
    <n v="8"/>
    <n v="6"/>
    <s v="1 AÑOS 8 MESES 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CRA 7 ESTE 89 55 SUR"/>
    <n v="3134620575"/>
    <m/>
    <x v="0"/>
    <s v="NO SE AUTORECONOCE EN NINGUNO DE LOS ANTERIORES"/>
    <x v="0"/>
    <x v="4"/>
    <s v="NO_"/>
    <s v="NO_"/>
    <s v="a. Pertenecientes a hogares con puntaje SISBEN"/>
    <m/>
    <s v="MADRE"/>
    <s v="CC"/>
    <n v="1023038966"/>
    <s v="NASLY"/>
    <s v="SUJEY"/>
    <s v="DIAZ"/>
    <s v="BERNAL"/>
    <d v="1999-11-08T00:00:00"/>
    <s v="COLOMBIA"/>
    <s v="BOGOTÁ"/>
    <s v="BOGOTÁ"/>
    <m/>
    <m/>
    <m/>
    <m/>
    <m/>
    <m/>
    <m/>
    <s v=""/>
    <m/>
    <m/>
    <m/>
    <s v="CC"/>
    <n v="1023038966"/>
    <s v="NASLY"/>
    <s v="SUJEY"/>
    <s v="DIAZ"/>
    <s v="BERNAL"/>
    <d v="1999-11-08T00:00:00"/>
    <n v="23"/>
    <s v="COLOMBIA"/>
    <s v="BOGOTÁ"/>
    <s v="BOGOTÁ"/>
    <x v="0"/>
    <x v="5"/>
    <x v="0"/>
    <d v="2022-03-01T00:00:00"/>
    <s v="SI_"/>
    <x v="2"/>
    <n v="1"/>
    <s v="NO_"/>
    <m/>
    <m/>
    <n v="40"/>
    <n v="3265"/>
    <n v="50"/>
    <m/>
    <n v="6"/>
    <n v="10"/>
    <m/>
    <x v="1"/>
    <m/>
  </r>
  <r>
    <n v="1023047218"/>
    <x v="1"/>
    <d v="2022-04-08T00:00:00"/>
    <m/>
    <m/>
    <m/>
    <m/>
    <x v="0"/>
    <x v="4"/>
    <x v="4"/>
    <s v="RC"/>
    <s v="AIDAN"/>
    <s v="MATHEUS"/>
    <s v="DIAZ"/>
    <s v="PATAQUIVA"/>
    <s v="AIDAN MATHEUS DIAZ PATAQUIVA"/>
    <d v="2021-09-23T00:00:00"/>
    <x v="3"/>
    <n v="3"/>
    <n v="3"/>
    <s v="1 AÑOS 3 MESES 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6G  BIS ESTE 106A SUR 08"/>
    <n v="3226227751"/>
    <m/>
    <x v="2"/>
    <s v="NO SE AUTORECONOCE EN NINGUNO DE LOS ANTERIORES"/>
    <x v="0"/>
    <x v="3"/>
    <s v="NO_"/>
    <s v="NO_"/>
    <s v="a. Pertenecientes a hogares con puntaje SISBEN"/>
    <m/>
    <s v="MADRE"/>
    <s v="CC"/>
    <n v="1000323022"/>
    <s v="PAULA"/>
    <s v="ANDREA "/>
    <s v="PATAQUIVA"/>
    <s v="CANTOR"/>
    <d v="2001-02-20T00:00:00"/>
    <s v="COLOMBIA"/>
    <s v="BOGOTÁ"/>
    <s v="BOGOTÁ"/>
    <s v="CC"/>
    <n v="1000032907"/>
    <s v="ROBERT"/>
    <s v="STIVEN"/>
    <s v="DIAZ"/>
    <s v="PINILLA"/>
    <d v="1998-11-21T00:00:00"/>
    <n v="24"/>
    <s v="COLOMBIA"/>
    <s v="BOGOTÁ"/>
    <s v="BOGOTÁ"/>
    <s v="CC"/>
    <n v="1000323022"/>
    <s v="PAULA"/>
    <s v="ANDREA "/>
    <s v="PATAQUIVA"/>
    <s v="CANTOR"/>
    <d v="2001-02-20T00:00:00"/>
    <n v="21"/>
    <s v="COLOMBIA"/>
    <s v="BOGOTÁ"/>
    <s v="BOGOTÁ"/>
    <x v="1"/>
    <x v="1"/>
    <x v="0"/>
    <d v="2022-04-06T00:00:00"/>
    <s v="SI_"/>
    <x v="2"/>
    <n v="1"/>
    <m/>
    <m/>
    <m/>
    <m/>
    <m/>
    <m/>
    <m/>
    <m/>
    <m/>
    <m/>
    <x v="1"/>
    <m/>
  </r>
  <r>
    <n v="1029155022"/>
    <x v="0"/>
    <d v="2022-03-03T00:00:00"/>
    <d v="2022-04-07T00:00:00"/>
    <e v="#REF!"/>
    <e v="#N/A"/>
    <m/>
    <x v="0"/>
    <x v="3"/>
    <x v="3"/>
    <s v="RC"/>
    <s v="LIA "/>
    <s v="LUCIANA"/>
    <s v="SANDOVAL"/>
    <s v="BERNAL"/>
    <s v="LIA  LUCIANA SANDOVAL BERNAL"/>
    <d v="2021-07-11T00:00:00"/>
    <x v="3"/>
    <n v="5"/>
    <n v="15"/>
    <s v="1 AÑOS 5 MESES 1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CALLE 97 #3 ESTE 17 SUR"/>
    <n v="3178078322"/>
    <m/>
    <x v="0"/>
    <s v="NO SE AUTORECONOCE EN NINGUNO DE LOS ANTERIORES"/>
    <x v="0"/>
    <x v="12"/>
    <s v="NO_"/>
    <s v="NO_"/>
    <s v="a. Pertenecientes a hogares con puntaje SISBEN"/>
    <m/>
    <s v="MADRE"/>
    <s v="CC"/>
    <n v="1012391893"/>
    <s v="SILVIA"/>
    <s v="MILENA"/>
    <s v="BERNAL"/>
    <s v="BEJARANO"/>
    <d v="1992-09-06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3"/>
    <x v="0"/>
    <d v="2022-03-01T00:00:00"/>
    <s v="SI_"/>
    <x v="2"/>
    <n v="2"/>
    <s v="SI_"/>
    <m/>
    <m/>
    <n v="35"/>
    <n v="2200"/>
    <n v="42"/>
    <m/>
    <n v="1"/>
    <n v="10"/>
    <m/>
    <x v="1"/>
    <m/>
  </r>
  <r>
    <n v="1023046469"/>
    <x v="0"/>
    <d v="2022-03-03T00:00:00"/>
    <d v="2022-03-28T00:00:00"/>
    <e v="#REF!"/>
    <e v="#N/A"/>
    <m/>
    <x v="0"/>
    <x v="3"/>
    <x v="3"/>
    <s v="RC"/>
    <s v="THIAGO"/>
    <m/>
    <s v="BARON"/>
    <s v="VILLAMIL"/>
    <s v="THIAGO  BARON VILLAMIL"/>
    <d v="2021-03-15T00:00:00"/>
    <x v="3"/>
    <n v="9"/>
    <n v="11"/>
    <s v="1 AÑOS 9 MESES 1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RA 9 C ESTE #96 53 SUR"/>
    <n v="3223428522"/>
    <m/>
    <x v="0"/>
    <s v="NO SE AUTORECONOCE EN NINGUNO DE LOS ANTERIORES"/>
    <x v="1"/>
    <x v="1"/>
    <s v="NO_"/>
    <s v="NO_"/>
    <s v="o. Ingresos iguales o inferiores a 1.5 Smlv"/>
    <m/>
    <s v="MADRE"/>
    <s v="CC"/>
    <n v="1024597794"/>
    <s v="ANGIE"/>
    <s v="DANIELA"/>
    <s v="VILLAMIL"/>
    <s v="DELGADO"/>
    <d v="1999-05-14T00:00:00"/>
    <s v="COLOMBIA"/>
    <s v="BOGOTÁ"/>
    <s v="BOGOTÁ"/>
    <m/>
    <m/>
    <m/>
    <m/>
    <m/>
    <m/>
    <m/>
    <s v=""/>
    <m/>
    <m/>
    <m/>
    <s v="CC"/>
    <n v="1024597794"/>
    <s v="ANGIE"/>
    <s v="DANIELA"/>
    <s v="VILLAMIL"/>
    <s v="DELGADO"/>
    <d v="1999-05-14T00:00:00"/>
    <n v="23"/>
    <s v="COLOMBIA"/>
    <s v="BOGOTÁ"/>
    <s v="BOGOTÁ"/>
    <x v="0"/>
    <x v="6"/>
    <x v="0"/>
    <d v="2022-03-01T00:00:00"/>
    <s v="SI_"/>
    <x v="2"/>
    <s v="SI"/>
    <s v="NO_"/>
    <m/>
    <m/>
    <n v="40"/>
    <n v="3530"/>
    <n v="51"/>
    <m/>
    <n v="6"/>
    <n v="11"/>
    <m/>
    <x v="1"/>
    <m/>
  </r>
  <r>
    <n v="1146150152"/>
    <x v="0"/>
    <d v="2022-03-03T00:00:00"/>
    <d v="2022-06-13T00:00:00"/>
    <e v="#REF!"/>
    <e v="#N/A"/>
    <m/>
    <x v="0"/>
    <x v="3"/>
    <x v="3"/>
    <s v="RC"/>
    <s v="ELIAS"/>
    <s v="DAVID"/>
    <s v="MORALES"/>
    <s v="RAMOS"/>
    <s v="ELIAS DAVID MORALES RAMOS"/>
    <d v="2021-07-18T00:00:00"/>
    <x v="3"/>
    <n v="5"/>
    <n v="8"/>
    <s v="1 AÑOS 5 MESES 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RA 6 F ESTE #106 49 SUR"/>
    <n v="3126836587"/>
    <m/>
    <x v="0"/>
    <s v="NO SE AUTORECONOCE EN NINGUNO DE LOS ANTERIORES"/>
    <x v="1"/>
    <x v="1"/>
    <s v="NO_"/>
    <s v="NO_"/>
    <s v="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"/>
    <m/>
    <s v="MADRE"/>
    <s v="SIN DOCUMENTO"/>
    <m/>
    <s v="JOSMARI"/>
    <s v="ALEXANDRA"/>
    <s v="RAMOS"/>
    <s v="BASTIDAS"/>
    <d v="2002-05-02T00:00:00"/>
    <s v="VENEZUELA"/>
    <s v="EXTERIOR"/>
    <m/>
    <m/>
    <m/>
    <m/>
    <m/>
    <m/>
    <m/>
    <m/>
    <s v=""/>
    <m/>
    <m/>
    <m/>
    <s v="SIN DOCUMENTO"/>
    <m/>
    <s v="JOSMARI"/>
    <s v="ALEXANDRA"/>
    <s v="RAMOS"/>
    <s v="BASTIDAS"/>
    <d v="2002-06-02T00:00:00"/>
    <n v="20"/>
    <s v="VENEZUELA"/>
    <s v="EXTERIOR"/>
    <m/>
    <x v="1"/>
    <x v="1"/>
    <x v="0"/>
    <d v="2022-03-01T00:00:00"/>
    <s v="SI_"/>
    <x v="1"/>
    <m/>
    <s v="NO_"/>
    <m/>
    <m/>
    <n v="38"/>
    <n v="2780"/>
    <n v="49"/>
    <m/>
    <n v="6"/>
    <n v="7"/>
    <m/>
    <x v="1"/>
    <m/>
  </r>
  <r>
    <n v="1023046357"/>
    <x v="0"/>
    <d v="2022-03-03T00:00:00"/>
    <d v="2022-09-26T00:00:00"/>
    <e v="#REF!"/>
    <e v="#N/A"/>
    <m/>
    <x v="0"/>
    <x v="4"/>
    <x v="4"/>
    <s v="RC"/>
    <s v="LIAM"/>
    <s v="FABIAN"/>
    <s v="PRIETO"/>
    <s v="PORTELA"/>
    <s v="LIAM FABIAN PRIETO PORTELA"/>
    <d v="2021-03-07T00:00:00"/>
    <x v="3"/>
    <n v="9"/>
    <n v="19"/>
    <s v="1 AÑOS 9 MESES 1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98 C #8 ESTE 06 SUR"/>
    <n v="3102567375"/>
    <m/>
    <x v="0"/>
    <s v="NO SE AUTORECONOCE EN NINGUNO DE LOS ANTERIORES"/>
    <x v="0"/>
    <x v="14"/>
    <s v="NO_"/>
    <s v="NO_"/>
    <s v="a. Pertenecientes a hogares con puntaje SISBEN"/>
    <m/>
    <s v="MADRE"/>
    <s v="CC"/>
    <n v="1001200812"/>
    <s v="MABEL"/>
    <s v="VANESSA"/>
    <s v="PORTELA"/>
    <s v="REY"/>
    <d v="2002-04-20T00:00:00"/>
    <s v="COLOMBIA"/>
    <s v="BOGOTÁ"/>
    <s v="BOGOTÁ"/>
    <s v="CC"/>
    <n v="1000721829"/>
    <s v="BRAYAN "/>
    <s v="FABIAN"/>
    <s v="PRIETO"/>
    <s v="PRIETO"/>
    <d v="2000-06-08T00:00:00"/>
    <n v="22"/>
    <s v="COLOMBIA"/>
    <s v="BOGOTÁ"/>
    <s v="BOGOTÁ"/>
    <s v="CC"/>
    <n v="1001200812"/>
    <s v="MABEL"/>
    <s v="VANESSA"/>
    <s v="PORTELA"/>
    <s v="REY"/>
    <d v="2002-04-20T00:00:00"/>
    <n v="20"/>
    <s v="COLOMBIA"/>
    <s v="BOGOTÁ"/>
    <s v="BOGOTÁ"/>
    <x v="0"/>
    <x v="6"/>
    <x v="0"/>
    <d v="2022-03-01T00:00:00"/>
    <s v="SI_"/>
    <x v="1"/>
    <m/>
    <s v="NO_"/>
    <m/>
    <m/>
    <n v="39"/>
    <s v="3050 GR"/>
    <n v="50"/>
    <m/>
    <n v="6"/>
    <n v="11"/>
    <m/>
    <x v="1"/>
    <m/>
  </r>
  <r>
    <n v="1034322680"/>
    <x v="0"/>
    <d v="2022-03-03T00:00:00"/>
    <d v="2022-05-16T00:00:00"/>
    <e v="#REF!"/>
    <e v="#N/A"/>
    <m/>
    <x v="0"/>
    <x v="3"/>
    <x v="3"/>
    <s v="RC"/>
    <s v="NATALIA"/>
    <s v="PAOLA"/>
    <s v="GUERRA"/>
    <s v="SALAZAR"/>
    <s v="NATALIA PAOLA GUERRA SALAZAR"/>
    <d v="2021-08-22T00:00:00"/>
    <x v="3"/>
    <n v="4"/>
    <n v="4"/>
    <s v="1 AÑOS 4 MESES 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6"/>
    <m/>
    <s v="CRA 3 B #98 41 SUR"/>
    <n v="3169513941"/>
    <m/>
    <x v="0"/>
    <s v="NO SE AUTORECONOCE EN NINGUNO DE LOS ANTERIORES"/>
    <x v="0"/>
    <x v="12"/>
    <s v="NO_"/>
    <s v="NO_"/>
    <s v="a. Pertenecientes a hogares con puntaje SISBEN"/>
    <m/>
    <s v="MADRE"/>
    <s v="CC"/>
    <n v="1046400667"/>
    <s v="LUCELYS"/>
    <s v="DEL CARMEN"/>
    <s v="SALAZAR"/>
    <s v="GARCIA"/>
    <d v="1989-06-10T00:00:00"/>
    <s v="COLOMBIA"/>
    <s v="BOLÍVAR"/>
    <s v="CARTAGENA DE INDIAS"/>
    <m/>
    <m/>
    <m/>
    <m/>
    <m/>
    <m/>
    <m/>
    <s v=""/>
    <m/>
    <m/>
    <m/>
    <s v="CC"/>
    <n v="1046400667"/>
    <s v="LUCELYS"/>
    <s v="DEL CARMEN"/>
    <s v="SALAZAR"/>
    <s v="GARCIA"/>
    <d v="1989-06-10T00:00:00"/>
    <n v="33"/>
    <s v="COLOMBIA"/>
    <s v="BOLÍVAR"/>
    <s v="CARTAGENA DE INDIAS"/>
    <x v="1"/>
    <x v="10"/>
    <x v="0"/>
    <d v="2022-03-01T00:00:00"/>
    <s v="SI_"/>
    <x v="1"/>
    <m/>
    <s v="NO_"/>
    <m/>
    <m/>
    <n v="39"/>
    <n v="2725"/>
    <n v="49"/>
    <m/>
    <n v="6"/>
    <n v="6"/>
    <m/>
    <x v="1"/>
    <m/>
  </r>
  <r>
    <n v="1243858572"/>
    <x v="1"/>
    <d v="2022-03-03T00:00:00"/>
    <m/>
    <m/>
    <m/>
    <m/>
    <x v="0"/>
    <x v="4"/>
    <x v="4"/>
    <s v="RC"/>
    <s v="ALAN "/>
    <s v="STICK"/>
    <s v="ALARCON"/>
    <s v="PANQUEBA"/>
    <s v="ALAN  STICK ALARCON PANQUEBA"/>
    <d v="2020-03-08T00:00:00"/>
    <x v="2"/>
    <n v="9"/>
    <n v="18"/>
    <s v="2 AÑOS 9 MESES 1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CRA 9 C ESTE #106-26 SUR"/>
    <n v="3202184043"/>
    <m/>
    <x v="0"/>
    <s v="NO SE AUTORECONOCE EN NINGUNO DE LOS ANTERIORES"/>
    <x v="2"/>
    <x v="1"/>
    <s v="NO_"/>
    <s v="NO_"/>
    <s v="o. Ingresos iguales o inferiores a 1.5 Smlv"/>
    <m/>
    <s v="ABUELO(A)"/>
    <s v="CC"/>
    <n v="79558049"/>
    <s v="CRISTO"/>
    <s v="JESUS"/>
    <s v="PANQUEBA"/>
    <m/>
    <d v="1972-09-27T00:00:00"/>
    <s v="COLOMBIA"/>
    <s v="BOYACÁ"/>
    <s v="SAN MATEO"/>
    <m/>
    <m/>
    <m/>
    <m/>
    <m/>
    <m/>
    <m/>
    <s v=""/>
    <m/>
    <m/>
    <m/>
    <s v="CC"/>
    <n v="1022421217"/>
    <s v="LINA"/>
    <s v="PATRICIA"/>
    <s v="PANQUEBA"/>
    <s v="BARRERA"/>
    <d v="1996-05-02T00:00:00"/>
    <n v="26"/>
    <s v="COLOMBIA"/>
    <s v="BOGOTÁ"/>
    <s v="BOGOTÁ"/>
    <x v="0"/>
    <x v="2"/>
    <x v="0"/>
    <d v="2022-03-11T00:00:00"/>
    <s v="SI_"/>
    <x v="0"/>
    <m/>
    <s v="NO_"/>
    <m/>
    <m/>
    <n v="38"/>
    <n v="2910"/>
    <n v="49"/>
    <m/>
    <n v="4"/>
    <n v="8"/>
    <m/>
    <x v="1"/>
    <m/>
  </r>
  <r>
    <n v="1013155990"/>
    <x v="0"/>
    <d v="2022-03-03T00:00:00"/>
    <d v="2022-04-04T00:00:00"/>
    <e v="#REF!"/>
    <e v="#N/A"/>
    <m/>
    <x v="0"/>
    <x v="1"/>
    <x v="1"/>
    <s v="RC"/>
    <s v="LIAM"/>
    <s v="SAMUEL"/>
    <s v="CIRO"/>
    <s v="GALLEGO"/>
    <s v="LIAM SAMUEL CIRO GALLEGO"/>
    <d v="2020-09-29T00:00:00"/>
    <x v="2"/>
    <n v="2"/>
    <n v="27"/>
    <s v="2 AÑOS 2 MESES 2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CALLE 106 SUR #9 A 07 ESTE"/>
    <n v="3022009423"/>
    <m/>
    <x v="0"/>
    <s v="NO SE AUTORECONOCE EN NINGUNO DE LOS ANTERIORES"/>
    <x v="0"/>
    <x v="4"/>
    <s v="NO_"/>
    <s v="NO_"/>
    <s v="a. Pertenecientes a hogares con puntaje SISBEN"/>
    <m/>
    <s v="MADRE"/>
    <s v="CC"/>
    <n v="1023033350"/>
    <s v="ANYI"/>
    <s v="JULIETH"/>
    <s v="GALLEGO"/>
    <s v="MORALES"/>
    <d v="1999-01-17T00:00:00"/>
    <s v="COLOMBIA"/>
    <s v="BOGOTÁ"/>
    <s v="BOGOTÁ"/>
    <m/>
    <m/>
    <m/>
    <m/>
    <m/>
    <m/>
    <m/>
    <s v=""/>
    <m/>
    <m/>
    <m/>
    <s v="CC"/>
    <n v="1023033350"/>
    <s v="ANYI"/>
    <s v="JULIETH"/>
    <s v="GALLEGO"/>
    <s v="MORALES"/>
    <d v="1999-01-17T00:00:00"/>
    <n v="23"/>
    <s v="COLOMBIA"/>
    <s v="BOGOTÁ"/>
    <s v="BOGOTÁ"/>
    <x v="1"/>
    <x v="1"/>
    <x v="0"/>
    <d v="2022-03-11T00:00:00"/>
    <s v="SI_"/>
    <x v="2"/>
    <n v="1"/>
    <s v="NO_"/>
    <m/>
    <m/>
    <m/>
    <m/>
    <m/>
    <m/>
    <n v="5"/>
    <n v="10"/>
    <m/>
    <x v="1"/>
    <m/>
  </r>
  <r>
    <n v="1031544861"/>
    <x v="0"/>
    <d v="2022-03-03T00:00:00"/>
    <d v="2022-08-22T00:00:00"/>
    <e v="#REF!"/>
    <e v="#N/A"/>
    <m/>
    <x v="0"/>
    <x v="4"/>
    <x v="4"/>
    <s v="RC"/>
    <s v="DALIT"/>
    <m/>
    <s v="GIL"/>
    <s v="TARQUINO"/>
    <s v="DALIT  GIL TARQUINO"/>
    <d v="2020-09-16T00:00:00"/>
    <x v="2"/>
    <n v="3"/>
    <n v="10"/>
    <s v="2 AÑOS 3 MESES 1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CRA 8 C ESTE #104-26 SUR"/>
    <n v="3108024303"/>
    <m/>
    <x v="0"/>
    <s v="NO SE AUTORECONOCE EN NINGUNO DE LOS ANTERIORES"/>
    <x v="1"/>
    <x v="1"/>
    <s v="NO_"/>
    <s v="NO_"/>
    <s v="o. Ingresos iguales o inferiores a 1.5 Smlv"/>
    <m/>
    <s v="MADRE"/>
    <s v="CC"/>
    <n v="1069713955"/>
    <s v="LUZ"/>
    <s v="ANGELA"/>
    <s v="TARQUINO"/>
    <m/>
    <d v="1985-09-25T00:00:00"/>
    <s v="COLOMBIA"/>
    <s v="BOGOTÁ"/>
    <s v="BOGOTÁ"/>
    <s v="CC"/>
    <n v="79670572"/>
    <s v="EDWARD"/>
    <s v="ARMANDO"/>
    <s v="GIL"/>
    <s v="SANDOVAL"/>
    <d v="1975-07-21T00:00:00"/>
    <n v="47"/>
    <s v="COLOMBIA"/>
    <s v="BOGOTÁ"/>
    <s v="BOGOTÁ"/>
    <s v="CC"/>
    <n v="1069713955"/>
    <s v="LUZ"/>
    <s v="ANGELA"/>
    <s v="TARQUINO"/>
    <m/>
    <d v="1985-09-25T00:00:00"/>
    <n v="37"/>
    <s v="COLOMBIA"/>
    <s v="BOGOTÁ"/>
    <s v="BOGOTÁ"/>
    <x v="2"/>
    <x v="11"/>
    <x v="0"/>
    <d v="2022-03-11T00:00:00"/>
    <s v="SI_"/>
    <x v="0"/>
    <m/>
    <s v="NO_"/>
    <m/>
    <m/>
    <m/>
    <m/>
    <m/>
    <m/>
    <n v="6"/>
    <n v="17"/>
    <m/>
    <x v="1"/>
    <m/>
  </r>
  <r>
    <n v="6042020114"/>
    <x v="1"/>
    <d v="2022-03-03T00:00:00"/>
    <m/>
    <m/>
    <m/>
    <s v="SAN JUAN A"/>
    <x v="0"/>
    <x v="4"/>
    <x v="4"/>
    <s v="ANM"/>
    <s v="ROBERT"/>
    <s v="LENOEL"/>
    <s v="LOPEZ"/>
    <s v="RONDON"/>
    <s v="ROBERT LENOEL LOPEZ RONDON"/>
    <d v="2020-04-06T00:00:00"/>
    <x v="2"/>
    <n v="8"/>
    <n v="20"/>
    <s v="2 AÑOS 8 MESES 20 DIAS "/>
    <x v="2"/>
    <x v="1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7"/>
    <m/>
    <s v="CALLE 73 C #14 I 25 SUR"/>
    <n v="3213856899"/>
    <m/>
    <x v="1"/>
    <s v="NO SE AUTORECONOCE EN NINGUNO DE LOS ANTERIORES"/>
    <x v="1"/>
    <x v="1"/>
    <s v="NO_"/>
    <s v="NO_"/>
    <s v="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"/>
    <m/>
    <s v="MADRE"/>
    <s v="SIN DOCUMENTO"/>
    <m/>
    <s v="RUDT"/>
    <s v="JOSEFINA"/>
    <s v="RONDON"/>
    <s v="VOLCANES"/>
    <d v="1989-03-13T00:00:00"/>
    <s v="VENEZUELA"/>
    <s v="EXTERIOR"/>
    <m/>
    <s v="SIN DOCUMENTO"/>
    <m/>
    <s v="ROBERT"/>
    <m/>
    <s v="LOPEZ"/>
    <m/>
    <d v="1998-05-23T00:00:00"/>
    <n v="24"/>
    <s v="VENEZUELA"/>
    <s v="EXTERIOR"/>
    <m/>
    <s v="SIN DOCUMENTO"/>
    <m/>
    <s v="RUDT"/>
    <s v="JOSEFINA"/>
    <s v="RONDON"/>
    <s v="VOLCANES"/>
    <d v="1989-03-13T00:00:00"/>
    <n v="33"/>
    <s v="VENEZUELA"/>
    <s v="EXTERIOR"/>
    <m/>
    <x v="3"/>
    <x v="12"/>
    <x v="0"/>
    <d v="2022-03-11T00:00:00"/>
    <s v="SI_"/>
    <x v="0"/>
    <m/>
    <s v="NO_"/>
    <m/>
    <m/>
    <m/>
    <m/>
    <m/>
    <m/>
    <m/>
    <m/>
    <m/>
    <x v="1"/>
    <m/>
  </r>
  <r>
    <n v="1023049107"/>
    <x v="1"/>
    <d v="2022-11-15T00:00:00"/>
    <m/>
    <s v="ALEJANDRINA DELGADO MONGUI"/>
    <m/>
    <m/>
    <x v="0"/>
    <x v="0"/>
    <x v="0"/>
    <s v="RC"/>
    <s v="EILYN"/>
    <s v="JOHANNA"/>
    <s v="RODRIGUEZ"/>
    <s v="DELGADO"/>
    <s v="EILYN JOHANNA RODRIGUEZ DELGADO"/>
    <d v="2022-09-12T00:00:00"/>
    <x v="1"/>
    <n v="3"/>
    <n v="14"/>
    <s v="0 AÑOS 3 MESES 14 DIAS "/>
    <x v="1"/>
    <x v="0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22"/>
    <m/>
    <s v="CLL E 114 A SUR 8B ESTE 00-42"/>
    <n v="3209971524"/>
    <m/>
    <x v="0"/>
    <s v="NO SE AUTORECONOCE EN NINGUNO DE LOS ANTERIORES"/>
    <x v="1"/>
    <x v="1"/>
    <s v="NO_"/>
    <s v="NO_"/>
    <s v="o. Ingresos iguales o inferiores a 1.5 Smlv"/>
    <s v="NO_"/>
    <s v="MADRE"/>
    <s v="CC"/>
    <n v="1002646913"/>
    <s v="ALEJANDRINA"/>
    <m/>
    <s v="DELGADO"/>
    <s v="MONGUI"/>
    <d v="2003-12-26T00:00:00"/>
    <s v="COLOMBIA"/>
    <s v="BOGOTÁ"/>
    <s v="BOGOTÁ"/>
    <m/>
    <m/>
    <m/>
    <m/>
    <m/>
    <m/>
    <m/>
    <s v=""/>
    <m/>
    <m/>
    <m/>
    <s v="CC"/>
    <n v="1002646913"/>
    <s v="ALEJANDRINA"/>
    <m/>
    <s v="DELGADO"/>
    <s v="MONGUI"/>
    <d v="2003-12-26T00:00:00"/>
    <n v="19"/>
    <s v="COLOMBIA"/>
    <s v="BOGOTÁ"/>
    <s v="BOGOTÁ"/>
    <x v="0"/>
    <x v="3"/>
    <x v="0"/>
    <d v="2022-11-15T00:00:00"/>
    <s v="SI_"/>
    <x v="2"/>
    <n v="1"/>
    <s v="NO_"/>
    <s v="SI"/>
    <m/>
    <n v="39"/>
    <n v="3560"/>
    <n v="51"/>
    <s v="SI_"/>
    <n v="2"/>
    <n v="2"/>
    <m/>
    <x v="0"/>
    <m/>
  </r>
  <r>
    <n v="1002646913"/>
    <x v="0"/>
    <d v="2022-03-03T00:00:00"/>
    <d v="2022-11-15T00:00:00"/>
    <m/>
    <m/>
    <m/>
    <x v="0"/>
    <x v="0"/>
    <x v="0"/>
    <s v="CC"/>
    <s v="ALEJANDRINA "/>
    <m/>
    <s v="DELGADO"/>
    <s v="MONGUI"/>
    <s v="ALEJANDRINA   DELGADO MONGUI"/>
    <d v="2003-12-26T00:00:00"/>
    <x v="16"/>
    <n v="0"/>
    <n v="0"/>
    <s v="19 AÑOS 0 MESES 0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CLL E 114 A SUR 8B ESTE 00-42"/>
    <n v="3209971524"/>
    <m/>
    <x v="0"/>
    <s v="NO SE AUTORECONOCE EN NINGUNO DE LOS ANTERIORES"/>
    <x v="1"/>
    <x v="11"/>
    <s v="NO_"/>
    <s v="NO_"/>
    <s v="o. Ingresos iguales o inferiores a 1.5 Smlv"/>
    <s v="NO_"/>
    <s v="OTRO"/>
    <s v="CC"/>
    <n v="53011181"/>
    <s v="NINI"/>
    <s v="JHOANA"/>
    <s v="URREA"/>
    <s v="SIERRA"/>
    <d v="1983-03-09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3"/>
    <x v="0"/>
    <d v="2022-03-05T00:00:00"/>
    <s v="NO_"/>
    <x v="0"/>
    <m/>
    <m/>
    <m/>
    <m/>
    <m/>
    <m/>
    <m/>
    <m/>
    <m/>
    <m/>
    <n v="11"/>
    <x v="0"/>
    <m/>
  </r>
  <r>
    <n v="1023048396"/>
    <x v="1"/>
    <d v="2022-05-24T00:00:00"/>
    <m/>
    <m/>
    <m/>
    <m/>
    <x v="0"/>
    <x v="2"/>
    <x v="2"/>
    <s v="RC"/>
    <s v="ERICK "/>
    <s v="ESTEBAN"/>
    <s v="MORENO"/>
    <s v="RIAÑO"/>
    <s v="ERICK  ESTEBAN MORENO RIAÑO"/>
    <d v="2022-05-01T00:00:00"/>
    <x v="1"/>
    <n v="7"/>
    <n v="25"/>
    <s v="0 AÑOS 7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CLL 110 SUR 8D ESTE 51"/>
    <n v="3103205133"/>
    <n v="3136104839"/>
    <x v="0"/>
    <s v="NO SE AUTORECONOCE EN NINGUNO DE LOS ANTERIORES"/>
    <x v="1"/>
    <x v="1"/>
    <s v="NO_"/>
    <s v="NO_"/>
    <s v="o. Ingresos iguales o inferiores a 1.5 Smlv"/>
    <s v="SI_"/>
    <s v="MADRE"/>
    <s v="CC"/>
    <n v="1000990097"/>
    <s v="DAYANA "/>
    <s v="YICET "/>
    <s v="RIAÑO "/>
    <s v="MONSALVE "/>
    <d v="2001-10-28T00:00:00"/>
    <s v="COLOMBIA"/>
    <s v="BOGOTÁ"/>
    <s v="BOGOTÁ"/>
    <s v="CC"/>
    <n v="1022948303"/>
    <s v="JOHAN "/>
    <s v="SANTIAGO"/>
    <s v="MORENO"/>
    <s v="CASTRO"/>
    <d v="1998-08-29T00:00:00"/>
    <n v="24"/>
    <s v="COLOMBIA"/>
    <s v="BOGOTÁ"/>
    <s v="BOGOTÁ"/>
    <m/>
    <n v="1000990097"/>
    <s v="DAYANA "/>
    <s v="YICET "/>
    <s v="RIAÑO "/>
    <s v="MONSALVE "/>
    <d v="2001-10-28T00:00:00"/>
    <n v="21"/>
    <s v="COLOMBIA"/>
    <s v="BOGOTÁ"/>
    <s v="BOGOTÁ"/>
    <x v="1"/>
    <x v="4"/>
    <x v="2"/>
    <s v="SI_"/>
    <m/>
    <x v="1"/>
    <m/>
    <m/>
    <m/>
    <m/>
    <m/>
    <m/>
    <m/>
    <m/>
    <m/>
    <m/>
    <m/>
    <x v="2"/>
    <m/>
  </r>
  <r>
    <n v="1000990097"/>
    <x v="0"/>
    <d v="2022-03-03T00:00:00"/>
    <d v="2022-05-23T00:00:00"/>
    <e v="#REF!"/>
    <e v="#N/A"/>
    <m/>
    <x v="0"/>
    <x v="0"/>
    <x v="0"/>
    <s v="CC"/>
    <s v="DAYANA "/>
    <s v="YICET "/>
    <s v="RIAÑO "/>
    <s v="MONSALVE "/>
    <s v="DAYANA  YICET  RIAÑO  MONSALVE "/>
    <d v="2001-10-28T00:00:00"/>
    <x v="15"/>
    <n v="1"/>
    <n v="28"/>
    <s v="21 AÑOS 1 MESES 28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CLL 110 SUR 8D ESTE 51"/>
    <n v="3103205133"/>
    <n v="3136104839"/>
    <x v="0"/>
    <s v="NO SE AUTORECONOCE EN NINGUNO DE LOS ANTERIORES"/>
    <x v="0"/>
    <x v="5"/>
    <s v="NO_"/>
    <s v="NO_"/>
    <s v="a. Pertenecientes a hogares con puntaje SISBEN"/>
    <s v="NO_"/>
    <s v="CONYUGE"/>
    <s v="CC"/>
    <n v="1022948303"/>
    <s v="JOHAN "/>
    <s v="SANTIAGO"/>
    <s v="MORENO"/>
    <s v="CASTRO"/>
    <d v="1998-08-29T00:00:00"/>
    <s v="COLOMBIA"/>
    <s v="BOGOTÁ"/>
    <s v="BOGOTÁ"/>
    <s v="CC"/>
    <n v="80366091"/>
    <s v="HECTOR "/>
    <s v="JULIO "/>
    <s v="RIAÑO"/>
    <s v="AREVALO"/>
    <d v="1966-12-22T00:00:00"/>
    <n v="56"/>
    <s v="COLOMBIA"/>
    <s v="CUNDINAMARCA"/>
    <s v="VILLAPINZÓN"/>
    <s v="CC"/>
    <n v="52129566"/>
    <s v="MARIA"/>
    <s v="CRISTINA "/>
    <s v="MONSALVE "/>
    <s v="CAICEDO "/>
    <d v="1973-10-10T00:00:00"/>
    <n v="49"/>
    <s v="COLOMBIA"/>
    <s v="BOGOTÁ"/>
    <s v="BOGOTÁ"/>
    <x v="0"/>
    <x v="4"/>
    <x v="0"/>
    <d v="2022-02-27T00:00:00"/>
    <s v="NO_"/>
    <x v="0"/>
    <m/>
    <m/>
    <m/>
    <m/>
    <m/>
    <m/>
    <m/>
    <m/>
    <m/>
    <m/>
    <n v="31.2"/>
    <x v="0"/>
    <m/>
  </r>
  <r>
    <n v="1023049067"/>
    <x v="1"/>
    <d v="2022-11-04T00:00:00"/>
    <m/>
    <s v="JULIETH DANIELA GONZALEZ  MACIAS"/>
    <m/>
    <m/>
    <x v="0"/>
    <x v="0"/>
    <x v="0"/>
    <s v="RC"/>
    <s v="EITHAN"/>
    <s v="JOEL"/>
    <s v="AGUIRRE"/>
    <s v="GONZALEZ"/>
    <s v="EITHAN JOEL AGUIRRE GONZALEZ"/>
    <d v="2022-09-05T00:00:00"/>
    <x v="1"/>
    <n v="3"/>
    <n v="21"/>
    <s v="0 AÑOS 3 MESES 21 DIAS "/>
    <x v="1"/>
    <x v="1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5"/>
    <m/>
    <s v="CRA 6 F ESTE #97 F 10 SUR"/>
    <n v="3152238135"/>
    <n v="3176032597"/>
    <x v="0"/>
    <s v="NO SE AUTORECONOCE EN NINGUNO DE LOS ANTERIORES"/>
    <x v="1"/>
    <x v="1"/>
    <s v="NO_"/>
    <s v="NO_"/>
    <s v="a. Pertenecientes a hogares con puntaje SISBEN"/>
    <m/>
    <s v="MADRE"/>
    <s v="CC"/>
    <n v="1000257754"/>
    <s v="JULIETH"/>
    <s v="DANIELA"/>
    <s v="GONZALEZ "/>
    <s v="MACIAS"/>
    <d v="2001-09-06T00:00:00"/>
    <s v="COLOMBIA"/>
    <s v="BOGOTÁ"/>
    <s v="BOGOTÁ"/>
    <s v="CC"/>
    <n v="1023010654"/>
    <s v="RICARDO"/>
    <m/>
    <s v="AGUIRRE"/>
    <s v="HERNANDEZ"/>
    <d v="1996-02-11T00:00:00"/>
    <n v="26"/>
    <s v="COLOMBIA"/>
    <s v="BOGOTÁ"/>
    <s v="BOGOTÁ"/>
    <s v="CC"/>
    <n v="1000257754"/>
    <s v="JULIETH"/>
    <s v="DANIELA"/>
    <s v="GONZALEZ"/>
    <s v="MACIAS"/>
    <d v="2001-09-06T00:00:00"/>
    <n v="21"/>
    <s v="COLOMBIA"/>
    <s v="BOGOTÁ"/>
    <s v="BOGOTÁ"/>
    <x v="0"/>
    <x v="6"/>
    <x v="0"/>
    <d v="2022-10-04T00:00:00"/>
    <s v="SI_"/>
    <x v="1"/>
    <m/>
    <s v="NO_"/>
    <s v="SI"/>
    <m/>
    <n v="39"/>
    <n v="2730"/>
    <n v="51"/>
    <s v="SI_"/>
    <n v="2"/>
    <n v="2"/>
    <m/>
    <x v="0"/>
    <m/>
  </r>
  <r>
    <n v="1000257754"/>
    <x v="0"/>
    <d v="2022-04-20T00:00:00"/>
    <d v="2022-11-04T00:00:00"/>
    <m/>
    <e v="#N/A"/>
    <m/>
    <x v="0"/>
    <x v="0"/>
    <x v="0"/>
    <s v="CC"/>
    <s v="JULIETH"/>
    <s v="DANIELA "/>
    <s v="GONZALEZ"/>
    <s v="MACIAS"/>
    <s v="JULIETH DANIELA  GONZALEZ MACIAS"/>
    <d v="2001-09-06T00:00:00"/>
    <x v="15"/>
    <n v="3"/>
    <n v="20"/>
    <s v="21 AÑOS 3 MESES 20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6 F ESTE 97F SUR 10"/>
    <n v="3152238135"/>
    <n v="3176032597"/>
    <x v="0"/>
    <s v="NO SE AUTORECONOCE EN NINGUNO DE LOS ANTERIORES"/>
    <x v="0"/>
    <x v="3"/>
    <s v="NO_"/>
    <s v="NO_"/>
    <s v="a. Pertenecientes a hogares con puntaje SISBEN"/>
    <s v="NO_"/>
    <s v="MADRE"/>
    <s v="CC"/>
    <n v="52289466"/>
    <s v="MARIA "/>
    <s v="CRISTINA "/>
    <s v="MACIAS"/>
    <s v="OVIEDO "/>
    <d v="1980-03-01T00:00:00"/>
    <s v="COLOMBIA"/>
    <s v="TOLIMA"/>
    <s v="IBAGUÉ"/>
    <m/>
    <m/>
    <m/>
    <m/>
    <m/>
    <m/>
    <m/>
    <s v=""/>
    <m/>
    <m/>
    <m/>
    <m/>
    <m/>
    <m/>
    <m/>
    <m/>
    <m/>
    <m/>
    <s v=""/>
    <m/>
    <m/>
    <m/>
    <x v="1"/>
    <x v="1"/>
    <x v="0"/>
    <d v="2022-04-20T00:00:00"/>
    <s v="SI_"/>
    <x v="0"/>
    <m/>
    <m/>
    <m/>
    <m/>
    <m/>
    <m/>
    <m/>
    <m/>
    <m/>
    <m/>
    <n v="18"/>
    <x v="0"/>
    <m/>
  </r>
  <r>
    <n v="1023035592"/>
    <x v="0"/>
    <d v="2022-03-03T00:00:00"/>
    <d v="2022-04-20T00:00:00"/>
    <e v="#REF!"/>
    <e v="#N/A"/>
    <m/>
    <x v="0"/>
    <x v="0"/>
    <x v="0"/>
    <s v="CC"/>
    <s v="ERIKA "/>
    <s v="JHOANNA"/>
    <s v="BENITEZ "/>
    <s v="LEON"/>
    <s v="ERIKA  JHOANNA BENITEZ  LEON"/>
    <d v="1999-04-21T00:00:00"/>
    <x v="17"/>
    <n v="8"/>
    <n v="5"/>
    <s v="23 AÑOS 8 MESES 5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8"/>
    <m/>
    <s v="CLL 97A BIS SUR # 0-57 ESTE"/>
    <n v="3158035041"/>
    <m/>
    <x v="0"/>
    <s v="NO SE AUTORECONOCE EN NINGUNO DE LOS ANTERIORES"/>
    <x v="1"/>
    <x v="12"/>
    <s v="NO_"/>
    <s v="NO_"/>
    <s v="o. Ingresos iguales o inferiores a 1.5 Smlv"/>
    <s v="NO_"/>
    <s v="ABUELO(A)"/>
    <s v="CC"/>
    <n v="20368154"/>
    <s v="CARMEN"/>
    <s v="JULIA"/>
    <s v="BELTRAN"/>
    <s v="PRIETO"/>
    <d v="1953-11-01T00:00:00"/>
    <s v="COLOMBIA"/>
    <s v="CUNDINAMARCA"/>
    <s v="ANOLAIMA"/>
    <m/>
    <m/>
    <m/>
    <m/>
    <m/>
    <m/>
    <m/>
    <s v=""/>
    <m/>
    <m/>
    <m/>
    <s v="CC"/>
    <n v="52543873"/>
    <s v="DORIS"/>
    <s v="ADRIANA"/>
    <s v="LEON"/>
    <s v="BELTRAN"/>
    <d v="1981-03-04T00:00:00"/>
    <n v="41"/>
    <s v="COLOMBIA"/>
    <s v="CUNDINAMARCA"/>
    <s v="ANOLAIMA"/>
    <x v="0"/>
    <x v="0"/>
    <x v="0"/>
    <d v="2022-02-28T00:00:00"/>
    <s v="SI_"/>
    <x v="0"/>
    <m/>
    <m/>
    <m/>
    <m/>
    <m/>
    <m/>
    <m/>
    <m/>
    <m/>
    <m/>
    <n v="27"/>
    <x v="0"/>
    <m/>
  </r>
  <r>
    <n v="1243762682"/>
    <x v="0"/>
    <d v="2022-05-10T00:00:00"/>
    <d v="2022-10-03T00:00:00"/>
    <e v="#REF!"/>
    <e v="#N/A"/>
    <s v="TRIANGULO"/>
    <x v="0"/>
    <x v="2"/>
    <x v="2"/>
    <s v="CC"/>
    <s v="MIGUEL ANGEL"/>
    <s v="JOHN MICHAEL"/>
    <s v="AGUDELO"/>
    <s v="CABANZO"/>
    <s v="MIGUEL ANGEL JOHN MICHAEL AGUDELO CABANZO"/>
    <d v="2022-01-18T00:00:00"/>
    <x v="1"/>
    <n v="11"/>
    <n v="8"/>
    <s v="0 AÑOS 11 MESES 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m/>
    <m/>
    <x v="0"/>
    <s v="NO SE AUTORECONOCE EN NINGUNO DE LOS ANTERIORES"/>
    <x v="1"/>
    <x v="1"/>
    <s v="NO_"/>
    <s v="NO_"/>
    <s v="o. Ingresos iguales o inferiores a 1.5 Smlv"/>
    <s v="NO_"/>
    <s v="MADRE"/>
    <s v="CC"/>
    <n v="1010042437"/>
    <s v="YESSICA"/>
    <s v="KATERINE"/>
    <s v="CABANZO"/>
    <s v="VARGAS "/>
    <d v="2000-01-16T00:00:00"/>
    <s v="COLOMBIA"/>
    <s v="BOGOTÁ"/>
    <s v="BOGOTÁ"/>
    <s v="CC"/>
    <n v="79701102"/>
    <s v="JOHN "/>
    <s v="FREDY"/>
    <s v="AGUDELO"/>
    <s v="ARROYAVE"/>
    <d v="1970-11-29T00:00:00"/>
    <n v="52"/>
    <s v="COLOMBIA"/>
    <s v="CALDAS"/>
    <s v="MANIZALES"/>
    <s v="CC"/>
    <n v="1010042437"/>
    <s v="YESSICA"/>
    <s v="KATERINE"/>
    <s v="CABANZO"/>
    <s v="VARGAS "/>
    <m/>
    <s v=""/>
    <s v="COLOMBIA"/>
    <s v="BOGOTÁ"/>
    <s v="BOGOTÁ"/>
    <x v="0"/>
    <x v="6"/>
    <x v="0"/>
    <d v="2022-05-06T00:00:00"/>
    <m/>
    <x v="1"/>
    <m/>
    <m/>
    <m/>
    <m/>
    <m/>
    <n v="2995"/>
    <n v="50"/>
    <m/>
    <m/>
    <m/>
    <m/>
    <x v="2"/>
    <m/>
  </r>
  <r>
    <n v="1000362531"/>
    <x v="0"/>
    <d v="2022-03-03T00:00:00"/>
    <d v="2022-05-09T00:00:00"/>
    <e v="#REF!"/>
    <e v="#N/A"/>
    <m/>
    <x v="0"/>
    <x v="0"/>
    <x v="0"/>
    <s v="CC"/>
    <s v="JENNY"/>
    <s v="CAROLINA"/>
    <s v="GUZMAN"/>
    <s v="TIBAQUIRA"/>
    <s v="JENNY CAROLINA GUZMAN TIBAQUIRA"/>
    <d v="2000-08-23T00:00:00"/>
    <x v="18"/>
    <n v="4"/>
    <n v="3"/>
    <s v="22 AÑOS 4 MESES 3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100B SUR 6F ESTE 10"/>
    <n v="3012911920"/>
    <m/>
    <x v="0"/>
    <s v="NO SE AUTORECONOCE EN NINGUNO DE LOS ANTERIORES"/>
    <x v="0"/>
    <x v="5"/>
    <s v="NO_"/>
    <s v="NO_"/>
    <s v="a. Pertenecientes a hogares con puntaje SISBEN"/>
    <s v="NO_"/>
    <s v="CONYUGE"/>
    <s v="CC"/>
    <n v="1023030438"/>
    <s v="JHONATAN"/>
    <m/>
    <s v="GARZON"/>
    <s v="PATIÑO"/>
    <d v="1998-09-26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3"/>
    <x v="1"/>
    <d v="2022-02-27T00:00:00"/>
    <s v="NO_"/>
    <x v="0"/>
    <m/>
    <m/>
    <m/>
    <m/>
    <m/>
    <m/>
    <m/>
    <m/>
    <m/>
    <m/>
    <n v="24"/>
    <x v="0"/>
    <m/>
  </r>
  <r>
    <n v="1022940608"/>
    <x v="1"/>
    <d v="2022-10-18T00:00:00"/>
    <m/>
    <s v="JUNIOR OLIVERA"/>
    <m/>
    <m/>
    <x v="0"/>
    <x v="0"/>
    <x v="0"/>
    <s v="CC"/>
    <s v="LEIDY"/>
    <s v="YINETH"/>
    <s v="ABAUNZA"/>
    <s v="VARGAS"/>
    <s v="LEIDY YINETH ABAUNZA VARGAS"/>
    <d v="1988-02-17T00:00:00"/>
    <x v="19"/>
    <n v="10"/>
    <n v="9"/>
    <s v="34 AÑOS 10 MESES 9 DIAS "/>
    <x v="0"/>
    <x v="0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9"/>
    <m/>
    <s v="CALLE101SUR6A15ESTE"/>
    <n v="3204965581"/>
    <n v="3132806528"/>
    <x v="0"/>
    <s v="NO SE AUTORECONOCE EN NINGUNO DE LOS ANTERIORES"/>
    <x v="0"/>
    <x v="12"/>
    <s v="NO_"/>
    <s v="NO_"/>
    <s v="a. Pertenecientes a hogares con puntaje SISBEN"/>
    <s v="NO_"/>
    <s v="CONYUGE"/>
    <s v="CC"/>
    <n v="1033684992"/>
    <s v="HUGO"/>
    <s v="ARMANDO"/>
    <s v="DUPRAT"/>
    <s v="SANCHEZ"/>
    <d v="1986-12-11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5"/>
    <x v="0"/>
    <d v="2022-10-14T00:00:00"/>
    <s v="SI_"/>
    <x v="0"/>
    <m/>
    <m/>
    <m/>
    <m/>
    <m/>
    <m/>
    <m/>
    <m/>
    <m/>
    <m/>
    <m/>
    <x v="0"/>
    <m/>
  </r>
  <r>
    <n v="1245079964"/>
    <x v="0"/>
    <d v="2022-08-31T00:00:00"/>
    <d v="2022-10-18T00:00:00"/>
    <m/>
    <e v="#N/A"/>
    <m/>
    <x v="0"/>
    <x v="0"/>
    <x v="0"/>
    <s v="RC"/>
    <s v="JUNIOR"/>
    <s v="DAVID"/>
    <s v="OLIVERA"/>
    <s v="MORALES"/>
    <s v="JUNIOR DAVID OLIVERA MORALES"/>
    <d v="2022-08-04T00:00:00"/>
    <x v="1"/>
    <n v="4"/>
    <n v="22"/>
    <s v="0 AÑOS 4 MESES 22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6 A ESTE NO 107 A SUR 25"/>
    <n v="3222348373"/>
    <m/>
    <x v="0"/>
    <s v="NO SE AUTORECONOCE EN NINGUNO DE LOS ANTERIORES"/>
    <x v="1"/>
    <x v="1"/>
    <s v="NO_"/>
    <s v="NO_"/>
    <s v="a. Pertenecientes a hogares con puntaje SISBEN"/>
    <m/>
    <s v="MADRE"/>
    <s v="SIN DOCUMENTO"/>
    <m/>
    <s v="NOIRALY DEL CARMEN "/>
    <m/>
    <s v="OLIVERA"/>
    <s v="MORALES"/>
    <d v="2002-10-08T00:00:00"/>
    <s v="VENEZUELA"/>
    <s v="EXTERIOR"/>
    <s v="EXTERIOR"/>
    <m/>
    <m/>
    <m/>
    <m/>
    <m/>
    <m/>
    <m/>
    <s v=""/>
    <m/>
    <m/>
    <m/>
    <s v="SIN DOCUMENTO"/>
    <m/>
    <s v="NORALY DEL CARMEN "/>
    <m/>
    <s v="OLIVERA"/>
    <s v="MORALES"/>
    <d v="2002-10-08T00:00:00"/>
    <n v="20"/>
    <s v="VENEZUELA"/>
    <s v="EXTERIOR"/>
    <s v="EXTERIOR"/>
    <x v="3"/>
    <x v="12"/>
    <x v="0"/>
    <d v="2022-08-30T00:00:00"/>
    <s v="SI_"/>
    <x v="0"/>
    <m/>
    <m/>
    <m/>
    <m/>
    <s v="38 SEMANAS"/>
    <s v="3.335 GR"/>
    <s v="50 CM"/>
    <s v="SI_"/>
    <m/>
    <m/>
    <m/>
    <x v="0"/>
    <m/>
  </r>
  <r>
    <n v="1023048919"/>
    <x v="0"/>
    <d v="2022-08-23T00:00:00"/>
    <d v="2022-08-30T00:00:00"/>
    <e v="#REF!"/>
    <e v="#N/A"/>
    <m/>
    <x v="0"/>
    <x v="0"/>
    <x v="0"/>
    <s v="RC"/>
    <s v="LUCY"/>
    <s v="VALERIA"/>
    <s v="PARRA"/>
    <s v="SIERRA"/>
    <s v="LUCY VALERIA PARRA SIERRA"/>
    <d v="2022-08-05T00:00:00"/>
    <x v="1"/>
    <n v="4"/>
    <n v="21"/>
    <s v="0 AÑOS 4 MESES 21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3"/>
    <m/>
    <s v="CLL 92A SUR 5 ESTE 28"/>
    <n v="3212699349"/>
    <m/>
    <x v="0"/>
    <s v="NO SE AUTORECONOCE EN NINGUNO DE LOS ANTERIORES"/>
    <x v="1"/>
    <x v="1"/>
    <s v="NO_"/>
    <s v="NO_"/>
    <s v="a. Pertenecientes a hogares con puntaje SISBEN"/>
    <m/>
    <s v="AMIGO(A)"/>
    <s v="CC"/>
    <n v="1001063332"/>
    <s v="SANDRA"/>
    <s v="MILENA "/>
    <s v="BECERRA"/>
    <s v="NARANJO"/>
    <d v="1989-01-24T00:00:00"/>
    <s v="COLOMBIA"/>
    <s v="BOGOTÁ"/>
    <s v="BOGOTÁ"/>
    <s v="CC"/>
    <n v="1022979058"/>
    <s v="WALTER"/>
    <s v="ARMANDO"/>
    <s v="PARRA"/>
    <s v="GARCIA"/>
    <m/>
    <s v=""/>
    <m/>
    <m/>
    <m/>
    <s v="CC"/>
    <n v="1030695904"/>
    <s v="HEIDY"/>
    <s v="DAYANA"/>
    <s v="SIERRA "/>
    <s v="BECERRA"/>
    <d v="1999-04-22T00:00:00"/>
    <n v="23"/>
    <s v="COLOMBIA"/>
    <s v="BOGOTÁ"/>
    <s v="BOGOTÁ"/>
    <x v="3"/>
    <x v="12"/>
    <x v="1"/>
    <d v="2022-08-22T00:00:00"/>
    <s v="SI_"/>
    <x v="1"/>
    <s v="NO_"/>
    <s v="NO_"/>
    <m/>
    <m/>
    <s v="39 SEMANAS"/>
    <s v="2640 GR"/>
    <s v="50 CM"/>
    <s v="SI_"/>
    <m/>
    <m/>
    <m/>
    <x v="0"/>
    <m/>
  </r>
  <r>
    <n v="1030695904"/>
    <x v="0"/>
    <d v="2022-03-03T00:00:00"/>
    <d v="2022-08-22T00:00:00"/>
    <e v="#REF!"/>
    <e v="#N/A"/>
    <m/>
    <x v="0"/>
    <x v="0"/>
    <x v="0"/>
    <s v="CC"/>
    <s v="HEIDY "/>
    <s v="DAYANA"/>
    <s v="SIERRA "/>
    <s v="BECERRA"/>
    <s v="HEIDY  DAYANA SIERRA  BECERRA"/>
    <d v="1999-04-22T00:00:00"/>
    <x v="17"/>
    <n v="8"/>
    <n v="4"/>
    <s v="23 AÑOS 8 MESES 4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3"/>
    <m/>
    <s v="CLL 92A SUR 5 ESTE 28"/>
    <n v="3212699349"/>
    <m/>
    <x v="0"/>
    <s v="NO SE AUTORECONOCE EN NINGUNO DE LOS ANTERIORES"/>
    <x v="0"/>
    <x v="9"/>
    <s v="NO_"/>
    <s v="NO_"/>
    <s v="a. Pertenecientes a hogares con puntaje SISBEN"/>
    <s v="NO_"/>
    <s v="TIO(A)"/>
    <s v="CC"/>
    <n v="1001063332"/>
    <s v="SANDRA"/>
    <s v="MILENA "/>
    <s v="BECERRA"/>
    <s v="NARANJO"/>
    <d v="1989-01-24T00:00:00"/>
    <s v="COLOMBIA"/>
    <s v="BOGOTÁ"/>
    <s v="BOGOTÁ"/>
    <s v="CC"/>
    <n v="80501398"/>
    <s v="JAVIER "/>
    <s v="DARIO "/>
    <s v="SIERRA "/>
    <s v="RODRIGUEZ "/>
    <d v="1977-04-28T00:00:00"/>
    <n v="45"/>
    <s v="COLOMBIA"/>
    <s v="CUNDINAMARCA"/>
    <s v="PACHO"/>
    <m/>
    <m/>
    <m/>
    <m/>
    <m/>
    <m/>
    <m/>
    <s v=""/>
    <m/>
    <m/>
    <m/>
    <x v="0"/>
    <x v="5"/>
    <x v="0"/>
    <d v="2022-03-01T00:00:00"/>
    <s v="NO_"/>
    <x v="0"/>
    <m/>
    <m/>
    <m/>
    <m/>
    <m/>
    <m/>
    <m/>
    <m/>
    <m/>
    <m/>
    <n v="16"/>
    <x v="0"/>
    <m/>
  </r>
  <r>
    <n v="1243861089"/>
    <x v="1"/>
    <d v="2022-07-19T00:00:00"/>
    <m/>
    <m/>
    <m/>
    <m/>
    <x v="0"/>
    <x v="0"/>
    <x v="0"/>
    <s v="RC"/>
    <s v="JUAN"/>
    <s v="DAVID"/>
    <s v="GUZMAN"/>
    <s v="ARDILA"/>
    <s v="JUAN DAVID GUZMAN ARDILA"/>
    <d v="2022-05-03T00:00:00"/>
    <x v="1"/>
    <n v="7"/>
    <n v="23"/>
    <s v="0 AÑOS 7 MESES 2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CLL 111 A SUR 8A ESTE 18"/>
    <s v="320 8937759"/>
    <m/>
    <x v="0"/>
    <s v="NO SE AUTORECONOCE EN NINGUNO DE LOS ANTERIORES"/>
    <x v="1"/>
    <x v="1"/>
    <s v="NO_"/>
    <s v="NO_"/>
    <s v="o. Ingresos iguales o inferiores a 1.5 Smlv"/>
    <m/>
    <s v="MADRE"/>
    <s v="CC"/>
    <n v="1000937467"/>
    <s v="KAREN"/>
    <s v="MAYERLY"/>
    <s v="ARDILA"/>
    <s v="JIMENEZ"/>
    <d v="2002-08-16T00:00:00"/>
    <s v="COLOMBIA"/>
    <s v="BOGOTÁ"/>
    <s v="BOGOTÁ"/>
    <m/>
    <m/>
    <m/>
    <m/>
    <m/>
    <m/>
    <m/>
    <s v=""/>
    <m/>
    <m/>
    <m/>
    <s v="CC"/>
    <n v="1000937467"/>
    <s v="KAREN"/>
    <s v="MAYERLY"/>
    <s v="ARDILA"/>
    <s v="JIMENEZ"/>
    <d v="2002-08-16T00:00:00"/>
    <n v="20"/>
    <s v="COLOMBIA"/>
    <s v="BOGOTÁ"/>
    <s v="BOGOTÁ"/>
    <x v="1"/>
    <x v="1"/>
    <x v="1"/>
    <d v="2022-07-19T00:00:00"/>
    <s v="NO_"/>
    <x v="1"/>
    <m/>
    <s v="NO_"/>
    <s v="NO"/>
    <m/>
    <s v="38 SEMANAS"/>
    <m/>
    <m/>
    <s v="SI_"/>
    <n v="1"/>
    <n v="1"/>
    <m/>
    <x v="2"/>
    <m/>
  </r>
  <r>
    <n v="1000937467"/>
    <x v="0"/>
    <d v="2022-03-03T00:00:00"/>
    <d v="2022-07-18T00:00:00"/>
    <e v="#REF!"/>
    <e v="#N/A"/>
    <m/>
    <x v="0"/>
    <x v="0"/>
    <x v="0"/>
    <s v="CC"/>
    <s v="KAREN"/>
    <s v="MAYERLY"/>
    <s v="ARDILA"/>
    <s v="JIMENEZ"/>
    <s v="KAREN MAYERLY ARDILA JIMENEZ"/>
    <d v="2002-08-16T00:00:00"/>
    <x v="4"/>
    <n v="4"/>
    <n v="10"/>
    <s v="20 AÑOS 4 MESES 10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CLL 111 A SUR 8A ESTE 18"/>
    <s v="320 8937759"/>
    <m/>
    <x v="0"/>
    <s v="NO SE AUTORECONOCE EN NINGUNO DE LOS ANTERIORES"/>
    <x v="0"/>
    <x v="17"/>
    <s v="NO_"/>
    <s v="NO_"/>
    <s v="a. Pertenecientes a hogares con puntaje SISBEN"/>
    <s v="NO_"/>
    <s v="OTRO"/>
    <s v="CC"/>
    <n v="39802983"/>
    <s v="GLORIA "/>
    <s v="INES"/>
    <s v="FAGUA"/>
    <m/>
    <d v="1971-04-25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1"/>
    <x v="1"/>
    <x v="1"/>
    <d v="2021-03-04T00:00:00"/>
    <s v="NO_"/>
    <x v="0"/>
    <m/>
    <m/>
    <m/>
    <m/>
    <m/>
    <m/>
    <m/>
    <m/>
    <m/>
    <m/>
    <m/>
    <x v="0"/>
    <m/>
  </r>
  <r>
    <n v="1033755043"/>
    <x v="1"/>
    <d v="2022-06-01T00:00:00"/>
    <m/>
    <m/>
    <m/>
    <m/>
    <x v="0"/>
    <x v="0"/>
    <x v="0"/>
    <s v="CC"/>
    <s v="INGRID "/>
    <s v="KATHERINE"/>
    <s v="OSORIO"/>
    <s v="QUINTERO"/>
    <s v="INGRID  KATHERINE OSORIO QUINTERO"/>
    <d v="1993-03-22T00:00:00"/>
    <x v="20"/>
    <n v="9"/>
    <n v="4"/>
    <s v="29 AÑOS 9 MESES 4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ZONA DE ASENTAMIENTO "/>
    <n v="3227528230"/>
    <m/>
    <x v="1"/>
    <s v="NO SE AUTORECONOCE EN NINGUNO DE LOS ANTERIORES"/>
    <x v="0"/>
    <x v="18"/>
    <s v="NO_"/>
    <s v="NO_"/>
    <s v="a. Pertenecientes a hogares con puntaje SISBEN"/>
    <s v="NO_"/>
    <s v="MADRE"/>
    <s v="CC"/>
    <n v="65811728"/>
    <s v="RUTH"/>
    <s v="CECILIA"/>
    <s v="OSORIO"/>
    <s v="QUINTERO"/>
    <m/>
    <s v="COLOMBIA"/>
    <s v="TOLIMA"/>
    <s v="FRESNO"/>
    <m/>
    <m/>
    <m/>
    <m/>
    <m/>
    <m/>
    <m/>
    <s v=""/>
    <m/>
    <m/>
    <m/>
    <m/>
    <m/>
    <m/>
    <m/>
    <m/>
    <m/>
    <m/>
    <s v=""/>
    <m/>
    <m/>
    <m/>
    <x v="1"/>
    <x v="0"/>
    <x v="2"/>
    <s v="NO_"/>
    <m/>
    <x v="1"/>
    <m/>
    <m/>
    <m/>
    <m/>
    <m/>
    <m/>
    <m/>
    <m/>
    <m/>
    <m/>
    <n v="11"/>
    <x v="0"/>
    <m/>
  </r>
  <r>
    <n v="1023864363"/>
    <x v="0"/>
    <d v="2022-05-02T00:00:00"/>
    <d v="2022-06-01T00:00:00"/>
    <e v="#REF!"/>
    <e v="#N/A"/>
    <m/>
    <x v="0"/>
    <x v="0"/>
    <x v="0"/>
    <s v="CC"/>
    <s v="JHENY"/>
    <s v="JULIER"/>
    <s v="ZAMORA "/>
    <s v="DUARTE"/>
    <s v="JHENY JULIER ZAMORA  DUARTE"/>
    <d v="1986-07-27T00:00:00"/>
    <x v="13"/>
    <n v="4"/>
    <n v="29"/>
    <s v="36 AÑOS 4 MESES 29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DG 98A SUR 8 ESTE 87"/>
    <n v="3106809664"/>
    <m/>
    <x v="0"/>
    <s v="NO SE AUTORECONOCE EN NINGUNO DE LOS ANTERIORES"/>
    <x v="1"/>
    <x v="4"/>
    <s v="NO_"/>
    <s v="NO_"/>
    <s v="a. Pertenecientes a hogares con puntaje SISBEN"/>
    <s v="NO_"/>
    <s v="CONYUGE"/>
    <s v="CC"/>
    <n v="1015408006"/>
    <s v="DANIEL"/>
    <s v="ARTURO"/>
    <s v="LINARES"/>
    <s v="FRANCO"/>
    <d v="1988-07-03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3"/>
    <x v="1"/>
    <m/>
    <s v="NO_"/>
    <x v="0"/>
    <m/>
    <m/>
    <m/>
    <m/>
    <m/>
    <m/>
    <m/>
    <m/>
    <m/>
    <m/>
    <m/>
    <x v="0"/>
    <m/>
  </r>
  <r>
    <n v="1023001341"/>
    <x v="0"/>
    <d v="2022-03-03T00:00:00"/>
    <d v="2022-05-02T00:00:00"/>
    <e v="#REF!"/>
    <e v="#N/A"/>
    <m/>
    <x v="0"/>
    <x v="0"/>
    <x v="0"/>
    <s v="CC"/>
    <s v="LUZ"/>
    <s v="ADRIANA"/>
    <s v="ACOSTA"/>
    <s v="MORENO"/>
    <s v="LUZ ADRIANA ACOSTA MORENO"/>
    <d v="1994-11-12T00:00:00"/>
    <x v="12"/>
    <n v="1"/>
    <n v="14"/>
    <s v="28 AÑOS 1 MESES 14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9B ESTE 107 SUR 41"/>
    <n v="3219081745"/>
    <n v="3107760363"/>
    <x v="0"/>
    <s v="NO SE AUTORECONOCE EN NINGUNO DE LOS ANTERIORES"/>
    <x v="1"/>
    <x v="1"/>
    <s v="NO_"/>
    <s v="NO_"/>
    <s v="o. Ingresos iguales o inferiores a 1.5 Smlv"/>
    <s v="NO_"/>
    <s v="HERMANO(A)"/>
    <s v="CC"/>
    <n v="1022990436"/>
    <s v="DEISY "/>
    <s v="ANDRES "/>
    <s v="ACOSTA "/>
    <s v="MORENO"/>
    <d v="2021-10-05T00:00:00"/>
    <s v="COLOMBIA"/>
    <s v="BOGOTÁ"/>
    <s v="BOGOTÁ"/>
    <s v="CC"/>
    <m/>
    <m/>
    <m/>
    <m/>
    <m/>
    <m/>
    <s v=""/>
    <m/>
    <m/>
    <m/>
    <m/>
    <m/>
    <m/>
    <m/>
    <m/>
    <m/>
    <m/>
    <s v=""/>
    <m/>
    <m/>
    <m/>
    <x v="0"/>
    <x v="0"/>
    <x v="2"/>
    <d v="2022-02-27T00:00:00"/>
    <s v="NO_"/>
    <x v="0"/>
    <m/>
    <m/>
    <m/>
    <m/>
    <m/>
    <m/>
    <m/>
    <m/>
    <m/>
    <m/>
    <m/>
    <x v="0"/>
    <m/>
  </r>
  <r>
    <n v="1023048403"/>
    <x v="1"/>
    <d v="2022-06-01T00:00:00"/>
    <m/>
    <m/>
    <m/>
    <m/>
    <x v="0"/>
    <x v="2"/>
    <x v="2"/>
    <s v="RC"/>
    <s v="SAMARA "/>
    <m/>
    <s v="LOZANO"/>
    <s v="AYUDANTE"/>
    <s v="SAMARA   LOZANO AYUDANTE"/>
    <d v="2022-04-23T00:00:00"/>
    <x v="1"/>
    <n v="8"/>
    <n v="3"/>
    <s v="0 AÑOS 8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TV 7 ESTE 107 A SUR "/>
    <n v="3133109169"/>
    <n v="3107272385"/>
    <x v="0"/>
    <s v="NO SE AUTORECONOCE EN NINGUNO DE LOS ANTERIORES"/>
    <x v="1"/>
    <x v="1"/>
    <s v="NO_"/>
    <s v="NO_"/>
    <s v="o. Ingresos iguales o inferiores a 1.5 Smlv"/>
    <s v="SI_"/>
    <s v="MADRE"/>
    <s v="CC"/>
    <n v="1012407907"/>
    <s v="ANGGIE"/>
    <s v="FERNANDA"/>
    <s v="AYUDANTE "/>
    <s v="REYES"/>
    <d v="1994-02-16T00:00:00"/>
    <s v="COLOMBIA"/>
    <s v="BOGOTÁ"/>
    <s v="BOGOTÁ"/>
    <s v="CC"/>
    <n v="1012404330"/>
    <s v="FABIAN "/>
    <s v="ORLANDO"/>
    <s v="LOZANO"/>
    <s v="NARANJO"/>
    <d v="1993-10-19T00:00:00"/>
    <n v="29"/>
    <s v="COLOMBIA"/>
    <s v="TOLIMA"/>
    <s v="DOLORES"/>
    <s v="CC"/>
    <n v="1012407907"/>
    <s v="ANGGIE"/>
    <s v="FERNANDA"/>
    <s v="AYUDANTE "/>
    <s v="REYES"/>
    <d v="1990-01-28T00:00:00"/>
    <n v="32"/>
    <s v="COLOMBIA"/>
    <s v="BOGOTÁ"/>
    <s v="BOGOTÁ"/>
    <x v="1"/>
    <x v="1"/>
    <x v="2"/>
    <s v="SI_"/>
    <m/>
    <x v="1"/>
    <m/>
    <m/>
    <m/>
    <m/>
    <m/>
    <m/>
    <m/>
    <m/>
    <m/>
    <m/>
    <m/>
    <x v="2"/>
    <m/>
  </r>
  <r>
    <n v="1012407907"/>
    <x v="0"/>
    <d v="2022-04-20T00:00:00"/>
    <d v="2022-06-01T00:00:00"/>
    <e v="#REF!"/>
    <e v="#N/A"/>
    <m/>
    <x v="0"/>
    <x v="0"/>
    <x v="0"/>
    <s v="CC"/>
    <s v="ANGGIE"/>
    <s v="FERNANDA"/>
    <s v="AYUDANTE "/>
    <s v="REYES"/>
    <s v="ANGGIE FERNANDA AYUDANTE  REYES"/>
    <d v="1994-02-16T00:00:00"/>
    <x v="12"/>
    <n v="10"/>
    <n v="10"/>
    <s v="28 AÑOS 10 MESES 10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TV 7 ESTE 107 A SUR "/>
    <n v="3133109169"/>
    <n v="3107272385"/>
    <x v="0"/>
    <s v="NO SE AUTORECONOCE EN NINGUNO DE LOS ANTERIORES"/>
    <x v="0"/>
    <x v="9"/>
    <s v="NO_"/>
    <s v="NO_"/>
    <s v="a. Pertenecientes a hogares con puntaje SISBEN"/>
    <s v="NO_"/>
    <s v="CONYUGE"/>
    <s v="CC"/>
    <n v="1012404330"/>
    <s v="FABIAN "/>
    <s v="ORLANDO"/>
    <s v="LOZANO"/>
    <s v="NARANJO"/>
    <d v="1993-10-19T00:00:00"/>
    <s v="COLOMBIA"/>
    <s v="TOLIMA"/>
    <s v="DOLORES"/>
    <m/>
    <m/>
    <m/>
    <m/>
    <m/>
    <m/>
    <m/>
    <s v=""/>
    <m/>
    <m/>
    <m/>
    <m/>
    <m/>
    <m/>
    <m/>
    <m/>
    <m/>
    <m/>
    <s v=""/>
    <m/>
    <m/>
    <m/>
    <x v="1"/>
    <x v="1"/>
    <x v="0"/>
    <d v="2022-04-20T00:00:00"/>
    <s v="SI_"/>
    <x v="1"/>
    <m/>
    <m/>
    <m/>
    <m/>
    <m/>
    <m/>
    <m/>
    <m/>
    <m/>
    <m/>
    <n v="39"/>
    <x v="0"/>
    <m/>
  </r>
  <r>
    <n v="1073234865"/>
    <x v="0"/>
    <d v="2022-03-03T00:00:00"/>
    <d v="2022-04-20T00:00:00"/>
    <e v="#REF!"/>
    <e v="#N/A"/>
    <m/>
    <x v="0"/>
    <x v="0"/>
    <x v="0"/>
    <s v="TI"/>
    <s v="NICOL"/>
    <s v="DANIELA "/>
    <s v="RICO "/>
    <s v="RAMIREZ "/>
    <s v="NICOL DANIELA  RICO  RAMIREZ "/>
    <d v="2006-07-04T00:00:00"/>
    <x v="21"/>
    <n v="5"/>
    <n v="22"/>
    <s v="16 AÑOS 5 MESES 22 DIAS "/>
    <x v="0"/>
    <x v="0"/>
    <x v="0"/>
    <s v="CUNDINAMARCA"/>
    <s v="MOSQUER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A ESTE 100B SUR 79"/>
    <n v="3132301973"/>
    <n v="3003185246"/>
    <x v="0"/>
    <s v="NO SE AUTORECONOCE EN NINGUNO DE LOS ANTERIORES"/>
    <x v="0"/>
    <x v="19"/>
    <s v="NO_"/>
    <s v="NO_"/>
    <s v="a. Pertenecientes a hogares con puntaje SISBEN"/>
    <s v="NO_"/>
    <s v="CONYUGE"/>
    <s v="CC"/>
    <n v="1074344027"/>
    <s v="EDISON"/>
    <s v="MAURICIO "/>
    <s v="VELASQUEZ "/>
    <s v="PEDREROS"/>
    <d v="2004-01-28T00:00:00"/>
    <s v="COLOMBIA"/>
    <s v="CUNDINAMARCA"/>
    <s v="FUNZA"/>
    <s v="CC"/>
    <m/>
    <m/>
    <m/>
    <m/>
    <m/>
    <m/>
    <s v=""/>
    <m/>
    <m/>
    <m/>
    <m/>
    <m/>
    <m/>
    <m/>
    <m/>
    <m/>
    <m/>
    <s v=""/>
    <m/>
    <m/>
    <m/>
    <x v="0"/>
    <x v="2"/>
    <x v="1"/>
    <d v="2022-03-04T00:00:00"/>
    <s v="NO_"/>
    <x v="0"/>
    <m/>
    <m/>
    <m/>
    <m/>
    <m/>
    <m/>
    <m/>
    <m/>
    <m/>
    <m/>
    <n v="20"/>
    <x v="0"/>
    <m/>
  </r>
  <r>
    <n v="1016752849"/>
    <x v="1"/>
    <d v="2022-03-03T00:00:00"/>
    <m/>
    <m/>
    <m/>
    <m/>
    <x v="0"/>
    <x v="5"/>
    <x v="5"/>
    <s v="RC"/>
    <s v="DAVID"/>
    <s v="ORLANDO"/>
    <s v="LASSO"/>
    <s v="GUZMAN"/>
    <s v="DAVID ORLANDO LASSO GUZMAN"/>
    <d v="2021-09-20T00:00:00"/>
    <x v="3"/>
    <n v="3"/>
    <n v="6"/>
    <s v="1 AÑOS 3 MESES 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0"/>
    <m/>
    <s v="CL 112 SUR 8A ESTE 46"/>
    <n v="3142216163"/>
    <m/>
    <x v="0"/>
    <s v="NO SE AUTORECONOCE EN NINGUNO DE LOS ANTERIORES"/>
    <x v="1"/>
    <x v="1"/>
    <s v="NO_"/>
    <s v="NO_"/>
    <s v="o. Ingresos iguales o inferiores a 1.5 Smlv"/>
    <s v="NO_"/>
    <s v="MADRE"/>
    <s v="CC"/>
    <n v="1005254066"/>
    <s v="LEIDY"/>
    <s v="PAOLA"/>
    <s v="GUZMAN"/>
    <s v="FAGUA"/>
    <d v="1998-01-17T00:00:00"/>
    <s v="COLOMBIA"/>
    <s v="QUINDÍO"/>
    <s v="CALARCÁ"/>
    <s v="CC"/>
    <n v="1013591147"/>
    <s v="MIGUEL "/>
    <s v="ANTONIO "/>
    <s v="LASSO"/>
    <s v="ESPITIA"/>
    <d v="1987-10-06T00:00:00"/>
    <n v="35"/>
    <s v="COLOMBIA"/>
    <s v="BOGOTÁ"/>
    <s v="BOGOTÁ"/>
    <s v="CC"/>
    <n v="1005254066"/>
    <s v="LEIDY"/>
    <s v="PAOLA"/>
    <s v="GUZMAN"/>
    <s v="FAGUA"/>
    <d v="1998-01-17T00:00:00"/>
    <n v="24"/>
    <s v="COLOMBIA"/>
    <s v="QUINDÍO"/>
    <s v="CALARCÁ"/>
    <x v="0"/>
    <x v="0"/>
    <x v="0"/>
    <d v="2022-03-09T00:00:00"/>
    <s v="SI_"/>
    <x v="2"/>
    <n v="3"/>
    <s v="SI_"/>
    <m/>
    <m/>
    <n v="24"/>
    <n v="980"/>
    <n v="36"/>
    <s v="NO_"/>
    <n v="1"/>
    <n v="1"/>
    <s v="NA"/>
    <x v="1"/>
    <m/>
  </r>
  <r>
    <n v="1023047489"/>
    <x v="1"/>
    <d v="2022-04-04T00:00:00"/>
    <m/>
    <m/>
    <m/>
    <s v="TRIANGULO"/>
    <x v="0"/>
    <x v="3"/>
    <x v="3"/>
    <s v="RC"/>
    <s v="BRITTNEY"/>
    <s v="NATALY"/>
    <s v="HERNANDEZ"/>
    <s v="MENDIETA"/>
    <s v="BRITTNEY NATALY HERNANDEZ MENDIETA"/>
    <d v="2021-10-28T00:00:00"/>
    <x v="3"/>
    <n v="1"/>
    <n v="28"/>
    <s v="1 AÑOS 1 MESES 2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A ESTE 91 SUR 65"/>
    <n v="3203290311"/>
    <n v="7621714"/>
    <x v="0"/>
    <s v="NO SE AUTORECONOCE EN NINGUNO DE LOS ANTERIORES"/>
    <x v="1"/>
    <x v="1"/>
    <s v="NO_"/>
    <s v="NO_"/>
    <s v="o. Ingresos iguales o inferiores a 1.5 Smlv"/>
    <m/>
    <s v="ABUELO(A)"/>
    <s v="CC"/>
    <n v="17083314"/>
    <s v="BERNARDO"/>
    <m/>
    <s v="HERNANDEZ"/>
    <m/>
    <d v="1942-08-20T00:00:00"/>
    <s v="COLOMBIA"/>
    <s v="BOYACÁ"/>
    <s v="SOATÁ"/>
    <m/>
    <m/>
    <m/>
    <m/>
    <m/>
    <m/>
    <m/>
    <s v=""/>
    <m/>
    <m/>
    <m/>
    <s v="CC"/>
    <n v="52743139"/>
    <s v="MARIA"/>
    <s v="MERCEDES"/>
    <s v="HERNANDEZ"/>
    <s v="MENDIETA"/>
    <d v="1981-01-22T00:00:00"/>
    <n v="41"/>
    <s v="COLOMBIA"/>
    <s v="BOYACÁ"/>
    <s v="TINJACÁ"/>
    <x v="1"/>
    <x v="1"/>
    <x v="0"/>
    <d v="2022-03-30T00:00:00"/>
    <s v="SI_"/>
    <x v="2"/>
    <n v="2"/>
    <s v="NO_"/>
    <m/>
    <m/>
    <n v="39"/>
    <s v="2520 GR"/>
    <n v="50"/>
    <s v="NO_"/>
    <n v="1"/>
    <m/>
    <m/>
    <x v="1"/>
    <m/>
  </r>
  <r>
    <n v="1023047290"/>
    <x v="0"/>
    <d v="2022-03-03T00:00:00"/>
    <d v="2022-04-04T00:00:00"/>
    <e v="#REF!"/>
    <e v="#N/A"/>
    <m/>
    <x v="0"/>
    <x v="6"/>
    <x v="6"/>
    <s v="RC"/>
    <s v="DOMINIK"/>
    <s v="SAMUEL"/>
    <s v="PRADA"/>
    <s v="MOSQUERA "/>
    <s v="DOMINIK SAMUEL PRADA MOSQUERA "/>
    <d v="2021-09-25T00:00:00"/>
    <x v="3"/>
    <n v="3"/>
    <n v="1"/>
    <s v="1 AÑOS 3 MESES 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CL 106 SUR #  9 C ESTE 11"/>
    <n v="3174466489"/>
    <m/>
    <x v="0"/>
    <s v="NO SE AUTORECONOCE EN NINGUNO DE LOS ANTERIORES"/>
    <x v="0"/>
    <x v="19"/>
    <s v="NO_"/>
    <s v="NO_"/>
    <s v="a. Pertenecientes a hogares con puntaje SISBEN"/>
    <s v="NO_"/>
    <s v="MADRE"/>
    <s v="CC"/>
    <n v="1128440638"/>
    <s v="MARISOL"/>
    <m/>
    <s v="MOSQUERA "/>
    <s v="LOPEZ"/>
    <d v="1991-10-25T00:00:00"/>
    <s v="COLOMBIA"/>
    <s v="SANTANDER"/>
    <s v="PUERTO PARRA"/>
    <m/>
    <m/>
    <m/>
    <m/>
    <m/>
    <m/>
    <m/>
    <s v=""/>
    <m/>
    <m/>
    <m/>
    <s v="CC"/>
    <n v="1128440638"/>
    <s v="MARISOL"/>
    <m/>
    <s v="MOSQUERA "/>
    <s v="LOPEZ"/>
    <d v="1991-10-25T00:00:00"/>
    <n v="31"/>
    <s v="COLOMBIA"/>
    <s v="SANTANDER"/>
    <s v="PUERTO PARRA"/>
    <x v="0"/>
    <x v="6"/>
    <x v="0"/>
    <d v="2022-03-10T00:00:00"/>
    <s v="SI_"/>
    <x v="2"/>
    <n v="2"/>
    <s v="NO_"/>
    <m/>
    <m/>
    <n v="38"/>
    <n v="3250"/>
    <n v="52"/>
    <s v="SI_"/>
    <n v="5"/>
    <n v="5"/>
    <s v="NA"/>
    <x v="1"/>
    <m/>
  </r>
  <r>
    <n v="1023047223"/>
    <x v="0"/>
    <d v="2022-03-03T00:00:00"/>
    <d v="2022-06-01T00:00:00"/>
    <e v="#REF!"/>
    <e v="#N/A"/>
    <m/>
    <x v="0"/>
    <x v="6"/>
    <x v="6"/>
    <s v="RC"/>
    <s v="HECTOR "/>
    <s v="SEBASTIAN "/>
    <s v="LEON "/>
    <s v="MARTINEZ "/>
    <s v="HECTOR  SEBASTIAN  LEON  MARTINEZ "/>
    <d v="2021-09-21T00:00:00"/>
    <x v="3"/>
    <n v="3"/>
    <n v="5"/>
    <s v="1 AÑOS 3 MESES 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8"/>
    <m/>
    <s v="CL 97A BIS SUR 0 ESTE 57"/>
    <n v="3007783335"/>
    <n v="3194039618"/>
    <x v="0"/>
    <s v="NO SE AUTORECONOCE EN NINGUNO DE LOS ANTERIORES"/>
    <x v="0"/>
    <x v="4"/>
    <s v="NO_"/>
    <s v="NO_"/>
    <s v="a. Pertenecientes a hogares con puntaje SISBEN"/>
    <s v="NO_"/>
    <s v="MADRE"/>
    <s v="CC"/>
    <n v="53155956"/>
    <s v="BLANCA"/>
    <s v="MILENA "/>
    <s v="MARTINEZ"/>
    <s v="PARRADO"/>
    <d v="1986-01-06T00:00:00"/>
    <s v="COLOMBIA"/>
    <s v="BOGOTÁ"/>
    <s v="BOGOTÁ"/>
    <m/>
    <m/>
    <m/>
    <m/>
    <m/>
    <m/>
    <m/>
    <s v=""/>
    <m/>
    <m/>
    <m/>
    <s v="CC"/>
    <n v="53155956"/>
    <s v="BLANCA"/>
    <s v="MILENA "/>
    <s v="MARTINEZ"/>
    <s v="PARRADO"/>
    <d v="1986-01-06T00:00:00"/>
    <n v="36"/>
    <s v="COLOMBIA"/>
    <s v="BOGOTÁ"/>
    <s v="BOGOTÁ"/>
    <x v="0"/>
    <x v="0"/>
    <x v="0"/>
    <d v="2022-03-12T00:00:00"/>
    <s v="SI_"/>
    <x v="2"/>
    <n v="2"/>
    <s v="NO_"/>
    <m/>
    <m/>
    <m/>
    <m/>
    <m/>
    <s v="SI_"/>
    <n v="5"/>
    <n v="5"/>
    <s v="NA"/>
    <x v="1"/>
    <m/>
  </r>
  <r>
    <n v="1023046387"/>
    <x v="1"/>
    <d v="2022-06-28T00:00:00"/>
    <m/>
    <m/>
    <m/>
    <m/>
    <x v="0"/>
    <x v="0"/>
    <x v="0"/>
    <s v="RC"/>
    <s v="SARA"/>
    <s v="GABRIELA"/>
    <s v="MUÑOZ"/>
    <s v="IJAJI"/>
    <s v="SARA GABRIELA MUÑOZ IJAJI"/>
    <d v="2022-05-02T00:00:00"/>
    <x v="1"/>
    <n v="7"/>
    <n v="24"/>
    <s v="0 AÑOS 7 MESES 2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1"/>
    <m/>
    <s v="CALLE 116 SUR #7 ESTE 39"/>
    <n v="3143550257"/>
    <m/>
    <x v="0"/>
    <s v="NO SE AUTORECONOCE EN NINGUNO DE LOS ANTERIORES"/>
    <x v="1"/>
    <x v="1"/>
    <s v="NO_"/>
    <s v="NO_"/>
    <s v="o. Ingresos iguales o inferiores a 1.5 Smlv"/>
    <m/>
    <s v="ABUELO(A)"/>
    <s v="CC"/>
    <n v="53153460"/>
    <s v="INGRID "/>
    <s v="LORENA "/>
    <s v="IJAJI"/>
    <s v="SAPUYES"/>
    <d v="1985-05-22T00:00:00"/>
    <s v="COLOMBIA"/>
    <s v="BOGOTÁ"/>
    <s v="BOGOTÁ"/>
    <m/>
    <m/>
    <m/>
    <m/>
    <m/>
    <m/>
    <m/>
    <s v=""/>
    <m/>
    <m/>
    <m/>
    <s v="CC"/>
    <n v="1025522554"/>
    <s v="GEYDI"/>
    <s v="ALEJANDRA"/>
    <s v="MUÑOZ"/>
    <s v="IJAJI "/>
    <d v="2004-04-21T00:00:00"/>
    <n v="18"/>
    <s v="COLOMBIA"/>
    <s v="BOGOTÁ"/>
    <s v="BOGOTÁ"/>
    <x v="1"/>
    <x v="1"/>
    <x v="1"/>
    <m/>
    <s v="NO_"/>
    <x v="1"/>
    <m/>
    <s v="NO_"/>
    <m/>
    <m/>
    <m/>
    <m/>
    <m/>
    <s v="SI_"/>
    <m/>
    <m/>
    <m/>
    <x v="2"/>
    <m/>
  </r>
  <r>
    <n v="1023014503"/>
    <x v="0"/>
    <d v="2022-03-03T00:00:00"/>
    <d v="2022-06-28T00:00:00"/>
    <e v="#REF!"/>
    <e v="#N/A"/>
    <m/>
    <x v="0"/>
    <x v="2"/>
    <x v="2"/>
    <s v="RC"/>
    <s v="JESUS "/>
    <s v="GIOVANNY"/>
    <s v="BOGOTA"/>
    <s v="ARMERO"/>
    <s v="JESUS  GIOVANNY BOGOTA ARMERO"/>
    <d v="2022-02-09T00:00:00"/>
    <x v="1"/>
    <n v="10"/>
    <n v="17"/>
    <s v="0 AÑOS 10 MESES 1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0"/>
    <m/>
    <s v="KR 9 ESTE # 116 SUR-14"/>
    <n v="3138287279"/>
    <m/>
    <x v="0"/>
    <s v="NO SE AUTORECONOCE EN NINGUNO DE LOS ANTERIORES"/>
    <x v="1"/>
    <x v="1"/>
    <s v="NO_"/>
    <s v="NO_"/>
    <s v="o. Ingresos iguales o inferiores a 1.5 Smlv"/>
    <s v="NO_"/>
    <s v="MADRE"/>
    <s v="CC"/>
    <n v="11023014503"/>
    <s v="LADY"/>
    <s v="VIVIANA"/>
    <s v="ARMERO"/>
    <s v="VEGA"/>
    <d v="1996-07-21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3"/>
    <x v="12"/>
    <x v="0"/>
    <d v="2022-03-02T00:00:00"/>
    <s v="SI_"/>
    <x v="1"/>
    <n v="0"/>
    <s v="NO_"/>
    <m/>
    <m/>
    <n v="37"/>
    <n v="3420"/>
    <n v="50"/>
    <s v="SI_"/>
    <n v="1"/>
    <n v="1"/>
    <s v="NA"/>
    <x v="2"/>
    <m/>
  </r>
  <r>
    <n v="1013030625"/>
    <x v="1"/>
    <d v="2022-03-03T00:00:00"/>
    <m/>
    <m/>
    <m/>
    <m/>
    <x v="0"/>
    <x v="2"/>
    <x v="2"/>
    <s v="RC"/>
    <s v="JULIAN "/>
    <s v="MATEO"/>
    <s v="QUIÑONES "/>
    <s v="CASANOVA"/>
    <s v="JULIAN  MATEO QUIÑONES  CASANOVA"/>
    <d v="2022-01-14T00:00:00"/>
    <x v="1"/>
    <n v="11"/>
    <n v="12"/>
    <s v="0 AÑOS 11 MESES 1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m/>
    <m/>
    <x v="0"/>
    <s v="NO SE AUTORECONOCE EN NINGUNO DE LOS ANTERIORES"/>
    <x v="1"/>
    <x v="11"/>
    <s v="NO_"/>
    <s v="NO_"/>
    <s v="o. Ingresos iguales o inferiores a 1.5 Smlv"/>
    <s v="NO_"/>
    <s v="AMIGO(A)"/>
    <s v="CC"/>
    <n v="53007609"/>
    <s v="GLORIA "/>
    <s v="ELIZABETH"/>
    <s v="ARIAS "/>
    <s v="PATARROYO"/>
    <d v="1962-06-22T00:00:00"/>
    <s v="COLOMBIA"/>
    <s v="BOGOTÁ"/>
    <s v="BOGOTÁ"/>
    <s v="CC"/>
    <n v="87434508"/>
    <s v="TEOFILO"/>
    <s v="ABELARDO"/>
    <s v="QUIÑONES "/>
    <s v="CABEZAS"/>
    <d v="1983-02-10T00:00:00"/>
    <n v="39"/>
    <s v="COLOMBIA"/>
    <s v="NARIÑO"/>
    <s v="BARBACOAS"/>
    <s v="CC"/>
    <n v="1082686362"/>
    <s v="ELIZABETH"/>
    <m/>
    <s v="CASANOVA "/>
    <s v="ANGULO"/>
    <d v="1986-01-28T00:00:00"/>
    <n v="36"/>
    <s v="COLOMBIA"/>
    <s v="NARIÑO"/>
    <s v="BARBACOAS"/>
    <x v="1"/>
    <x v="6"/>
    <x v="0"/>
    <d v="2022-02-27T00:00:00"/>
    <s v="SI_"/>
    <x v="1"/>
    <n v="0"/>
    <s v="NO_"/>
    <m/>
    <m/>
    <m/>
    <m/>
    <m/>
    <m/>
    <m/>
    <m/>
    <s v="NA"/>
    <x v="2"/>
    <m/>
  </r>
  <r>
    <n v="1243860849"/>
    <x v="1"/>
    <d v="2022-03-03T00:00:00"/>
    <m/>
    <m/>
    <m/>
    <m/>
    <x v="0"/>
    <x v="2"/>
    <x v="2"/>
    <s v="RC"/>
    <s v="OSCAR"/>
    <s v="YECID"/>
    <s v="MOSQUERA"/>
    <s v="CORDONA"/>
    <s v="OSCAR YECID MOSQUERA CORDONA"/>
    <d v="2021-12-27T00:00:00"/>
    <x v="1"/>
    <n v="11"/>
    <n v="29"/>
    <s v="0 AÑOS 11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1"/>
    <m/>
    <s v="KR 10 A ESTE 107 SUR 41"/>
    <s v="314 3308494"/>
    <m/>
    <x v="0"/>
    <s v="NO SE AUTORECONOCE EN NINGUNO DE LOS ANTERIORES"/>
    <x v="1"/>
    <x v="1"/>
    <s v="NO_"/>
    <s v="NO_"/>
    <s v="o. Ingresos iguales o inferiores a 1.5 Smlv"/>
    <s v="NO_"/>
    <s v="MADRE"/>
    <s v="CC"/>
    <n v="1077464255"/>
    <s v="KAREN "/>
    <s v="TATIANA"/>
    <s v="CORDOVA"/>
    <s v="RENTERIA "/>
    <d v="1993-11-05T00:00:00"/>
    <s v="COLOMBIA"/>
    <s v="CHOCÓ"/>
    <s v="QUIBDÓ"/>
    <m/>
    <m/>
    <m/>
    <m/>
    <m/>
    <m/>
    <m/>
    <s v=""/>
    <m/>
    <m/>
    <m/>
    <s v="CC"/>
    <n v="1077464255"/>
    <s v="KAREN "/>
    <s v="TATIANA"/>
    <s v="CORDOVA"/>
    <s v="RENTERIA "/>
    <d v="1993-11-05T00:00:00"/>
    <n v="29"/>
    <s v="COLOMBIA"/>
    <s v="CHOCÓ"/>
    <s v="QUIBDÓ"/>
    <x v="0"/>
    <x v="6"/>
    <x v="0"/>
    <d v="2022-03-05T00:00:00"/>
    <s v="SI_"/>
    <x v="1"/>
    <n v="0"/>
    <s v="NO_"/>
    <m/>
    <m/>
    <n v="39"/>
    <n v="2880"/>
    <n v="49"/>
    <s v="SI_"/>
    <n v="2"/>
    <n v="2"/>
    <s v="NA"/>
    <x v="2"/>
    <m/>
  </r>
  <r>
    <n v="1027544666"/>
    <x v="1"/>
    <d v="2022-03-03T00:00:00"/>
    <m/>
    <m/>
    <m/>
    <m/>
    <x v="0"/>
    <x v="2"/>
    <x v="2"/>
    <s v="RC"/>
    <s v="JOSEPH"/>
    <s v="MATHIAS"/>
    <s v="PINTO"/>
    <s v="CAMPOS"/>
    <s v="JOSEPH MATHIAS PINTO CAMPOS"/>
    <d v="2022-02-24T00:00:00"/>
    <x v="1"/>
    <n v="10"/>
    <n v="2"/>
    <s v="0 AÑOS 10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1"/>
    <m/>
    <s v="KR 10 ESTE 108 SUR 17"/>
    <n v="3125236847"/>
    <m/>
    <x v="0"/>
    <s v="NO SE AUTORECONOCE EN NINGUNO DE LOS ANTERIORES"/>
    <x v="1"/>
    <x v="1"/>
    <s v="NO_"/>
    <s v="NO_"/>
    <s v="o. Ingresos iguales o inferiores a 1.5 Smlv"/>
    <s v="NO_"/>
    <s v="MADRE"/>
    <s v="CC"/>
    <n v="1022991206"/>
    <s v="ANGELA "/>
    <s v="CRISTINA "/>
    <s v="CAMPOS "/>
    <s v="RAMIREZ "/>
    <d v="1993-11-24T00:00:00"/>
    <s v="COLOMBIA"/>
    <s v="BOGOTÁ"/>
    <s v="BOGOTÁ"/>
    <s v="CC"/>
    <n v="1032359281"/>
    <s v="EDILSON"/>
    <s v="JAVIER "/>
    <s v="PINTO"/>
    <s v="GARZON"/>
    <d v="1985-10-13T00:00:00"/>
    <n v="37"/>
    <s v="COLOMBIA"/>
    <s v="CUNDINAMARCA"/>
    <s v="LA CALERA"/>
    <s v="CC"/>
    <n v="1022991206"/>
    <s v="ANGELA "/>
    <s v="CRISTINA "/>
    <s v="CAMPOS "/>
    <s v="RAMIREZ "/>
    <d v="1993-11-24T00:00:00"/>
    <n v="29"/>
    <s v="COLOMBIA"/>
    <s v="BOGOTÁ"/>
    <s v="BOGOTÁ"/>
    <x v="0"/>
    <x v="5"/>
    <x v="0"/>
    <d v="2022-03-06T00:00:00"/>
    <s v="SI_"/>
    <x v="1"/>
    <n v="0"/>
    <s v="NO_"/>
    <m/>
    <m/>
    <n v="38"/>
    <n v="3320"/>
    <n v="51"/>
    <s v="SI_"/>
    <n v="1"/>
    <n v="1"/>
    <s v="NA"/>
    <x v="2"/>
    <m/>
  </r>
  <r>
    <n v="1023046673"/>
    <x v="1"/>
    <d v="2022-03-03T00:00:00"/>
    <m/>
    <m/>
    <m/>
    <m/>
    <x v="0"/>
    <x v="5"/>
    <x v="5"/>
    <s v="RC"/>
    <s v="ADRIAN"/>
    <s v="ALEJANDRO "/>
    <s v="MENESES"/>
    <s v="DIAZ"/>
    <s v="ADRIAN ALEJANDRO  MENESES DIAZ"/>
    <d v="2021-05-22T00:00:00"/>
    <x v="3"/>
    <n v="7"/>
    <n v="4"/>
    <s v="1 AÑOS 7 MESES 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A ESTE 97F SUR 44"/>
    <n v="3204847247"/>
    <m/>
    <x v="1"/>
    <s v="NO SE AUTORECONOCE EN NINGUNO DE LOS ANTERIORES"/>
    <x v="1"/>
    <x v="1"/>
    <s v="NO_"/>
    <s v="NO_"/>
    <s v=" o. Ingresos iguales o inferiores a 1.5 Smlv."/>
    <s v="NO_"/>
    <s v="MADRE"/>
    <s v="CC"/>
    <n v="1110172181"/>
    <s v="DIANA"/>
    <s v="MAGALY"/>
    <s v="DIAZ"/>
    <s v="DUCUARA"/>
    <d v="1986-03-06T00:00:00"/>
    <s v="COLOMBIA"/>
    <s v="TOLIMA"/>
    <s v="ORTEGA"/>
    <s v="CC"/>
    <n v="1070960977"/>
    <s v="GUERNE"/>
    <m/>
    <s v="MENESES"/>
    <s v="MORALES"/>
    <d v="1991-01-01T00:00:00"/>
    <n v="31"/>
    <s v="COLOMBIA"/>
    <s v="CUNDINAMARCA"/>
    <s v="LA VEGA"/>
    <s v="CC"/>
    <n v="1110172181"/>
    <s v="DIANA"/>
    <s v="MAGALY"/>
    <s v="DIAZ"/>
    <s v="DUCUARA"/>
    <d v="1986-03-06T00:00:00"/>
    <n v="36"/>
    <s v="COLOMBIA"/>
    <s v="TOLIMA"/>
    <s v="ORTEGA"/>
    <x v="0"/>
    <x v="5"/>
    <x v="0"/>
    <d v="2022-02-26T00:00:00"/>
    <s v="SI_"/>
    <x v="2"/>
    <n v="1"/>
    <s v="SI_"/>
    <m/>
    <m/>
    <n v="40"/>
    <n v="4320"/>
    <n v="53"/>
    <s v="SI_"/>
    <n v="6"/>
    <n v="9"/>
    <s v="NA"/>
    <x v="1"/>
    <m/>
  </r>
  <r>
    <n v="1023047089"/>
    <x v="0"/>
    <d v="2022-03-03T00:00:00"/>
    <d v="2022-04-25T00:00:00"/>
    <e v="#REF!"/>
    <e v="#N/A"/>
    <m/>
    <x v="0"/>
    <x v="5"/>
    <x v="5"/>
    <s v="RC"/>
    <s v="DULCE"/>
    <s v="SOFIA"/>
    <s v="PARADA"/>
    <s v="PEDREROS"/>
    <s v="DULCE SOFIA PARADA PEDREROS"/>
    <d v="2021-08-13T00:00:00"/>
    <x v="3"/>
    <n v="4"/>
    <n v="13"/>
    <s v="1 AÑOS 4 MESES 1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8 ESTE # 108 SUR 16"/>
    <n v="3222625323"/>
    <n v="3116441140"/>
    <x v="0"/>
    <s v="NO SE AUTORECONOCE EN NINGUNO DE LOS ANTERIORES"/>
    <x v="1"/>
    <x v="1"/>
    <s v="NO_"/>
    <s v="NO_"/>
    <s v="o. Ingresos iguales o inferiores a 1.5 Smlv"/>
    <s v="NO_"/>
    <s v="MADRE"/>
    <s v="CC"/>
    <n v="1010222457"/>
    <s v="WENDY"/>
    <s v="NATALIA"/>
    <s v="PEDREROS"/>
    <s v="GOMEZ"/>
    <d v="1995-05-31T00:00:00"/>
    <s v="COLOMBIA"/>
    <s v="BOGOTÁ"/>
    <s v="BOGOTÁ"/>
    <s v="CC"/>
    <n v="1022973256"/>
    <s v="WILSON"/>
    <m/>
    <s v="PARADA"/>
    <s v="NARVAEZ"/>
    <d v="1991-08-27T00:00:00"/>
    <n v="31"/>
    <s v="COLOMBIA"/>
    <s v="BOGOTÁ"/>
    <s v="BOGOTÁ"/>
    <s v="CC"/>
    <n v="1010222457"/>
    <s v="WENDY"/>
    <s v="NATALIA"/>
    <s v="PEDREROS"/>
    <s v="GOMEZ"/>
    <d v="1995-05-31T00:00:00"/>
    <n v="27"/>
    <s v="COLOMBIA"/>
    <s v="BOGOTÁ"/>
    <s v="BOGOTÁ"/>
    <x v="1"/>
    <x v="1"/>
    <x v="0"/>
    <d v="2022-02-26T00:00:00"/>
    <s v="SI_"/>
    <x v="2"/>
    <n v="1"/>
    <s v="NO_"/>
    <m/>
    <m/>
    <n v="39"/>
    <n v="2680"/>
    <n v="50"/>
    <s v="SI_"/>
    <n v="6"/>
    <n v="6"/>
    <s v="NA"/>
    <x v="1"/>
    <m/>
  </r>
  <r>
    <n v="1018519864"/>
    <x v="1"/>
    <d v="2022-04-04T00:00:00"/>
    <m/>
    <m/>
    <m/>
    <m/>
    <x v="0"/>
    <x v="3"/>
    <x v="3"/>
    <s v="RC"/>
    <s v="EVELYN"/>
    <m/>
    <s v="BERMUDEZ "/>
    <s v="NOVOA"/>
    <s v="EVELYN  BERMUDEZ  NOVOA"/>
    <d v="2021-08-11T00:00:00"/>
    <x v="3"/>
    <n v="4"/>
    <n v="15"/>
    <s v="1 AÑOS 4 MESES 1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7A ESTE #100B SUR 44"/>
    <n v="3125884987"/>
    <m/>
    <x v="0"/>
    <s v="NO SE AUTORECONOCE EN NINGUNO DE LOS ANTERIORES"/>
    <x v="0"/>
    <x v="0"/>
    <s v="NO_"/>
    <s v="NO_"/>
    <s v="a. Pertenecientes a hogares con puntaje SISBEN"/>
    <m/>
    <s v="MADRE"/>
    <s v="CC"/>
    <n v="1032380964"/>
    <s v="ANGELA "/>
    <s v="PAOLA"/>
    <s v="BERMUDEZ "/>
    <s v="NOVOA"/>
    <d v="1987-01-26T00:00:00"/>
    <s v="COLOMBIA"/>
    <s v="BOGOTÁ"/>
    <s v="BOGOTÁ"/>
    <s v="CC"/>
    <m/>
    <m/>
    <m/>
    <m/>
    <m/>
    <m/>
    <s v=""/>
    <m/>
    <m/>
    <m/>
    <s v="CC"/>
    <n v="1032380964"/>
    <s v="ANGELA"/>
    <s v="PAOLA"/>
    <s v="BERMUDEZ"/>
    <s v="NOVOA"/>
    <d v="1987-01-26T00:00:00"/>
    <n v="35"/>
    <s v="COLOMBIA"/>
    <s v="BOGOTÁ"/>
    <s v="BOGOTÁ"/>
    <x v="0"/>
    <x v="6"/>
    <x v="0"/>
    <n v="44606"/>
    <s v="SI_"/>
    <x v="2"/>
    <n v="2"/>
    <s v="NO_"/>
    <m/>
    <m/>
    <m/>
    <n v="3000"/>
    <n v="53"/>
    <m/>
    <m/>
    <m/>
    <m/>
    <x v="1"/>
    <m/>
  </r>
  <r>
    <n v="1012927098"/>
    <x v="0"/>
    <d v="2022-03-03T00:00:00"/>
    <d v="2022-04-04T00:00:00"/>
    <e v="#REF!"/>
    <e v="#N/A"/>
    <m/>
    <x v="0"/>
    <x v="3"/>
    <x v="3"/>
    <s v="RC"/>
    <s v="EMILI "/>
    <s v="SAMANTA "/>
    <s v="YAINA"/>
    <s v="BRASBI"/>
    <s v="EMILI  SAMANTA  YAINA BRASBI"/>
    <d v="2021-04-08T00:00:00"/>
    <x v="3"/>
    <n v="8"/>
    <n v="18"/>
    <s v="1 AÑOS 8 MESES 1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BIS A ESTE # 104 32 SUR "/>
    <n v="3204159497"/>
    <n v="3227515614"/>
    <x v="0"/>
    <s v="NO SE AUTORECONOCE EN NINGUNO DE LOS ANTERIORES"/>
    <x v="0"/>
    <x v="4"/>
    <s v="NO_"/>
    <s v="NO_"/>
    <s v="a. Pertenecientes a hogares con puntaje SISBEN"/>
    <s v="NO_"/>
    <s v="MADRE"/>
    <s v="CC"/>
    <n v="1000126785"/>
    <s v="TANIA"/>
    <s v="VALENTINA"/>
    <s v="BRASBI"/>
    <s v="GUERRERO"/>
    <d v="2002-07-03T00:00:00"/>
    <s v="COLOMBIA"/>
    <s v="BOGOTÁ"/>
    <s v="BOGOTÁ"/>
    <s v="CC"/>
    <n v="1117236191"/>
    <s v="JOSE"/>
    <s v="HECTOR"/>
    <s v="YAINA"/>
    <s v="TIQUE"/>
    <d v="1997-07-07T00:00:00"/>
    <n v="25"/>
    <s v="COLOMBIA"/>
    <s v="BOGOTÁ"/>
    <s v="BOGOTÁ"/>
    <s v="CC"/>
    <n v="1000126785"/>
    <s v="TANIA"/>
    <s v="VALENTINA"/>
    <s v="BRASBI"/>
    <s v="GUERRERO"/>
    <d v="2002-07-03T00:00:00"/>
    <n v="20"/>
    <s v="COLOMBIA"/>
    <s v="BOGOTÁ"/>
    <s v="BOGOTÁ"/>
    <x v="0"/>
    <x v="1"/>
    <x v="0"/>
    <d v="2022-02-27T00:00:00"/>
    <s v="SI_"/>
    <x v="2"/>
    <n v="1"/>
    <s v="NO_"/>
    <m/>
    <m/>
    <n v="39"/>
    <n v="2850"/>
    <n v="51"/>
    <s v="SI_"/>
    <n v="3"/>
    <n v="3"/>
    <s v="NA"/>
    <x v="1"/>
    <m/>
  </r>
  <r>
    <n v="1243860566"/>
    <x v="0"/>
    <d v="2022-03-03T00:00:00"/>
    <d v="2022-05-02T00:00:00"/>
    <e v="#REF!"/>
    <e v="#N/A"/>
    <m/>
    <x v="0"/>
    <x v="3"/>
    <x v="3"/>
    <s v="RC"/>
    <s v="LIAM"/>
    <s v="ESTEBAN"/>
    <s v="FARFAN"/>
    <s v="CAVIEDES"/>
    <s v="LIAM ESTEBAN FARFAN CAVIEDES"/>
    <d v="2021-07-10T00:00:00"/>
    <x v="3"/>
    <n v="5"/>
    <n v="16"/>
    <s v="1 AÑOS 5 MESES 1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LL 102 SUR 8 ESTE 43"/>
    <n v="3102917643"/>
    <m/>
    <x v="0"/>
    <s v="NO SE AUTORECONOCE EN NINGUNO DE LOS ANTERIORES"/>
    <x v="0"/>
    <x v="2"/>
    <s v="NO_"/>
    <s v="NO_"/>
    <s v="a. Pertenecientes a hogares con puntaje SISBEN"/>
    <s v="NO_"/>
    <s v="MADRE"/>
    <s v="CC"/>
    <n v="1016101539"/>
    <s v="NICOLL"/>
    <s v="DANIELA"/>
    <s v="CAVIEDES"/>
    <s v="CUCUNUVA"/>
    <d v="1998-02-26T00:00:00"/>
    <s v="COLOMBIA"/>
    <s v="BOGOTÁ"/>
    <s v="BOGOTÁ"/>
    <s v="CC"/>
    <n v="1023023667"/>
    <s v="DAVID "/>
    <s v="ESTEBAN "/>
    <s v="FARFAN "/>
    <s v="AMADOR "/>
    <d v="1997-02-10T00:00:00"/>
    <n v="25"/>
    <s v="COLOMBIA"/>
    <s v="BOGOTÁ"/>
    <s v="BOGOTÁ"/>
    <s v="CC"/>
    <n v="1016101539"/>
    <s v="NICOLL"/>
    <s v="DANIELA"/>
    <s v="CAVIEDES"/>
    <s v="CUCUNUVA"/>
    <d v="1998-02-26T00:00:00"/>
    <n v="24"/>
    <s v="COLOMBIA"/>
    <s v="BOGOTÁ"/>
    <s v="BOGOTÁ"/>
    <x v="1"/>
    <x v="1"/>
    <x v="0"/>
    <d v="2022-03-11T00:00:00"/>
    <s v="SI_"/>
    <x v="2"/>
    <n v="1"/>
    <s v="NO_"/>
    <m/>
    <m/>
    <n v="39"/>
    <n v="3430"/>
    <n v="51"/>
    <s v="SI_"/>
    <n v="6"/>
    <n v="7"/>
    <s v="NA"/>
    <x v="1"/>
    <m/>
  </r>
  <r>
    <n v="1032946299"/>
    <x v="1"/>
    <d v="2022-03-03T00:00:00"/>
    <m/>
    <m/>
    <m/>
    <m/>
    <x v="0"/>
    <x v="3"/>
    <x v="3"/>
    <s v="RC"/>
    <s v="ELENA   "/>
    <m/>
    <s v="QUIÑONEZ"/>
    <s v="PRECIADO"/>
    <s v="ELENA     QUIÑONEZ PRECIADO"/>
    <d v="2021-07-11T00:00:00"/>
    <x v="3"/>
    <n v="5"/>
    <n v="15"/>
    <s v="1 AÑOS 5 MESES 1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98C SUR 7-12 PI 3"/>
    <n v="3227533689"/>
    <m/>
    <x v="0"/>
    <s v="NO SE AUTORECONOCE EN NINGUNO DE LOS ANTERIORES"/>
    <x v="0"/>
    <x v="14"/>
    <s v="NO_"/>
    <s v="NO_"/>
    <s v="a. Pertenecientes a hogares con puntaje SISBEN"/>
    <s v="NO_"/>
    <s v="MADRE"/>
    <s v="CC"/>
    <n v="1143940800"/>
    <s v="IVON"/>
    <s v="YULIET"/>
    <s v="PRECIADO"/>
    <s v="RIVERA"/>
    <d v="1991-08-08T00:00:00"/>
    <s v="COLOMBIA"/>
    <s v="NARIÑO"/>
    <s v="BARBACOAS"/>
    <s v="CC"/>
    <n v="1087196481"/>
    <s v="MILTON"/>
    <s v="ADUER"/>
    <s v="QUIÑONES"/>
    <s v="CORTES"/>
    <d v="1993-04-19T00:00:00"/>
    <n v="29"/>
    <s v="COLOMBIA"/>
    <s v="NARIÑO"/>
    <s v="TUMACO"/>
    <s v="CC"/>
    <n v="1143940800"/>
    <s v="IVON"/>
    <s v="YULIET"/>
    <s v="PRECIADO"/>
    <s v="RIVERA"/>
    <d v="1991-08-08T00:00:00"/>
    <n v="31"/>
    <s v="COLOMBIA"/>
    <s v="NARIÑO"/>
    <s v="BARBACOAS"/>
    <x v="0"/>
    <x v="0"/>
    <x v="0"/>
    <d v="2022-02-27T00:00:00"/>
    <s v="SI_"/>
    <x v="2"/>
    <n v="2"/>
    <s v="NO_"/>
    <m/>
    <m/>
    <n v="40"/>
    <n v="2970"/>
    <n v="50"/>
    <s v="SI_"/>
    <n v="6"/>
    <n v="7"/>
    <s v="NA"/>
    <x v="1"/>
    <m/>
  </r>
  <r>
    <n v="1031187767"/>
    <x v="1"/>
    <d v="2022-03-03T00:00:00"/>
    <m/>
    <m/>
    <m/>
    <m/>
    <x v="0"/>
    <x v="3"/>
    <x v="3"/>
    <s v="RC"/>
    <s v="EMILY "/>
    <s v="DAHIAN"/>
    <s v="MURILLO"/>
    <s v="URREGO"/>
    <s v="EMILY  DAHIAN MURILLO URREGO"/>
    <d v="2021-07-20T00:00:00"/>
    <x v="3"/>
    <n v="5"/>
    <n v="6"/>
    <s v="1 AÑOS 5 MESES 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2"/>
    <m/>
    <s v="CL 107 SUR 9B ESTE 03"/>
    <n v="3227563211"/>
    <m/>
    <x v="0"/>
    <s v="NO SE AUTORECONOCE EN NINGUNO DE LOS ANTERIORES"/>
    <x v="1"/>
    <x v="1"/>
    <s v="NO_"/>
    <s v="NO_"/>
    <s v="o. Ingresos iguales o inferiores a 1.5 Smlv"/>
    <s v="NO_"/>
    <s v="MADRE"/>
    <s v="CC"/>
    <n v="1031182304"/>
    <s v="INGRID"/>
    <s v="KATERINE"/>
    <s v="URREGO"/>
    <s v="CAICEDO"/>
    <d v="1999-08-13T00:00:00"/>
    <s v="COLOMBIA"/>
    <s v="BOGOTÁ"/>
    <s v="BOGOTÁ"/>
    <s v="CC"/>
    <n v="1026306088"/>
    <s v="LARRY"/>
    <m/>
    <s v="MURILLO"/>
    <s v="MARTINEZ"/>
    <d v="1999-06-15T00:00:00"/>
    <n v="23"/>
    <s v="COLOMBIA"/>
    <s v="BOGOTÁ"/>
    <s v="BOGOTÁ"/>
    <s v="CC"/>
    <n v="1031182304"/>
    <s v="INGRID"/>
    <s v="KATERINE"/>
    <s v="URREGO"/>
    <s v="CAICEDO"/>
    <d v="1999-08-13T00:00:00"/>
    <n v="23"/>
    <s v="COLOMBIA"/>
    <s v="BOGOTÁ"/>
    <s v="BOGOTÁ"/>
    <x v="0"/>
    <x v="0"/>
    <x v="0"/>
    <d v="2022-02-26T00:00:00"/>
    <s v="SI_"/>
    <x v="1"/>
    <n v="0"/>
    <s v="NO_"/>
    <m/>
    <m/>
    <n v="36"/>
    <n v="2615"/>
    <n v="47"/>
    <s v="SI_"/>
    <n v="6"/>
    <n v="7"/>
    <s v="NA"/>
    <x v="1"/>
    <m/>
  </r>
  <r>
    <n v="1023046518"/>
    <x v="0"/>
    <d v="2022-03-03T00:00:00"/>
    <d v="2022-06-06T00:00:00"/>
    <e v="#REF!"/>
    <e v="#N/A"/>
    <m/>
    <x v="0"/>
    <x v="3"/>
    <x v="3"/>
    <s v="RC"/>
    <s v="HELLEN "/>
    <s v="SALOME "/>
    <s v="GOMEZ "/>
    <s v="MOSQUERA "/>
    <s v="HELLEN  SALOME  GOMEZ  MOSQUERA "/>
    <d v="2021-03-22T00:00:00"/>
    <x v="3"/>
    <n v="9"/>
    <n v="4"/>
    <s v="1 AÑOS 9 MESES 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CL 103 SUR # 7H ESTE 40"/>
    <n v="3103042488"/>
    <n v="3138319243"/>
    <x v="0"/>
    <s v="NO SE AUTORECONOCE EN NINGUNO DE LOS ANTERIORES"/>
    <x v="0"/>
    <x v="2"/>
    <s v="NO_"/>
    <s v="NO_"/>
    <s v="o. Ingresos iguales o inferiores a 1.5 Smlv"/>
    <s v="NO_"/>
    <s v="MADRE"/>
    <s v="CC"/>
    <n v="1003935459"/>
    <s v="YENCI"/>
    <m/>
    <s v="MOSQUERA"/>
    <s v="AGUALIMPIA"/>
    <d v="2002-08-20T00:00:00"/>
    <s v="COLOMBIA"/>
    <s v="CHOCÓ"/>
    <s v="QUIBDÓ"/>
    <m/>
    <m/>
    <m/>
    <m/>
    <m/>
    <m/>
    <m/>
    <s v=""/>
    <m/>
    <m/>
    <m/>
    <s v="CC"/>
    <n v="1003935459"/>
    <s v="YENCI"/>
    <m/>
    <s v="MOSQUERA"/>
    <s v="AGUALIMPIA"/>
    <d v="2002-08-20T00:00:00"/>
    <n v="20"/>
    <s v="COLOMBIA"/>
    <s v="CHOCÓ"/>
    <s v="QUIBDÓ"/>
    <x v="0"/>
    <x v="6"/>
    <x v="0"/>
    <d v="2022-02-26T00:00:00"/>
    <s v="SI_"/>
    <x v="1"/>
    <n v="0"/>
    <s v="NO_"/>
    <m/>
    <m/>
    <n v="39"/>
    <n v="3057"/>
    <n v="51"/>
    <s v="SI_"/>
    <n v="6"/>
    <n v="11"/>
    <s v="NA"/>
    <x v="1"/>
    <m/>
  </r>
  <r>
    <n v="6032021763"/>
    <x v="0"/>
    <d v="2022-03-03T00:00:00"/>
    <d v="2022-10-03T00:00:00"/>
    <e v="#REF!"/>
    <e v="#N/A"/>
    <s v="TRIANGULO"/>
    <x v="0"/>
    <x v="1"/>
    <x v="1"/>
    <s v="ANM"/>
    <s v="KEYDY"/>
    <s v="ANESSA"/>
    <s v="BERMUDEZ"/>
    <s v="GARCIA "/>
    <s v="KEYDY ANESSA BERMUDEZ GARCIA "/>
    <d v="2021-03-06T00:00:00"/>
    <x v="3"/>
    <n v="9"/>
    <n v="20"/>
    <s v="1 AÑOS 9 MESES 20 DIAS "/>
    <x v="2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KRA 3 A ESTE #90 SUR "/>
    <n v="3147815634"/>
    <m/>
    <x v="0"/>
    <s v="NO SE AUTORECONOCE EN NINGUNO DE LOS ANTERIORES"/>
    <x v="1"/>
    <x v="1"/>
    <s v="NO_"/>
    <s v="NO_"/>
    <s v="o. Ingresos iguales o inferiores a 1.5 Smlv"/>
    <s v="NO_"/>
    <s v="MADRE"/>
    <s v="SIN DOCUMENTO"/>
    <m/>
    <s v="KELIN"/>
    <s v="DELVALLE"/>
    <s v="BERMUDEZ "/>
    <m/>
    <d v="2001-10-08T00:00:00"/>
    <s v="VENEZUELA"/>
    <s v="EXTERIOR"/>
    <s v="EXTERIOR"/>
    <m/>
    <m/>
    <m/>
    <m/>
    <m/>
    <m/>
    <m/>
    <s v=""/>
    <m/>
    <m/>
    <m/>
    <s v="SIN DOCUMENTO"/>
    <m/>
    <s v="KELIN"/>
    <s v="DELVALLE"/>
    <s v="BERMUDEZ "/>
    <m/>
    <d v="2001-10-08T00:00:00"/>
    <n v="21"/>
    <s v="VENEZUELA"/>
    <s v="EXTERIOR"/>
    <s v="EXTERIOR"/>
    <x v="3"/>
    <x v="12"/>
    <x v="0"/>
    <d v="2022-03-10T00:00:00"/>
    <s v="SI_"/>
    <x v="1"/>
    <n v="0"/>
    <s v="NO_"/>
    <m/>
    <m/>
    <n v="3180"/>
    <n v="50"/>
    <n v="39"/>
    <s v="SI_"/>
    <n v="6"/>
    <n v="11"/>
    <s v="NA"/>
    <x v="1"/>
    <m/>
  </r>
  <r>
    <n v="1010251957"/>
    <x v="0"/>
    <d v="2022-03-22T00:00:00"/>
    <d v="2022-06-21T00:00:00"/>
    <e v="#REF!"/>
    <e v="#N/A"/>
    <m/>
    <x v="0"/>
    <x v="3"/>
    <x v="3"/>
    <s v="RC"/>
    <s v="EILEEN"/>
    <s v="NAOMY"/>
    <s v="OCHOA"/>
    <s v="BARAHONA"/>
    <s v="EILEEN NAOMY OCHOA BARAHONA"/>
    <d v="2021-06-19T00:00:00"/>
    <x v="3"/>
    <n v="6"/>
    <n v="7"/>
    <s v="1 AÑOS 6 MESES 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RA 8 C ESTE #105 50 SUR"/>
    <n v="3118222399"/>
    <n v="3103080012"/>
    <x v="0"/>
    <s v="NO SE AUTORECONOCE EN NINGUNO DE LOS ANTERIORES"/>
    <x v="1"/>
    <x v="1"/>
    <s v="NO_"/>
    <s v="NO_"/>
    <s v="o. Ingresos iguales o inferiores a 1.5 Smlv"/>
    <m/>
    <s v="MADRE"/>
    <s v="CC"/>
    <n v="1000048141"/>
    <s v="BRIYITH"/>
    <s v="TATIANA"/>
    <s v="BARAHONA"/>
    <s v="URREGO"/>
    <d v="1998-10-14T00:00:00"/>
    <s v="COLOMBIA"/>
    <s v="BOGOTÁ"/>
    <s v="BOGOTÁ"/>
    <s v="CC"/>
    <n v="1022977041"/>
    <s v="OSCAR"/>
    <s v="GERMAN"/>
    <s v="OCHOA"/>
    <s v="VELASCO"/>
    <d v="1992-04-10T00:00:00"/>
    <n v="30"/>
    <s v="COLOMBIA"/>
    <s v="BOGOTÁ"/>
    <s v="BOGOTÁ"/>
    <s v="CC"/>
    <n v="1000048141"/>
    <s v="BRIYITH"/>
    <s v="TATIANA"/>
    <s v="BARAHONA"/>
    <s v="URREGO"/>
    <d v="1998-10-14T00:00:00"/>
    <n v="24"/>
    <s v="COLOMBIA"/>
    <s v="BOGOTÁ"/>
    <s v="BOGOTÁ"/>
    <x v="0"/>
    <x v="0"/>
    <x v="0"/>
    <d v="2022-03-22T00:00:00"/>
    <s v="SI_"/>
    <x v="2"/>
    <n v="2"/>
    <s v="NO_"/>
    <m/>
    <m/>
    <m/>
    <n v="3090"/>
    <m/>
    <m/>
    <m/>
    <m/>
    <m/>
    <x v="1"/>
    <m/>
  </r>
  <r>
    <n v="1206227284"/>
    <x v="0"/>
    <d v="2022-03-03T00:00:00"/>
    <d v="2022-03-23T00:00:00"/>
    <e v="#REF!"/>
    <e v="#N/A"/>
    <m/>
    <x v="0"/>
    <x v="3"/>
    <x v="3"/>
    <s v="RC"/>
    <s v="JULIAN"/>
    <s v="SAID"/>
    <s v="ORTIZ"/>
    <s v="LOPEZ"/>
    <s v="JULIAN SAID ORTIZ LOPEZ"/>
    <d v="2021-08-03T00:00:00"/>
    <x v="3"/>
    <n v="4"/>
    <n v="23"/>
    <s v="1 AÑOS 4 MESES 2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KR 6B ESTE 90A SUR 81 PI 1 AP 100"/>
    <n v="3013332416"/>
    <m/>
    <x v="0"/>
    <s v="NO SE AUTORECONOCE EN NINGUNO DE LOS ANTERIORES"/>
    <x v="0"/>
    <x v="2"/>
    <s v="NO_"/>
    <s v="NO_"/>
    <s v="a. Pertenecientes a hogares con puntaje SISBEN"/>
    <s v="NO_"/>
    <s v="MADRE"/>
    <s v="CC"/>
    <n v="1023035518"/>
    <s v="LEIDY"/>
    <s v="DAYANA"/>
    <s v="LOPEZ"/>
    <s v="BARAJAS "/>
    <d v="1999-05-16T00:00:00"/>
    <s v="COLOMBIA"/>
    <s v="CUNDINAMARCA"/>
    <s v="SOACHA"/>
    <s v="CC"/>
    <n v="1023025077"/>
    <s v="OSCAR"/>
    <s v="FABIAN"/>
    <s v="ORTIZ"/>
    <s v="PEREZ"/>
    <d v="1997-10-24T00:00:00"/>
    <n v="25"/>
    <s v="COLOMBIA"/>
    <s v="BOGOTÁ"/>
    <s v="BOGOTÁ"/>
    <s v="CC"/>
    <n v="1023035518"/>
    <s v="LEIDY"/>
    <s v="DAYANA"/>
    <s v="LOPEZ"/>
    <s v="BARAJAS "/>
    <d v="1999-05-16T00:00:00"/>
    <n v="23"/>
    <s v="COLOMBIA"/>
    <s v="CUNDINAMARCA"/>
    <s v="SOACHA"/>
    <x v="1"/>
    <x v="1"/>
    <x v="0"/>
    <d v="2022-02-27T00:00:00"/>
    <s v="SI_"/>
    <x v="2"/>
    <n v="1"/>
    <s v="NO_"/>
    <m/>
    <m/>
    <n v="39"/>
    <n v="3170"/>
    <n v="53"/>
    <s v="SI_"/>
    <n v="6"/>
    <n v="6"/>
    <s v="NA"/>
    <x v="1"/>
    <m/>
  </r>
  <r>
    <n v="1023047167"/>
    <x v="0"/>
    <d v="2022-03-03T00:00:00"/>
    <d v="2022-05-16T00:00:00"/>
    <e v="#REF!"/>
    <e v="#N/A"/>
    <m/>
    <x v="0"/>
    <x v="3"/>
    <x v="3"/>
    <s v="RC"/>
    <s v="SALOME "/>
    <m/>
    <s v="MALDONADO"/>
    <s v="BOCANEGRA"/>
    <s v="SALOME   MALDONADO BOCANEGRA"/>
    <d v="2021-08-25T00:00:00"/>
    <x v="3"/>
    <n v="4"/>
    <n v="1"/>
    <s v="1 AÑOS 4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CLL 111A SUR 9 ESTE 12"/>
    <n v="3209613265"/>
    <m/>
    <x v="0"/>
    <s v="NO SE AUTORECONOCE EN NINGUNO DE LOS ANTERIORES"/>
    <x v="0"/>
    <x v="11"/>
    <s v="NO_"/>
    <s v="NO_"/>
    <s v="a. Pertenecientes a hogares con puntaje SISBEN"/>
    <s v="NO_"/>
    <s v="MADRE"/>
    <s v="CC"/>
    <n v="1000324053"/>
    <s v="LAURA "/>
    <s v="MARCELA "/>
    <s v="BOCANEGRA"/>
    <s v="FIERRO"/>
    <d v="2000-03-06T00:00:00"/>
    <s v="COLOMBIA"/>
    <s v="BOGOTÁ"/>
    <s v="BOGOTÁ"/>
    <s v="CC"/>
    <n v="101003061"/>
    <s v="BRAYAN "/>
    <s v="STIVEN"/>
    <s v="MALDONADO "/>
    <s v="ZAMUDIO "/>
    <d v="1999-11-19T00:00:00"/>
    <n v="23"/>
    <s v="COLOMBIA"/>
    <s v="BOGOTÁ"/>
    <s v="BOGOTÁ"/>
    <s v="CC"/>
    <n v="1000324053"/>
    <s v="LAURA "/>
    <s v="MARCELA "/>
    <s v="BOCANEGRA"/>
    <s v="FIERRO"/>
    <d v="2000-03-06T00:00:00"/>
    <n v="22"/>
    <s v="COLOMBIA"/>
    <s v="BOGOTÁ"/>
    <s v="BOGOTÁ"/>
    <x v="1"/>
    <x v="1"/>
    <x v="0"/>
    <d v="2022-02-27T00:00:00"/>
    <s v="SI_"/>
    <x v="1"/>
    <n v="0"/>
    <s v="NO_"/>
    <m/>
    <m/>
    <m/>
    <m/>
    <m/>
    <m/>
    <m/>
    <m/>
    <s v="NA"/>
    <x v="1"/>
    <m/>
  </r>
  <r>
    <n v="1015197913"/>
    <x v="1"/>
    <d v="2022-09-20T00:00:00"/>
    <m/>
    <m/>
    <m/>
    <m/>
    <x v="0"/>
    <x v="5"/>
    <x v="5"/>
    <s v="RC"/>
    <s v="JHOPSE"/>
    <s v="GAEL"/>
    <s v="VELASQUEZ"/>
    <s v="SALAZAR"/>
    <s v="JHOPSE GAEL VELASQUEZ SALAZAR"/>
    <d v="2021-01-17T00:00:00"/>
    <x v="3"/>
    <n v="11"/>
    <n v="9"/>
    <s v="1 AÑOS 11 MESES 9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"/>
    <m/>
    <s v="CARRERA6AESTE#107A15SUR"/>
    <n v="3043822529"/>
    <n v="3155707879"/>
    <x v="0"/>
    <s v="NO SE AUTORECONOCE EN NINGUNO DE LOS ANTERIORES"/>
    <x v="1"/>
    <x v="1"/>
    <s v="NO_"/>
    <s v="NO_"/>
    <m/>
    <m/>
    <s v="MADRE"/>
    <s v="PEP"/>
    <n v="6416765"/>
    <s v="BETANNIA"/>
    <s v="YOSELIN"/>
    <s v="SALAZAR"/>
    <s v="ALAYON"/>
    <d v="1994-06-23T00:00:00"/>
    <s v="VENEZUELA"/>
    <s v="EXTERIOR"/>
    <s v="EXTERIOR"/>
    <s v="PEP"/>
    <n v="5971411"/>
    <s v="VICTOR"/>
    <s v="RAMON"/>
    <s v="VELASQUEZ"/>
    <s v="ESCALONA"/>
    <d v="1987-12-22T00:00:00"/>
    <n v="35"/>
    <s v="VENEZUELA"/>
    <s v="EXTERIOR"/>
    <s v="EXTERIOR"/>
    <s v="PEP"/>
    <n v="6416765"/>
    <s v="BETANNIA"/>
    <s v="YOSELIN"/>
    <s v="SALAZAR"/>
    <s v="ALAYON"/>
    <d v="1994-06-23T00:00:00"/>
    <n v="28"/>
    <s v="VENEZUELA"/>
    <s v="EXTERIOR"/>
    <s v="EXTERIOR"/>
    <x v="1"/>
    <x v="13"/>
    <x v="0"/>
    <d v="2022-09-21T00:00:00"/>
    <s v="SI_"/>
    <x v="2"/>
    <m/>
    <s v="NO_"/>
    <m/>
    <m/>
    <m/>
    <n v="3100"/>
    <n v="49"/>
    <s v="NO_"/>
    <n v="8"/>
    <s v="HASTA EL MOMENTO"/>
    <n v="38"/>
    <x v="1"/>
    <m/>
  </r>
  <r>
    <n v="60820211029"/>
    <x v="0"/>
    <d v="2022-03-03T00:00:00"/>
    <d v="2022-09-20T00:00:00"/>
    <e v="#REF!"/>
    <e v="#N/A"/>
    <m/>
    <x v="0"/>
    <x v="3"/>
    <x v="3"/>
    <s v="ANM"/>
    <s v="YLIANA "/>
    <s v="VICTORIA "/>
    <s v="VILLALOBOS"/>
    <s v="TORRES"/>
    <s v="YLIANA  VICTORIA  VILLALOBOS TORRES"/>
    <d v="2021-08-06T00:00:00"/>
    <x v="3"/>
    <n v="4"/>
    <n v="20"/>
    <s v="1 AÑOS 4 MESES 20 DIAS "/>
    <x v="2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CL 90 SUR 7F ESTE 10"/>
    <n v="3043635513"/>
    <m/>
    <x v="0"/>
    <s v="NO SE AUTORECONOCE EN NINGUNO DE LOS ANTERIORES"/>
    <x v="1"/>
    <x v="1"/>
    <s v="NO_"/>
    <s v="NO_"/>
    <s v="o. Ingresos iguales o inferiores a 1.5 Smlv"/>
    <s v="NO_"/>
    <s v="MADRE"/>
    <s v="SIN DOCUMENTO"/>
    <m/>
    <s v="DAILIBYS"/>
    <s v="DESSIREE"/>
    <s v="TORRES"/>
    <s v="PAZ"/>
    <d v="2000-05-22T00:00:00"/>
    <s v="VENEZUELA"/>
    <s v="EXTERIOR"/>
    <s v="EXTERIOR"/>
    <s v="SIN DOCUMENTO"/>
    <m/>
    <s v="JESUS"/>
    <s v="SALVADOR"/>
    <s v="VILLALOBOS"/>
    <s v="DE VICENTE"/>
    <d v="1992-11-25T00:00:00"/>
    <n v="30"/>
    <s v="VENEZUELA"/>
    <s v="EXTERIOR"/>
    <s v="EXTERIOR"/>
    <s v="SIN DOCUMENTO"/>
    <m/>
    <s v="DAILIBYS"/>
    <s v="DESSIREE"/>
    <s v="TORRES"/>
    <s v="PAZ"/>
    <d v="2000-05-22T00:00:00"/>
    <n v="22"/>
    <s v="VENEZUELA"/>
    <s v="EXTERIOR"/>
    <s v="EXTERIOR"/>
    <x v="3"/>
    <x v="12"/>
    <x v="0"/>
    <d v="2022-02-27T00:00:00"/>
    <s v="SI_"/>
    <x v="1"/>
    <n v="0"/>
    <s v="NO_"/>
    <m/>
    <m/>
    <n v="39"/>
    <n v="3140"/>
    <n v="50"/>
    <s v="SI_"/>
    <n v="6"/>
    <n v="7"/>
    <s v="NA"/>
    <x v="1"/>
    <m/>
  </r>
  <r>
    <n v="1023046528"/>
    <x v="0"/>
    <d v="2022-03-03T00:00:00"/>
    <d v="2022-07-18T00:00:00"/>
    <e v="#REF!"/>
    <e v="#N/A"/>
    <m/>
    <x v="0"/>
    <x v="4"/>
    <x v="4"/>
    <s v="RC"/>
    <s v="ABBYS"/>
    <s v="LEONOR "/>
    <s v="VARGAS "/>
    <s v="CASTILLO"/>
    <s v="ABBYS LEONOR  VARGAS  CASTILLO"/>
    <d v="2021-03-15T00:00:00"/>
    <x v="3"/>
    <n v="9"/>
    <n v="11"/>
    <s v="1 AÑOS 9 MESES 1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KRA 3 A ESTE #90 SUR-13"/>
    <n v="3244482324"/>
    <m/>
    <x v="0"/>
    <s v="NO SE AUTORECONOCE EN NINGUNO DE LOS ANTERIORES"/>
    <x v="1"/>
    <x v="1"/>
    <s v="NO_"/>
    <s v="NO_"/>
    <s v="o. Ingresos iguales o inferiores a 1.5 Smlv"/>
    <s v="NO_"/>
    <s v="MADRE"/>
    <s v="SIN DOCUMENTO"/>
    <m/>
    <s v="YAJAIRA"/>
    <s v="JOSEFINA"/>
    <s v="CASTILLO"/>
    <s v="RANJEL"/>
    <d v="1990-04-23T00:00:00"/>
    <s v="VENEZUELA"/>
    <s v="EXTERIOR"/>
    <s v="EXTERIOR"/>
    <m/>
    <m/>
    <m/>
    <m/>
    <m/>
    <m/>
    <m/>
    <s v=""/>
    <m/>
    <m/>
    <m/>
    <s v="SIN DOCUMENTO"/>
    <m/>
    <s v="YAJAIRA"/>
    <s v="JOSEFINA"/>
    <s v="CASTILLO"/>
    <s v="RANJEL"/>
    <d v="1990-04-23T00:00:00"/>
    <n v="32"/>
    <s v="VENEZUELA"/>
    <s v="EXTERIOR"/>
    <s v="EXTERIOR"/>
    <x v="1"/>
    <x v="1"/>
    <x v="0"/>
    <d v="2022-02-27T00:00:00"/>
    <s v="SI_"/>
    <x v="1"/>
    <n v="0"/>
    <s v="NO_"/>
    <m/>
    <m/>
    <n v="40"/>
    <n v="2840"/>
    <n v="48"/>
    <s v="SI_"/>
    <n v="6"/>
    <n v="11"/>
    <s v="NA"/>
    <x v="1"/>
    <m/>
  </r>
  <r>
    <n v="1032513713"/>
    <x v="1"/>
    <d v="2022-07-14T00:00:00"/>
    <m/>
    <m/>
    <m/>
    <m/>
    <x v="0"/>
    <x v="3"/>
    <x v="3"/>
    <s v="RC"/>
    <s v="YOGER"/>
    <s v="ESTIWAR"/>
    <s v="RIVAS"/>
    <s v="RIVAS"/>
    <s v="YOGER ESTIWAR RIVAS RIVAS"/>
    <d v="2021-02-10T00:00:00"/>
    <x v="3"/>
    <n v="10"/>
    <n v="16"/>
    <s v="1 AÑOS 10 MESES 1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n v="3106982269"/>
    <m/>
    <x v="2"/>
    <s v="NO SE AUTORECONOCE EN NINGUNO DE LOS ANTERIORES"/>
    <x v="0"/>
    <x v="6"/>
    <s v="NO_"/>
    <s v="NO_"/>
    <m/>
    <s v="NO_"/>
    <s v="MADRE"/>
    <s v="CC"/>
    <n v="1076322441"/>
    <s v="KELLY"/>
    <s v="TATIANA"/>
    <s v="RIVAS"/>
    <s v="BONILLA"/>
    <d v="1994-04-16T00:00:00"/>
    <s v="COLOMBIA"/>
    <s v="BOGOTÁ"/>
    <s v="BOGOTÁ"/>
    <m/>
    <m/>
    <m/>
    <m/>
    <m/>
    <m/>
    <m/>
    <s v=""/>
    <m/>
    <m/>
    <m/>
    <s v="CC"/>
    <n v="1076322441"/>
    <s v="KELLY"/>
    <s v="TATIANA"/>
    <s v="RIVAS"/>
    <s v="BONILLA"/>
    <d v="1994-04-16T00:00:00"/>
    <n v="28"/>
    <s v="COLOMBIA"/>
    <m/>
    <m/>
    <x v="0"/>
    <x v="6"/>
    <x v="0"/>
    <d v="2022-07-14T00:00:00"/>
    <s v="NO_"/>
    <x v="2"/>
    <m/>
    <s v="NO_"/>
    <m/>
    <m/>
    <n v="39"/>
    <n v="3415"/>
    <m/>
    <s v="SI_"/>
    <n v="6"/>
    <m/>
    <m/>
    <x v="1"/>
    <m/>
  </r>
  <r>
    <n v="1243858675"/>
    <x v="0"/>
    <d v="2022-03-03T00:00:00"/>
    <d v="2022-07-14T00:00:00"/>
    <e v="#REF!"/>
    <e v="#N/A"/>
    <m/>
    <x v="0"/>
    <x v="5"/>
    <x v="5"/>
    <s v="RC"/>
    <s v="ALAN "/>
    <s v="MATHIAS"/>
    <s v="GARZON"/>
    <s v="GUZMAN"/>
    <s v="ALAN  MATHIAS GARZON GUZMAN"/>
    <d v="2020-05-21T00:00:00"/>
    <x v="2"/>
    <n v="7"/>
    <n v="5"/>
    <s v="2 AÑOS 7 MESES 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100B SUR 6F ESTE 10"/>
    <n v="3012911920"/>
    <m/>
    <x v="0"/>
    <s v="NO SE AUTORECONOCE EN NINGUNO DE LOS ANTERIORES"/>
    <x v="1"/>
    <x v="1"/>
    <s v="NO_"/>
    <s v="NO_"/>
    <s v="o. Ingresos iguales o inferiores a 1.5 Smlv"/>
    <s v="NO_"/>
    <s v="MADRE"/>
    <s v="CC"/>
    <n v="1000362531"/>
    <s v="JENNY"/>
    <s v="CAROLINA"/>
    <s v="GUZMAN"/>
    <s v="TIBAQUIRA"/>
    <d v="2000-08-23T00:00:00"/>
    <s v="COLOMBIA"/>
    <s v="BOGOTÁ"/>
    <s v="BOGOTÁ"/>
    <s v="CC"/>
    <n v="1023030438"/>
    <s v="JHONATAN"/>
    <m/>
    <s v="GARZON"/>
    <s v="PATIÑO"/>
    <d v="1998-09-26T00:00:00"/>
    <n v="24"/>
    <s v="COLOMBIA"/>
    <s v="BOGOTÁ"/>
    <s v="BOGOTÁ"/>
    <s v="CC"/>
    <n v="1000362531"/>
    <s v="JENNY"/>
    <s v="CAROLINA"/>
    <s v="GUZMAN"/>
    <s v="TIBAQUIRA"/>
    <d v="2000-08-23T00:00:00"/>
    <n v="22"/>
    <s v="COLOMBIA"/>
    <s v="BOGOTÁ"/>
    <s v="BOGOTÁ"/>
    <x v="0"/>
    <x v="3"/>
    <x v="0"/>
    <d v="2022-02-27T00:00:00"/>
    <s v="SI_"/>
    <x v="2"/>
    <n v="2"/>
    <s v="NO_"/>
    <m/>
    <m/>
    <n v="38"/>
    <n v="2935"/>
    <n v="49"/>
    <m/>
    <n v="6"/>
    <n v="9"/>
    <s v="NA"/>
    <x v="1"/>
    <m/>
  </r>
  <r>
    <n v="1013156586"/>
    <x v="1"/>
    <d v="2022-03-03T00:00:00"/>
    <m/>
    <m/>
    <m/>
    <m/>
    <x v="0"/>
    <x v="5"/>
    <x v="5"/>
    <s v="RC"/>
    <s v="ANGEL "/>
    <s v="SANTIAGO "/>
    <s v="GARZON "/>
    <s v="ALZATE"/>
    <s v="ANGEL  SANTIAGO  GARZON  ALZATE"/>
    <d v="2020-08-12T00:00:00"/>
    <x v="2"/>
    <n v="4"/>
    <n v="14"/>
    <s v="2 AÑOS 4 MESES 1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7 ESTE 109 SUR 25 1"/>
    <n v="3143098917"/>
    <m/>
    <x v="0"/>
    <s v="NO SE AUTORECONOCE EN NINGUNO DE LOS ANTERIORES"/>
    <x v="1"/>
    <x v="1"/>
    <s v="NO_"/>
    <s v="NO_"/>
    <s v="o. Ingresos iguales o inferiores a 1.5 Smlv"/>
    <s v="NO_"/>
    <s v="ABUELO(A)"/>
    <s v="CC"/>
    <n v="24757910"/>
    <s v="MARIA "/>
    <s v="ROSALBA"/>
    <s v="SANTA "/>
    <s v="HERNANDEZ "/>
    <d v="1965-09-05T00:00:00"/>
    <s v="COLOMBIA"/>
    <s v="CALDAS"/>
    <s v="PENSILVANIA"/>
    <s v="CC"/>
    <n v="1073710884"/>
    <s v="JUAN "/>
    <s v="CARLOS "/>
    <s v="GARZON "/>
    <s v="DIAZ"/>
    <d v="1997-04-03T00:00:00"/>
    <n v="25"/>
    <s v="COLOMBIA"/>
    <s v="BOGOTÁ"/>
    <s v="BOGOTÁ"/>
    <s v="CC"/>
    <n v="1233489236"/>
    <s v="DANIELA "/>
    <s v="TATIANA"/>
    <s v="ALZATE "/>
    <s v="SANTA "/>
    <d v="1997-07-12T00:00:00"/>
    <n v="25"/>
    <s v="COLOMBIA"/>
    <s v="BOGOTÁ"/>
    <s v="BOGOTÁ"/>
    <x v="0"/>
    <x v="3"/>
    <x v="0"/>
    <d v="2022-02-27T00:00:00"/>
    <s v="SI_"/>
    <x v="1"/>
    <n v="0"/>
    <s v="NO_"/>
    <m/>
    <m/>
    <m/>
    <m/>
    <m/>
    <m/>
    <m/>
    <m/>
    <s v="NA"/>
    <x v="1"/>
    <m/>
  </r>
  <r>
    <n v="1023046291"/>
    <x v="1"/>
    <d v="2022-03-03T00:00:00"/>
    <m/>
    <m/>
    <m/>
    <m/>
    <x v="0"/>
    <x v="5"/>
    <x v="5"/>
    <s v="RC"/>
    <s v="BRYANNA "/>
    <s v="VALENTINA"/>
    <s v="FIGUEREDO"/>
    <s v="ACOSTA"/>
    <s v="BRYANNA  VALENTINA FIGUEREDO ACOSTA"/>
    <d v="2021-01-25T00:00:00"/>
    <x v="3"/>
    <n v="11"/>
    <n v="1"/>
    <s v="1 AÑOS 11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3"/>
    <m/>
    <s v="DG 98 SUR 7C ESTE  00-27"/>
    <s v="312 3531649"/>
    <m/>
    <x v="0"/>
    <s v="NO SE AUTORECONOCE EN NINGUNO DE LOS ANTERIORES"/>
    <x v="1"/>
    <x v="1"/>
    <s v="NO_"/>
    <s v="NO_"/>
    <m/>
    <s v="NO_"/>
    <s v="MADRE"/>
    <s v="SIN DOCUMENTO"/>
    <m/>
    <s v="DARIANA "/>
    <s v="JOSEFINA"/>
    <s v="ACOSTO"/>
    <s v="CARO"/>
    <d v="1995-02-02T00:00:00"/>
    <s v="VENEZUELA"/>
    <s v="EXTERIOR"/>
    <s v="EXTERIOR"/>
    <s v="CC"/>
    <n v="1023018757"/>
    <s v="BAYRON"/>
    <s v="ORLANDO"/>
    <s v="FIGUEREDO"/>
    <s v="SIERRA"/>
    <d v="1997-01-21T00:00:00"/>
    <n v="25"/>
    <s v="COLOMBIA"/>
    <s v="BOGOTÁ"/>
    <s v="BOGOTÁ"/>
    <s v="SIN DOCUMENTO"/>
    <m/>
    <s v="DARIANA "/>
    <s v="JOSEFINA"/>
    <s v="ACOSTO"/>
    <s v="CARO"/>
    <d v="1995-02-02T00:00:00"/>
    <n v="27"/>
    <s v="VENEZUELA"/>
    <s v="EXTERIOR"/>
    <s v="EXTERIOR"/>
    <x v="1"/>
    <x v="1"/>
    <x v="0"/>
    <d v="2022-02-27T00:00:00"/>
    <s v="SI_"/>
    <x v="1"/>
    <n v="0"/>
    <s v="NO_"/>
    <m/>
    <m/>
    <n v="39"/>
    <n v="3140"/>
    <n v="51"/>
    <m/>
    <n v="6"/>
    <n v="12"/>
    <s v="NA"/>
    <x v="1"/>
    <m/>
  </r>
  <r>
    <n v="1233698686"/>
    <x v="1"/>
    <d v="2022-03-03T00:00:00"/>
    <m/>
    <m/>
    <m/>
    <m/>
    <x v="0"/>
    <x v="4"/>
    <x v="4"/>
    <s v="RC"/>
    <s v="CRISTOPHER  "/>
    <s v="CAMILO"/>
    <s v="GUIO"/>
    <s v="ABRIL"/>
    <s v="CRISTOPHER   CAMILO GUIO ABRIL"/>
    <d v="2019-07-21T00:00:00"/>
    <x v="10"/>
    <n v="5"/>
    <n v="5"/>
    <s v="3 AÑOS 5 MESES 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BIS A ESTE 99 SUR 59"/>
    <n v="3132842011"/>
    <m/>
    <x v="0"/>
    <s v="NO SE AUTORECONOCE EN NINGUNO DE LOS ANTERIORES"/>
    <x v="0"/>
    <x v="11"/>
    <s v="NO_"/>
    <s v="NO_"/>
    <s v="a. Pertenecientes a hogares con puntaje SISBEN"/>
    <s v="NO_"/>
    <s v="MADRE"/>
    <s v="CC"/>
    <n v="52321709"/>
    <s v="AURORA"/>
    <s v="PATRICIA"/>
    <s v="ABRIL"/>
    <s v="GRIMALDO"/>
    <s v="2912/1974"/>
    <s v="COLOMBIA"/>
    <s v="BOGOTÁ"/>
    <s v="BOGOTÁ"/>
    <s v="CC"/>
    <n v="80747046"/>
    <s v="CAMILO"/>
    <m/>
    <s v="GUIO"/>
    <s v="COLMENARES"/>
    <d v="1982-11-03T00:00:00"/>
    <n v="40"/>
    <s v="COLOMBIA"/>
    <s v="BOGOTÁ"/>
    <s v="BOGOTÁ"/>
    <s v="CC"/>
    <n v="52321709"/>
    <s v="AURORA"/>
    <s v="PATRICIA"/>
    <s v="ABRIL"/>
    <s v="GRIMALDO"/>
    <d v="1974-12-29T00:00:00"/>
    <n v="47"/>
    <s v="COLOMBIA"/>
    <s v="BOGOTÁ"/>
    <s v="BOGOTÁ"/>
    <x v="1"/>
    <x v="0"/>
    <x v="0"/>
    <d v="2022-02-27T00:00:00"/>
    <s v="NO_"/>
    <x v="1"/>
    <n v="0"/>
    <s v="NO_"/>
    <m/>
    <m/>
    <m/>
    <m/>
    <m/>
    <m/>
    <n v="6"/>
    <n v="12"/>
    <s v="NA"/>
    <x v="3"/>
    <m/>
  </r>
  <r>
    <n v="1023044822"/>
    <x v="1"/>
    <d v="2022-03-03T00:00:00"/>
    <m/>
    <m/>
    <m/>
    <m/>
    <x v="0"/>
    <x v="5"/>
    <x v="5"/>
    <s v="RC"/>
    <s v="DEIILY "/>
    <s v="SOFIA"/>
    <s v="GUZMAN"/>
    <s v="ARDILA"/>
    <s v="DEIILY  SOFIA GUZMAN ARDILA"/>
    <d v="2019-10-25T00:00:00"/>
    <x v="10"/>
    <n v="2"/>
    <n v="1"/>
    <s v="3 AÑOS 2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CLL 111 A SUR 8A ESTE 18"/>
    <m/>
    <m/>
    <x v="0"/>
    <s v="NO SE AUTORECONOCE EN NINGUNO DE LOS ANTERIORES"/>
    <x v="0"/>
    <x v="17"/>
    <s v="NO_"/>
    <s v="NO_"/>
    <s v="a. Pertenecientes a hogares con puntaje SISBEN"/>
    <s v="NO_"/>
    <s v="MADRE"/>
    <s v="CC"/>
    <n v="1000937467"/>
    <s v="KAREN"/>
    <s v="MAYERLI"/>
    <s v="ARDILA"/>
    <s v="JIMENEZ"/>
    <d v="2002-08-16T00:00:00"/>
    <s v="COLOMBIA"/>
    <s v="BOGOTÁ"/>
    <s v="BOGOTÁ"/>
    <s v="CC"/>
    <n v="1005254065"/>
    <s v="FERNEY"/>
    <s v="ALONSO"/>
    <s v="GUZMAN"/>
    <s v="FAGUA"/>
    <d v="1996-12-07T00:00:00"/>
    <n v="26"/>
    <s v="COLOMBIA"/>
    <s v="QUINDÍO"/>
    <s v="CALARCÁ"/>
    <s v="CC"/>
    <n v="1000937467"/>
    <s v="KAREN"/>
    <s v="MAYERLI"/>
    <s v="ARDILA"/>
    <s v="JIMENEZ"/>
    <d v="2002-08-16T00:00:00"/>
    <n v="20"/>
    <s v="COLOMBIA"/>
    <s v="BOGOTÁ"/>
    <s v="BOGOTÁ"/>
    <x v="1"/>
    <x v="1"/>
    <x v="0"/>
    <d v="2022-02-27T00:00:00"/>
    <s v="SI_"/>
    <x v="2"/>
    <n v="1"/>
    <s v="NO_"/>
    <m/>
    <m/>
    <n v="39"/>
    <n v="3000"/>
    <n v="50"/>
    <m/>
    <n v="6"/>
    <n v="11"/>
    <s v="NA"/>
    <x v="3"/>
    <m/>
  </r>
  <r>
    <n v="1243858309"/>
    <x v="0"/>
    <d v="2022-03-03T00:00:00"/>
    <d v="2022-03-22T00:00:00"/>
    <e v="#REF!"/>
    <e v="#N/A"/>
    <m/>
    <x v="0"/>
    <x v="5"/>
    <x v="5"/>
    <s v="RC"/>
    <s v="KAROL"/>
    <s v="DAYANA"/>
    <s v="MENDEZ"/>
    <s v="TAMARA"/>
    <s v="KAROL DAYANA MENDEZ TAMARA"/>
    <d v="2020-02-16T00:00:00"/>
    <x v="2"/>
    <n v="10"/>
    <n v="10"/>
    <s v="2 AÑOS 10 MESES 1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INVACION "/>
    <n v="3213162140"/>
    <m/>
    <x v="0"/>
    <s v="NO SE AUTORECONOCE EN NINGUNO DE LOS ANTERIORES"/>
    <x v="0"/>
    <x v="17"/>
    <s v="NO_"/>
    <s v="NO_"/>
    <s v="a. Pertenecientes a hogares con puntaje SISBEN"/>
    <s v="NO_"/>
    <s v="MADRE"/>
    <s v="CC"/>
    <n v="1115948477"/>
    <s v="MARLOVVY"/>
    <m/>
    <s v="TAMARA"/>
    <s v="DEVIA"/>
    <d v="1991-12-10T00:00:00"/>
    <s v="COLOMBIA"/>
    <s v="CAQUETÁ"/>
    <s v="MORELIA"/>
    <s v="CC"/>
    <n v="1104068515"/>
    <s v="FERNEY"/>
    <m/>
    <s v="MENDEZ"/>
    <s v="MURILLO"/>
    <d v="1987-07-27T00:00:00"/>
    <n v="35"/>
    <s v="COLOMBIA"/>
    <s v="SANTANDER"/>
    <s v="OIBA"/>
    <s v="CC"/>
    <n v="1115948477"/>
    <s v="MARLOVVY"/>
    <m/>
    <s v="TAMARA"/>
    <s v="DEVIA"/>
    <d v="1991-12-10T00:00:00"/>
    <n v="31"/>
    <s v="COLOMBIA"/>
    <s v="CAQUETÁ"/>
    <s v="MORELIA"/>
    <x v="0"/>
    <x v="6"/>
    <x v="0"/>
    <d v="2022-03-10T00:00:00"/>
    <s v="SI_"/>
    <x v="2"/>
    <n v="1"/>
    <s v="NO_"/>
    <m/>
    <m/>
    <n v="39"/>
    <n v="3580"/>
    <n v="55"/>
    <m/>
    <n v="6"/>
    <n v="24"/>
    <s v="NA"/>
    <x v="1"/>
    <m/>
  </r>
  <r>
    <n v="1140938580"/>
    <x v="0"/>
    <d v="2022-03-03T00:00:00"/>
    <d v="2022-08-01T00:00:00"/>
    <e v="#REF!"/>
    <e v="#N/A"/>
    <m/>
    <x v="0"/>
    <x v="5"/>
    <x v="5"/>
    <s v="RC"/>
    <s v="HELEN"/>
    <s v="GABRIELA "/>
    <s v="OCAMPO"/>
    <s v="GRACIA"/>
    <s v="HELEN GABRIELA  OCAMPO GRACIA"/>
    <d v="2020-07-05T00:00:00"/>
    <x v="2"/>
    <n v="5"/>
    <n v="21"/>
    <s v="2 AÑOS 5 MESES 2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3"/>
    <m/>
    <s v="CLL 90C SUR 0 - 18"/>
    <n v="3184922724"/>
    <m/>
    <x v="0"/>
    <s v="NO SE AUTORECONOCE EN NINGUNO DE LOS ANTERIORES"/>
    <x v="1"/>
    <x v="1"/>
    <s v="NO_"/>
    <s v="NO_"/>
    <s v="o. Ingresos iguales o inferiores a 1.5 Smlv"/>
    <s v="NO_"/>
    <s v="MADRE"/>
    <s v="CC"/>
    <n v="1022995913"/>
    <s v="LESLI"/>
    <s v="CATHERINE"/>
    <s v="GRACIA"/>
    <s v="GALVIS"/>
    <d v="1994-05-30T00:00:00"/>
    <s v="COLOMBIA"/>
    <s v="BOGOTÁ"/>
    <s v="BOGOTÁ"/>
    <s v="CC"/>
    <n v="1022959818"/>
    <s v="JORGE"/>
    <s v="LEONARDO"/>
    <s v="OCAMPO"/>
    <s v="SUAZA"/>
    <d v="1990-05-13T00:00:00"/>
    <n v="32"/>
    <s v="COLOMBIA"/>
    <s v="BOGOTÁ"/>
    <s v="BOGOTÁ"/>
    <s v="CC"/>
    <n v="1022995913"/>
    <s v="LESLI"/>
    <s v="CATHERINE"/>
    <s v="GRACIA"/>
    <s v="GALVIS"/>
    <d v="1994-05-30T00:00:00"/>
    <n v="28"/>
    <s v="COLOMBIA"/>
    <s v="BOGOTÁ"/>
    <s v="BOGOTÁ"/>
    <x v="0"/>
    <x v="6"/>
    <x v="0"/>
    <d v="2022-02-27T00:00:00"/>
    <s v="SI_"/>
    <x v="2"/>
    <n v="1"/>
    <s v="NO_"/>
    <m/>
    <m/>
    <n v="36"/>
    <n v="2800"/>
    <n v="48"/>
    <m/>
    <n v="6"/>
    <n v="18"/>
    <s v="NA"/>
    <x v="1"/>
    <m/>
  </r>
  <r>
    <n v="1809202082"/>
    <x v="0"/>
    <d v="2022-03-03T00:00:00"/>
    <d v="2022-10-03T00:00:00"/>
    <e v="#REF!"/>
    <e v="#N/A"/>
    <s v="TRIANGULO"/>
    <x v="0"/>
    <x v="1"/>
    <x v="1"/>
    <s v="ANM"/>
    <s v="IAN"/>
    <s v="SALOMON"/>
    <s v="SALAS"/>
    <s v="ANZA"/>
    <s v="IAN SALOMON SALAS ANZA"/>
    <d v="2020-09-18T00:00:00"/>
    <x v="2"/>
    <n v="3"/>
    <n v="8"/>
    <s v="2 AÑOS 3 MESES 8 DIAS "/>
    <x v="2"/>
    <x v="1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KR 2C EDTE # 91-58 SUR  "/>
    <s v="314 2678203"/>
    <m/>
    <x v="0"/>
    <s v="NO SE AUTORECONOCE EN NINGUNO DE LOS ANTERIORES"/>
    <x v="1"/>
    <x v="1"/>
    <s v="NO_"/>
    <s v="NO_"/>
    <s v="o. Ingresos iguales o inferiores a 1.5 Smlv"/>
    <s v="NO_"/>
    <s v="MADRE"/>
    <s v="SIN DOCUMENTO"/>
    <m/>
    <s v="KARLA "/>
    <s v="YULIETH"/>
    <s v="ANZA"/>
    <s v="GARCIA"/>
    <d v="1995-05-15T00:00:00"/>
    <s v="VENEZUELA"/>
    <s v="EXTERIOR"/>
    <s v="EXTERIOR"/>
    <s v="SIN DOCUMENTO"/>
    <m/>
    <s v="EDIXON"/>
    <s v="ALIFEMAR"/>
    <s v="SALAS"/>
    <s v="ANGULO"/>
    <d v="1988-07-08T00:00:00"/>
    <n v="34"/>
    <s v="VENEZUELA"/>
    <s v="EXTERIOR"/>
    <s v="EXTERIOR"/>
    <s v="SIN DOCUMENTO"/>
    <m/>
    <s v="KARLA "/>
    <s v="YULIETH"/>
    <s v="ANZA"/>
    <s v="GARCIA"/>
    <d v="1995-05-15T00:00:00"/>
    <n v="27"/>
    <s v="VENEZUELA"/>
    <s v="EXTERIOR"/>
    <s v="EXTERIOR"/>
    <x v="1"/>
    <x v="1"/>
    <x v="0"/>
    <d v="2022-03-05T00:00:00"/>
    <s v="SI_"/>
    <x v="2"/>
    <n v="1"/>
    <s v="NO_"/>
    <m/>
    <m/>
    <m/>
    <m/>
    <m/>
    <m/>
    <n v="6"/>
    <n v="12"/>
    <s v="NA"/>
    <x v="1"/>
    <m/>
  </r>
  <r>
    <n v="1023046277"/>
    <x v="1"/>
    <d v="2022-03-03T00:00:00"/>
    <m/>
    <m/>
    <m/>
    <m/>
    <x v="0"/>
    <x v="5"/>
    <x v="5"/>
    <s v="RC"/>
    <s v="ISABELLA "/>
    <m/>
    <s v="NAVARRO"/>
    <s v="RODRIGUEZ "/>
    <s v="ISABELLA   NAVARRO RODRIGUEZ "/>
    <d v="2021-02-20T00:00:00"/>
    <x v="3"/>
    <n v="10"/>
    <n v="6"/>
    <s v="1 AÑOS 10 MESES 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7H ESTE 107 SUR 54"/>
    <n v="3123163472"/>
    <m/>
    <x v="0"/>
    <s v="NO SE AUTORECONOCE EN NINGUNO DE LOS ANTERIORES"/>
    <x v="0"/>
    <x v="3"/>
    <s v="NO_"/>
    <s v="NO_"/>
    <s v="a. Pertenecientes a hogares con puntaje SISBEN"/>
    <s v="NO_"/>
    <s v="MADRE"/>
    <s v="CC"/>
    <n v="1022975901"/>
    <s v="ROSNAIRA"/>
    <m/>
    <s v="RODRIGUEZ"/>
    <m/>
    <d v="1992-03-29T00:00:00"/>
    <s v="COLOMBIA"/>
    <s v="TOLIMA"/>
    <s v="ANZOÁTEGUI"/>
    <s v="CC"/>
    <n v="1022972952"/>
    <s v="EDGAR"/>
    <s v="IVAN"/>
    <s v="NAVARRO"/>
    <s v="CELIS"/>
    <d v="1991-12-11T00:00:00"/>
    <n v="31"/>
    <s v="COLOMBIA"/>
    <s v="CUNDINAMARCA"/>
    <s v="FACATATIVÁ"/>
    <s v="CC"/>
    <n v="1022975901"/>
    <s v="ROSNAIRA"/>
    <m/>
    <s v="RODRIGUEZ"/>
    <m/>
    <d v="1992-03-29T00:00:00"/>
    <n v="30"/>
    <s v="COLOMBIA"/>
    <s v="TOLIMA"/>
    <s v="ANZOÁTEGUI"/>
    <x v="0"/>
    <x v="6"/>
    <x v="0"/>
    <d v="2022-02-27T00:00:00"/>
    <s v="SI_"/>
    <x v="2"/>
    <n v="2"/>
    <s v="NO_"/>
    <m/>
    <m/>
    <n v="40"/>
    <n v="3150"/>
    <n v="40"/>
    <m/>
    <n v="6"/>
    <n v="12"/>
    <s v="NA"/>
    <x v="1"/>
    <m/>
  </r>
  <r>
    <n v="1023046401"/>
    <x v="1"/>
    <d v="2022-03-03T00:00:00"/>
    <m/>
    <m/>
    <m/>
    <m/>
    <x v="0"/>
    <x v="5"/>
    <x v="5"/>
    <s v="RC"/>
    <s v="JESUS"/>
    <s v="ALEJANDRO"/>
    <s v="BADILLO "/>
    <s v="RODRIGUEZ"/>
    <s v="JESUS ALEJANDRO BADILLO  RODRIGUEZ"/>
    <d v="2021-03-01T00:00:00"/>
    <x v="3"/>
    <n v="9"/>
    <n v="25"/>
    <s v="1 AÑOS 9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0"/>
    <m/>
    <s v="CL 114 SUR 9 ESTE 90"/>
    <n v="3208551182"/>
    <m/>
    <x v="0"/>
    <s v="NO SE AUTORECONOCE EN NINGUNO DE LOS ANTERIORES"/>
    <x v="1"/>
    <x v="1"/>
    <s v="NO_"/>
    <s v="NO_"/>
    <s v="o. Ingresos iguales o inferiores a 1.5 Smlv"/>
    <s v="NO_"/>
    <s v="TIO(A)"/>
    <s v="CC"/>
    <n v="1022944821"/>
    <s v="LUZ "/>
    <s v="AMALIA"/>
    <s v="RODRIGUEZ "/>
    <s v="RODRIGUEZ "/>
    <d v="1986-01-10T00:00:00"/>
    <s v="COLOMBIA"/>
    <s v="BOGOTÁ"/>
    <s v="BOGOTÁ"/>
    <m/>
    <m/>
    <m/>
    <m/>
    <m/>
    <m/>
    <m/>
    <s v=""/>
    <m/>
    <m/>
    <m/>
    <s v="CC"/>
    <n v="1022980995"/>
    <s v="ANA"/>
    <s v="MARIA"/>
    <s v="BADILLO"/>
    <s v="RODRIGUEZ"/>
    <d v="1992-04-07T00:00:00"/>
    <n v="30"/>
    <s v="COLOMBIA"/>
    <s v="BOGOTÁ"/>
    <s v="BOGOTÁ"/>
    <x v="1"/>
    <x v="1"/>
    <x v="0"/>
    <d v="2022-02-27T00:00:00"/>
    <s v="SI_"/>
    <x v="2"/>
    <n v="1"/>
    <s v="NO_"/>
    <m/>
    <m/>
    <n v="38"/>
    <n v="2990"/>
    <n v="48"/>
    <s v="SI_"/>
    <n v="6"/>
    <n v="11"/>
    <s v="NA"/>
    <x v="1"/>
    <m/>
  </r>
  <r>
    <n v="1140937833"/>
    <x v="1"/>
    <d v="2022-03-03T00:00:00"/>
    <m/>
    <m/>
    <m/>
    <m/>
    <x v="0"/>
    <x v="1"/>
    <x v="1"/>
    <s v="RC"/>
    <s v="JESUAN"/>
    <s v="MANUEL"/>
    <s v="MORA"/>
    <s v="BAZAN"/>
    <s v="JESUAN MANUEL MORA BAZAN"/>
    <d v="2020-05-05T00:00:00"/>
    <x v="2"/>
    <n v="7"/>
    <n v="21"/>
    <s v="2 AÑOS 7 MESES 2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L 97 D SUR # 7 ESTE -03"/>
    <n v="3207872787"/>
    <m/>
    <x v="0"/>
    <s v="NO SE AUTORECONOCE EN NINGUNO DE LOS ANTERIORES"/>
    <x v="1"/>
    <x v="1"/>
    <s v="NO_"/>
    <s v="NO_"/>
    <s v=" o. Ingresos iguales o inferiores a 1.5 Smlv."/>
    <s v="NO_"/>
    <s v="ABUELO(A)"/>
    <s v="SIN DOCUMENTO"/>
    <n v="10862022"/>
    <s v="NELSI"/>
    <s v="MARISOL"/>
    <s v="GRATEROL"/>
    <s v="CHIRINOS"/>
    <d v="1967-02-04T00:00:00"/>
    <s v="VENEZUELA"/>
    <s v="EXTERIOR"/>
    <s v="EXTERIOR"/>
    <s v="SIN DOCUMENTO"/>
    <n v="20933562"/>
    <s v="ERICK"/>
    <s v="JHONE"/>
    <s v="MORA "/>
    <s v="CHIRINOS"/>
    <d v="1991-12-03T00:00:00"/>
    <n v="31"/>
    <s v="VENEZUELA"/>
    <s v="EXTERIOR"/>
    <s v="EXTERIOR"/>
    <s v="SIN DOCUMENTO"/>
    <n v="26224778"/>
    <s v="FATIMA"/>
    <s v="ROSMARY"/>
    <s v="BAZAN"/>
    <s v="GRATEROL"/>
    <d v="1998-03-17T00:00:00"/>
    <n v="24"/>
    <s v="VENEZUELA"/>
    <s v="EXTERIOR"/>
    <s v="EXTERIOR"/>
    <x v="1"/>
    <x v="1"/>
    <x v="0"/>
    <d v="2022-02-27T00:00:00"/>
    <s v="SI_"/>
    <x v="2"/>
    <n v="1"/>
    <s v="SI_"/>
    <m/>
    <m/>
    <n v="35"/>
    <n v="2400"/>
    <n v="46"/>
    <m/>
    <n v="6"/>
    <n v="21"/>
    <s v="NA"/>
    <x v="1"/>
    <m/>
  </r>
  <r>
    <n v="1140937152"/>
    <x v="1"/>
    <d v="2022-03-03T00:00:00"/>
    <m/>
    <m/>
    <m/>
    <m/>
    <x v="0"/>
    <x v="1"/>
    <x v="1"/>
    <s v="RC"/>
    <s v="JUAN "/>
    <s v="SEBASTIAN"/>
    <s v="SANCHEZ "/>
    <s v="JAMIOY"/>
    <s v="JUAN  SEBASTIAN SANCHEZ  JAMIOY"/>
    <d v="2020-03-26T00:00:00"/>
    <x v="2"/>
    <n v="9"/>
    <n v="0"/>
    <s v="2 AÑOS 9 MESES 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0"/>
    <m/>
    <s v="CL 111 SUR NO 8D ESTE - 67 PI 1"/>
    <n v="3202684443"/>
    <m/>
    <x v="0"/>
    <s v="NO SE AUTORECONOCE EN NINGUNO DE LOS ANTERIORES"/>
    <x v="0"/>
    <x v="2"/>
    <s v="NO_"/>
    <s v="NO_"/>
    <s v="a. Pertenecientes a hogares con puntaje SISBEN"/>
    <s v="NO_"/>
    <s v="MADRE"/>
    <s v="CC"/>
    <n v="52774662"/>
    <s v="MARISOL"/>
    <m/>
    <s v="JAMIOY"/>
    <s v="SANTACRUZ"/>
    <d v="1979-01-20T00:00:00"/>
    <s v="COLOMBIA"/>
    <s v="CAUCA"/>
    <s v="BALBOA"/>
    <s v="CC"/>
    <n v="80002168"/>
    <s v="HERNAN"/>
    <m/>
    <s v="SANCHEZ"/>
    <s v="GARCIA"/>
    <d v="1978-10-06T00:00:00"/>
    <n v="44"/>
    <s v="COLOMBIA"/>
    <s v="META"/>
    <s v="SAN JUAN DE ARAMA"/>
    <s v="CC"/>
    <n v="52774662"/>
    <s v="MARISOL"/>
    <m/>
    <s v="JAMIOY"/>
    <s v="SANTACRUZ"/>
    <d v="1979-01-20T00:00:00"/>
    <n v="43"/>
    <s v="COLOMBIA"/>
    <s v="CAUCA"/>
    <s v="BALBOA"/>
    <x v="0"/>
    <x v="0"/>
    <x v="0"/>
    <d v="2022-02-27T00:00:00"/>
    <s v="SI_"/>
    <x v="1"/>
    <n v="0"/>
    <s v="NO_"/>
    <m/>
    <m/>
    <n v="37"/>
    <n v="2550"/>
    <n v="45"/>
    <m/>
    <n v="6"/>
    <n v="10"/>
    <s v="NA"/>
    <x v="1"/>
    <m/>
  </r>
  <r>
    <n v="1243860015"/>
    <x v="1"/>
    <d v="2022-03-03T00:00:00"/>
    <m/>
    <m/>
    <m/>
    <m/>
    <x v="0"/>
    <x v="5"/>
    <x v="5"/>
    <s v="RC"/>
    <s v="JUAN "/>
    <s v="MANUEL"/>
    <s v="ROBLES"/>
    <s v="VALBUENA "/>
    <s v="JUAN  MANUEL ROBLES VALBUENA "/>
    <d v="2021-02-19T00:00:00"/>
    <x v="3"/>
    <n v="10"/>
    <n v="7"/>
    <s v="1 AÑOS 10 MESES 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B ESTE # 97B SUR 41"/>
    <n v="3177384651"/>
    <m/>
    <x v="0"/>
    <s v="NO SE AUTORECONOCE EN NINGUNO DE LOS ANTERIORES"/>
    <x v="0"/>
    <x v="5"/>
    <s v="NO_"/>
    <s v="NO_"/>
    <s v="a. Pertenecientes a hogares con puntaje SISBEN"/>
    <s v="NO_"/>
    <s v="MADRE"/>
    <s v="CC"/>
    <n v="52818293"/>
    <s v="ANA"/>
    <s v="TULIA"/>
    <s v="VALBUENA"/>
    <s v="PINZON"/>
    <d v="1983-12-15T00:00:00"/>
    <s v="COLOMBIA"/>
    <s v="SANTANDER"/>
    <s v="PALMAS DEL SOCORRO"/>
    <s v="CC"/>
    <n v="79727194"/>
    <s v="YIMY"/>
    <s v="ANTONIO"/>
    <s v="ROBLES"/>
    <s v="DIRGUA"/>
    <d v="1979-07-13T00:00:00"/>
    <n v="43"/>
    <s v="COLOMBIA"/>
    <s v="BOGOTÁ"/>
    <s v="BOGOTÁ"/>
    <s v="CC"/>
    <n v="52818293"/>
    <s v="ANA"/>
    <s v="TULIA"/>
    <s v="VALBUENA"/>
    <s v="PINZON"/>
    <d v="1983-12-15T00:00:00"/>
    <n v="39"/>
    <s v="COLOMBIA"/>
    <s v="SANTANDER"/>
    <s v="PALMAS DEL SOCORRO"/>
    <x v="0"/>
    <x v="5"/>
    <x v="0"/>
    <d v="2022-02-27T00:00:00"/>
    <s v="SI_"/>
    <x v="2"/>
    <n v="1"/>
    <s v="NO_"/>
    <m/>
    <m/>
    <n v="40"/>
    <n v="3090"/>
    <n v="51"/>
    <m/>
    <n v="6"/>
    <n v="12"/>
    <s v="NA"/>
    <x v="1"/>
    <m/>
  </r>
  <r>
    <n v="1033829949"/>
    <x v="1"/>
    <d v="2022-03-03T00:00:00"/>
    <m/>
    <m/>
    <m/>
    <m/>
    <x v="0"/>
    <x v="5"/>
    <x v="5"/>
    <s v="RC"/>
    <s v="JOSHUANNY"/>
    <s v="YEISIMAR"/>
    <s v="GUERRA"/>
    <s v="GRATEROL"/>
    <s v="JOSHUANNY YEISIMAR GUERRA GRATEROL"/>
    <d v="2020-11-28T00:00:00"/>
    <x v="2"/>
    <n v="0"/>
    <n v="28"/>
    <s v="2 AÑOS 0 MESES 2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L 97 D SUR # 7 ESTE -03"/>
    <n v="3207872787"/>
    <m/>
    <x v="0"/>
    <s v="NO SE AUTORECONOCE EN NINGUNO DE LOS ANTERIORES"/>
    <x v="1"/>
    <x v="1"/>
    <s v="NO_"/>
    <s v="NO_"/>
    <s v=" o. Ingresos iguales o inferiores a 1.5 Smlv."/>
    <s v="NO_"/>
    <s v="MADRE"/>
    <s v="SIN DOCUMENTO"/>
    <m/>
    <s v="YESIRE"/>
    <s v="MARIA"/>
    <s v="GUERRA"/>
    <s v="GRATEROL"/>
    <d v="2003-07-12T00:00:00"/>
    <s v="VENEZUELA"/>
    <s v="EXTERIOR"/>
    <s v="EXTERIOR"/>
    <m/>
    <m/>
    <m/>
    <m/>
    <m/>
    <m/>
    <m/>
    <s v=""/>
    <m/>
    <m/>
    <m/>
    <s v="SIN DOCUMENTO"/>
    <m/>
    <s v="YESIRE"/>
    <s v="MARIA"/>
    <s v="GUERRA"/>
    <s v="GRATEROL"/>
    <d v="2003-07-12T00:00:00"/>
    <n v="19"/>
    <s v="VENEZUELA"/>
    <s v="EXTERIOR"/>
    <s v="EXTERIOR"/>
    <x v="1"/>
    <x v="1"/>
    <x v="0"/>
    <d v="2022-03-10T00:00:00"/>
    <s v="SI_"/>
    <x v="2"/>
    <n v="1"/>
    <s v="NO_"/>
    <m/>
    <m/>
    <n v="38"/>
    <n v="2815"/>
    <n v="49"/>
    <m/>
    <n v="6"/>
    <n v="12"/>
    <s v="NA"/>
    <x v="1"/>
    <m/>
  </r>
  <r>
    <n v="1023046418"/>
    <x v="0"/>
    <d v="2022-03-03T00:00:00"/>
    <d v="2022-10-03T00:00:00"/>
    <e v="#REF!"/>
    <e v="#N/A"/>
    <s v="TRIANGULO"/>
    <x v="0"/>
    <x v="5"/>
    <x v="5"/>
    <s v="RC"/>
    <s v="SOL"/>
    <s v="MARIA"/>
    <s v="AGUDELO"/>
    <s v="CABANZO"/>
    <s v="SOL MARIA AGUDELO CABANZO"/>
    <d v="2020-07-07T00:00:00"/>
    <x v="2"/>
    <n v="5"/>
    <n v="19"/>
    <s v="2 AÑOS 5 MESES 1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3"/>
    <m/>
    <s v="KR 10A ESTE 88 J 28 SUR "/>
    <n v="3209903910"/>
    <n v="3132324223"/>
    <x v="0"/>
    <s v="NO SE AUTORECONOCE EN NINGUNO DE LOS ANTERIORES"/>
    <x v="1"/>
    <x v="1"/>
    <s v="NO_"/>
    <s v="NO_"/>
    <s v="o. Ingresos iguales o inferiores a 1.5 Smlv"/>
    <s v="NO_"/>
    <s v="MADRE"/>
    <s v="CC"/>
    <n v="101042437"/>
    <s v="YESSICA"/>
    <s v="KATERINE "/>
    <s v="CABANZO"/>
    <s v="VARGAS "/>
    <d v="2000-01-16T00:00:00"/>
    <s v="COLOMBIA"/>
    <s v="BOGOTÁ"/>
    <s v="BOGOTÁ"/>
    <s v="CC"/>
    <n v="79701102"/>
    <s v="JOHN"/>
    <s v="FREDY"/>
    <s v="AGUDELO"/>
    <s v="ARROYABE"/>
    <d v="1970-11-29T00:00:00"/>
    <n v="52"/>
    <s v="COLOMBIA"/>
    <s v="BOGOTÁ"/>
    <s v="BOGOTÁ"/>
    <s v="CC"/>
    <n v="101042437"/>
    <s v="YESSICA"/>
    <s v="KATERINE "/>
    <s v="CABANZO"/>
    <s v="VARGAS "/>
    <d v="2000-01-16T00:00:00"/>
    <n v="22"/>
    <s v="COLOMBIA"/>
    <s v="BOGOTÁ"/>
    <s v="BOGOTÁ"/>
    <x v="1"/>
    <x v="6"/>
    <x v="0"/>
    <d v="2022-03-05T00:00:00"/>
    <s v="SI_"/>
    <x v="2"/>
    <n v="1"/>
    <s v="NO_"/>
    <m/>
    <m/>
    <n v="40"/>
    <n v="2880"/>
    <n v="50"/>
    <m/>
    <n v="6"/>
    <n v="8"/>
    <s v="NA"/>
    <x v="1"/>
    <m/>
  </r>
  <r>
    <n v="1023044785"/>
    <x v="1"/>
    <d v="2022-03-03T00:00:00"/>
    <m/>
    <m/>
    <m/>
    <m/>
    <x v="0"/>
    <x v="5"/>
    <x v="5"/>
    <s v="RC"/>
    <s v="LAUREN"/>
    <s v="SOFIA"/>
    <s v="MARIN"/>
    <s v="VARGAS"/>
    <s v="LAUREN SOFIA MARIN VARGAS"/>
    <d v="2019-12-18T00:00:00"/>
    <x v="10"/>
    <n v="0"/>
    <n v="8"/>
    <s v="3 AÑOS 0 MESES 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CLL 114 SUR 8B ESTE 63"/>
    <n v="3143604810"/>
    <m/>
    <x v="0"/>
    <s v="NO SE AUTORECONOCE EN NINGUNO DE LOS ANTERIORES"/>
    <x v="1"/>
    <x v="1"/>
    <s v="NO_"/>
    <s v="NO_"/>
    <s v="a. Pertenecientes a hogares con puntaje SISBEN"/>
    <s v="NO_"/>
    <s v="MADRE"/>
    <s v="CC"/>
    <n v="52200110"/>
    <s v="DIANA"/>
    <s v="MILENA"/>
    <s v="VARGAS"/>
    <s v="PIÑEROS"/>
    <d v="1979-03-06T00:00:00"/>
    <s v="COLOMBIA"/>
    <s v="BOGOTÁ"/>
    <s v="BOGOTÁ"/>
    <m/>
    <m/>
    <m/>
    <m/>
    <m/>
    <m/>
    <m/>
    <s v=""/>
    <m/>
    <m/>
    <m/>
    <s v="CC"/>
    <n v="52200110"/>
    <s v="DIANA"/>
    <s v="MILENA"/>
    <s v="VARGAS"/>
    <s v="PIÑEROS"/>
    <d v="1979-03-06T00:00:00"/>
    <n v="43"/>
    <s v="COLOMBIA"/>
    <s v="BOGOTÁ"/>
    <s v="BOGOTÁ"/>
    <x v="0"/>
    <x v="5"/>
    <x v="0"/>
    <d v="2022-02-27T00:00:00"/>
    <s v="SI_"/>
    <x v="1"/>
    <n v="0"/>
    <s v="NO_"/>
    <m/>
    <m/>
    <n v="37"/>
    <m/>
    <m/>
    <m/>
    <n v="6"/>
    <n v="12"/>
    <s v="NA"/>
    <x v="3"/>
    <m/>
  </r>
  <r>
    <n v="1122539379"/>
    <x v="1"/>
    <d v="2022-03-03T00:00:00"/>
    <m/>
    <m/>
    <m/>
    <m/>
    <x v="0"/>
    <x v="5"/>
    <x v="5"/>
    <s v="RC"/>
    <s v="MANUEL "/>
    <s v="ALEJANDRO "/>
    <s v="CASTILLO "/>
    <s v="FONSECA "/>
    <s v="MANUEL  ALEJANDRO  CASTILLO  FONSECA "/>
    <d v="2020-05-17T00:00:00"/>
    <x v="2"/>
    <n v="7"/>
    <n v="9"/>
    <s v="2 AÑOS 7 MESES 9 DIAS "/>
    <x v="2"/>
    <x v="1"/>
    <x v="0"/>
    <s v="META"/>
    <s v="VILLAVICENCIO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CL 105 SUR 7H ESTE 81"/>
    <n v="3125257567"/>
    <m/>
    <x v="0"/>
    <s v="NO SE AUTORECONOCE EN NINGUNO DE LOS ANTERIORES"/>
    <x v="0"/>
    <x v="20"/>
    <s v="NO_"/>
    <s v="NO_"/>
    <s v="a. Pertenecientes a hogares con puntaje SISBEN"/>
    <s v="NO_"/>
    <s v="MADRE"/>
    <s v="CC"/>
    <n v="1077085212"/>
    <s v="DIANA"/>
    <s v="CAROLINA"/>
    <s v="CASTILLO"/>
    <s v="VALDERRAMA"/>
    <d v="1991-06-15T00:00:00"/>
    <s v="COLOMBIA"/>
    <s v="BOGOTÁ"/>
    <s v="BOGOTÁ"/>
    <m/>
    <m/>
    <m/>
    <m/>
    <m/>
    <m/>
    <m/>
    <s v=""/>
    <m/>
    <m/>
    <m/>
    <s v="CC"/>
    <n v="1077085212"/>
    <s v="DIANA"/>
    <s v="CAROLINA"/>
    <s v="CASTILLO"/>
    <s v="VALDERRAMA"/>
    <d v="1991-06-15T00:00:00"/>
    <n v="31"/>
    <s v="COLOMBIA"/>
    <s v="BOGOTÁ"/>
    <s v="BOGOTÁ"/>
    <x v="0"/>
    <x v="2"/>
    <x v="0"/>
    <d v="2022-02-27T00:00:00"/>
    <s v="SI_"/>
    <x v="1"/>
    <n v="0"/>
    <s v="NO_"/>
    <m/>
    <m/>
    <n v="40"/>
    <n v="3690"/>
    <n v="55"/>
    <m/>
    <n v="6"/>
    <n v="12"/>
    <s v="NA"/>
    <x v="1"/>
    <m/>
  </r>
  <r>
    <n v="1023046103"/>
    <x v="1"/>
    <d v="2022-06-07T00:00:00"/>
    <m/>
    <m/>
    <m/>
    <m/>
    <x v="0"/>
    <x v="5"/>
    <x v="5"/>
    <s v="RC"/>
    <s v="JOHAN"/>
    <s v="SEBASTIAN"/>
    <s v="ESQUIVEL"/>
    <s v="TOVAR"/>
    <s v="JOHAN SEBASTIAN ESQUIVEL TOVAR"/>
    <d v="2020-12-28T00:00:00"/>
    <x v="3"/>
    <n v="11"/>
    <n v="28"/>
    <s v="1 AÑOS 11 MESES 2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RA7BISAESTE#104SUR"/>
    <n v="3183381112"/>
    <m/>
    <x v="0"/>
    <s v="NO SE AUTORECONOCE EN NINGUNO DE LOS ANTERIORES"/>
    <x v="2"/>
    <x v="1"/>
    <s v="NO_"/>
    <s v="NO_"/>
    <m/>
    <m/>
    <s v="MADRE"/>
    <s v="CC"/>
    <n v="1192794172"/>
    <s v="MARIA"/>
    <s v="LEIDA"/>
    <s v="TOVAR"/>
    <s v="CAPERA"/>
    <s v="29/30/1990"/>
    <s v="COLOMBIA"/>
    <s v="BOGOTÁ"/>
    <s v="BOGOTÁ"/>
    <s v="CC"/>
    <n v="93020112"/>
    <s v="JAVIER"/>
    <m/>
    <s v="ESQUIVEL "/>
    <s v="TIMOTE"/>
    <d v="1980-01-03T00:00:00"/>
    <n v="42"/>
    <s v="COLOMBIA"/>
    <s v="TOLIMA"/>
    <s v="TOLIMA"/>
    <s v="CC"/>
    <n v="1192794172"/>
    <s v="LEIDA"/>
    <s v="MARIA"/>
    <s v="TOVAR"/>
    <s v="CAPERA"/>
    <m/>
    <s v=""/>
    <s v="COLOMBIA"/>
    <s v="BOGOTÁ"/>
    <s v="BOGOTÁ"/>
    <x v="0"/>
    <x v="5"/>
    <x v="0"/>
    <m/>
    <s v="SI_"/>
    <x v="2"/>
    <m/>
    <m/>
    <m/>
    <m/>
    <m/>
    <n v="1800"/>
    <m/>
    <m/>
    <m/>
    <m/>
    <m/>
    <x v="1"/>
    <m/>
  </r>
  <r>
    <n v="1088361716"/>
    <x v="0"/>
    <d v="2022-05-02T00:00:00"/>
    <d v="2022-06-06T00:00:00"/>
    <e v="#REF!"/>
    <e v="#N/A"/>
    <m/>
    <x v="0"/>
    <x v="5"/>
    <x v="5"/>
    <s v="RC"/>
    <s v="JERONIMO"/>
    <m/>
    <s v="CANO"/>
    <s v="HENAO"/>
    <s v="JERONIMO  CANO HENAO"/>
    <d v="2020-07-20T00:00:00"/>
    <x v="2"/>
    <n v="5"/>
    <n v="6"/>
    <s v="2 AÑOS 5 MESES 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B ESTE 97 F SUR 68"/>
    <n v="3008172268"/>
    <m/>
    <x v="0"/>
    <s v="NO SE AUTORECONOCE EN NINGUNO DE LOS ANTERIORES"/>
    <x v="1"/>
    <x v="1"/>
    <s v="NO_"/>
    <s v="SI_"/>
    <m/>
    <m/>
    <s v="MADRE"/>
    <s v="CC"/>
    <n v="1122143776"/>
    <s v="DERLY"/>
    <s v="JOHANNA"/>
    <s v="HENAO"/>
    <s v="HERRERA"/>
    <d v="1988-07-20T00:00:00"/>
    <s v="COLOMBIA"/>
    <s v="BOGOTÁ"/>
    <s v="BOGOTÁ"/>
    <m/>
    <m/>
    <m/>
    <m/>
    <m/>
    <m/>
    <m/>
    <s v=""/>
    <m/>
    <m/>
    <m/>
    <s v="CC"/>
    <n v="1122143776"/>
    <s v="DERLY"/>
    <s v="JOHANNA"/>
    <s v="HENAO"/>
    <s v="HERRERA"/>
    <m/>
    <s v=""/>
    <s v="COLOMBIA"/>
    <s v="BOGOTÁ"/>
    <s v="BOGOTÁ"/>
    <x v="0"/>
    <x v="6"/>
    <x v="0"/>
    <m/>
    <s v="NO_"/>
    <x v="3"/>
    <s v="NO_"/>
    <m/>
    <m/>
    <m/>
    <n v="40"/>
    <n v="3150"/>
    <n v="50"/>
    <m/>
    <n v="6"/>
    <n v="12"/>
    <n v="12"/>
    <x v="1"/>
    <m/>
  </r>
  <r>
    <n v="1243860097"/>
    <x v="0"/>
    <d v="2022-03-03T00:00:00"/>
    <d v="2022-05-02T00:00:00"/>
    <e v="#REF!"/>
    <e v="#N/A"/>
    <m/>
    <x v="0"/>
    <x v="5"/>
    <x v="5"/>
    <s v="RC"/>
    <s v="MIA "/>
    <s v="MICHELLE "/>
    <s v="AMAYA "/>
    <s v="PRIETO"/>
    <s v="MIA  MICHELLE  AMAYA  PRIETO"/>
    <d v="2021-02-24T00:00:00"/>
    <x v="3"/>
    <n v="10"/>
    <n v="2"/>
    <s v="1 AÑOS 10 MESES 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0"/>
    <m/>
    <s v="KR 8C 112 19 SUR ESTE "/>
    <n v="3112538834"/>
    <m/>
    <x v="0"/>
    <s v="NO SE AUTORECONOCE EN NINGUNO DE LOS ANTERIORES"/>
    <x v="0"/>
    <x v="17"/>
    <s v="NO_"/>
    <s v="NO_"/>
    <s v="a. Pertenecientes a hogares con puntaje SISBEN"/>
    <s v="NO_"/>
    <s v="MADRE"/>
    <s v="CC"/>
    <n v="1070332822"/>
    <s v="DIXY"/>
    <s v="MICHELLE"/>
    <s v="PRIETO"/>
    <s v="OSORIO"/>
    <d v="1999-01-24T00:00:00"/>
    <s v="COLOMBIA"/>
    <s v="BOGOTÁ"/>
    <s v="BOGOTÁ"/>
    <m/>
    <m/>
    <m/>
    <m/>
    <m/>
    <m/>
    <m/>
    <s v=""/>
    <m/>
    <m/>
    <m/>
    <s v="CC"/>
    <n v="1070332822"/>
    <s v="DIXY"/>
    <s v="MICHELLE"/>
    <s v="PRIETO"/>
    <s v="OSORIO"/>
    <d v="1999-01-24T00:00:00"/>
    <n v="23"/>
    <s v="COLOMBIA"/>
    <s v="BOGOTÁ"/>
    <s v="BOGOTÁ"/>
    <x v="1"/>
    <x v="0"/>
    <x v="0"/>
    <d v="2022-02-27T00:00:00"/>
    <s v="SI_"/>
    <x v="1"/>
    <n v="0"/>
    <s v="NO_"/>
    <m/>
    <m/>
    <n v="40"/>
    <n v="2768"/>
    <n v="53"/>
    <m/>
    <n v="6"/>
    <n v="12"/>
    <s v="NA"/>
    <x v="1"/>
    <m/>
  </r>
  <r>
    <n v="1016747900"/>
    <x v="1"/>
    <d v="2022-03-03T00:00:00"/>
    <m/>
    <m/>
    <m/>
    <m/>
    <x v="0"/>
    <x v="5"/>
    <x v="5"/>
    <s v="RC"/>
    <s v="MIGUEL "/>
    <s v="ANGEL "/>
    <s v="LASSO"/>
    <s v="GUZMAN"/>
    <s v="MIGUEL  ANGEL  LASSO GUZMAN"/>
    <d v="2019-09-05T00:00:00"/>
    <x v="10"/>
    <n v="3"/>
    <n v="21"/>
    <s v="3 AÑOS 3 MESES 2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0"/>
    <m/>
    <s v="CL 112 SUR 8A ESTE 46"/>
    <n v="3142216163"/>
    <m/>
    <x v="0"/>
    <s v="NO SE AUTORECONOCE EN NINGUNO DE LOS ANTERIORES"/>
    <x v="0"/>
    <x v="14"/>
    <s v="NO_"/>
    <s v="NO_"/>
    <s v="o. Ingresos iguales o inferiores a 1.5 Smlv"/>
    <s v="NO_"/>
    <s v="MADRE"/>
    <s v="CC"/>
    <n v="1005254066"/>
    <s v="LEIDY"/>
    <s v="PAOLA"/>
    <s v="GUZMAN"/>
    <s v="FAGUA"/>
    <d v="1998-01-17T00:00:00"/>
    <s v="COLOMBIA"/>
    <s v="QUINDÍO"/>
    <s v="CALARCÁ"/>
    <s v="CC"/>
    <n v="1013591147"/>
    <s v="MIGUEL "/>
    <s v="ANTONIO "/>
    <s v="LASSO"/>
    <s v="ESPITIA"/>
    <d v="1987-10-06T00:00:00"/>
    <n v="35"/>
    <s v="COLOMBIA"/>
    <s v="BOGOTÁ"/>
    <s v="BOGOTÁ"/>
    <s v="CC"/>
    <n v="1005254066"/>
    <s v="LEIDY"/>
    <s v="PAOLA"/>
    <s v="GUZMAN"/>
    <s v="FAGUA"/>
    <d v="1998-01-17T00:00:00"/>
    <n v="24"/>
    <s v="COLOMBIA"/>
    <s v="QUINDÍO"/>
    <s v="CALARCÁ"/>
    <x v="0"/>
    <x v="0"/>
    <x v="0"/>
    <d v="2022-02-27T00:00:00"/>
    <s v="SI_"/>
    <x v="2"/>
    <n v="1"/>
    <s v="NO_"/>
    <m/>
    <m/>
    <n v="39"/>
    <n v="3280"/>
    <n v="51"/>
    <m/>
    <n v="6"/>
    <n v="1"/>
    <s v="NA"/>
    <x v="3"/>
    <m/>
  </r>
  <r>
    <n v="1300000542"/>
    <x v="1"/>
    <d v="2022-05-10T00:00:00"/>
    <m/>
    <m/>
    <m/>
    <m/>
    <x v="0"/>
    <x v="4"/>
    <x v="4"/>
    <s v="RC"/>
    <s v="JUAN"/>
    <s v="DAVID"/>
    <s v="ROJAS"/>
    <s v="ACEVEDO"/>
    <s v="JUAN DAVID ROJAS ACEVEDO"/>
    <d v="2020-01-16T00:00:00"/>
    <x v="2"/>
    <n v="11"/>
    <n v="10"/>
    <s v="2 AÑOS 11 MESES 1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m/>
    <n v="3245037997"/>
    <m/>
    <x v="0"/>
    <s v="NO SE AUTORECONOCE EN NINGUNO DE LOS ANTERIORES"/>
    <x v="1"/>
    <x v="1"/>
    <s v="NO_"/>
    <s v="NO_"/>
    <m/>
    <m/>
    <s v="MADRE"/>
    <s v="SIN DOCUMENTO"/>
    <m/>
    <s v="GLICELYS"/>
    <s v="ALEJANDRA"/>
    <s v="ACEVEDO"/>
    <s v="ACOSTA"/>
    <d v="1996-01-14T00:00:00"/>
    <s v="VENEZUELA"/>
    <s v="EXTERIOR"/>
    <s v="EXTERIOR"/>
    <s v="SIN DOCUMENTO"/>
    <m/>
    <s v="FRANCISCO "/>
    <s v="DAVID"/>
    <s v="ROJAS"/>
    <s v="PIAMO "/>
    <d v="1988-07-12T00:00:00"/>
    <n v="34"/>
    <s v="VENEZUELA"/>
    <s v="EXTERIOR"/>
    <s v="EXTERIOR"/>
    <s v="SIN DOCUMENTO"/>
    <m/>
    <s v="GLICELYS"/>
    <s v="ALEJANDRA"/>
    <s v="ACEVEDO"/>
    <s v="ACOSTA"/>
    <d v="1988-01-14T00:00:00"/>
    <n v="34"/>
    <s v="VENEZUELA"/>
    <s v="EXTERIOR"/>
    <s v="EXTERIOR"/>
    <x v="1"/>
    <x v="1"/>
    <x v="0"/>
    <m/>
    <s v="SI_"/>
    <x v="1"/>
    <m/>
    <s v="NO_"/>
    <m/>
    <m/>
    <n v="37"/>
    <n v="27780"/>
    <m/>
    <m/>
    <n v="8"/>
    <m/>
    <m/>
    <x v="1"/>
    <m/>
  </r>
  <r>
    <n v="1022450134"/>
    <x v="0"/>
    <d v="2022-03-03T00:00:00"/>
    <d v="2022-05-09T00:00:00"/>
    <e v="#REF!"/>
    <e v="#N/A"/>
    <m/>
    <x v="0"/>
    <x v="5"/>
    <x v="5"/>
    <s v="RC"/>
    <s v="MIGUEL "/>
    <s v="STICK "/>
    <s v="PATIÑO"/>
    <s v="MORA "/>
    <s v="MIGUEL  STICK  PATIÑO MORA "/>
    <d v="2020-10-28T00:00:00"/>
    <x v="2"/>
    <n v="1"/>
    <n v="28"/>
    <s v="2 AÑOS 1 MESES 2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CLL 102 SUR 3 ESTE 48"/>
    <n v="3105295939"/>
    <m/>
    <x v="0"/>
    <s v="NO SE AUTORECONOCE EN NINGUNO DE LOS ANTERIORES"/>
    <x v="1"/>
    <x v="1"/>
    <s v="NO_"/>
    <s v="NO_"/>
    <s v="o. Ingresos iguales o inferiores a 1.5 Smlv"/>
    <s v="NO_"/>
    <s v="MADRE"/>
    <s v="CC"/>
    <n v="1002736840"/>
    <s v="NURY "/>
    <s v="PAOLA "/>
    <s v="MORA "/>
    <s v="BARRETO"/>
    <d v="2002-08-12T00:00:00"/>
    <s v="COLOMBIA"/>
    <s v="BOYACÁ"/>
    <s v="SAN LUIS DE GACENO"/>
    <s v="CC"/>
    <n v="1033781091"/>
    <s v="LUIS"/>
    <s v="MIGUEL"/>
    <s v="PATIÑO"/>
    <s v="ZAPATA"/>
    <d v="1995-10-10T00:00:00"/>
    <n v="27"/>
    <s v="COLOMBIA"/>
    <s v="BOGOTÁ"/>
    <s v="BOGOTÁ"/>
    <s v="CC"/>
    <n v="1002736840"/>
    <s v="NURY "/>
    <s v="PAOLA "/>
    <s v="MORA "/>
    <s v="BARRETO"/>
    <d v="2002-08-12T00:00:00"/>
    <n v="20"/>
    <s v="COLOMBIA"/>
    <s v="BOYACÁ"/>
    <s v="SAN LUIS DE GACENO"/>
    <x v="1"/>
    <x v="14"/>
    <x v="0"/>
    <d v="2022-02-27T00:00:00"/>
    <s v="SI_"/>
    <x v="1"/>
    <n v="0"/>
    <s v="NO_"/>
    <m/>
    <m/>
    <m/>
    <m/>
    <m/>
    <m/>
    <m/>
    <m/>
    <s v="NA"/>
    <x v="1"/>
    <m/>
  </r>
  <r>
    <n v="1023043960"/>
    <x v="1"/>
    <d v="2022-04-20T00:00:00"/>
    <m/>
    <m/>
    <m/>
    <s v="TRIANGULO"/>
    <x v="0"/>
    <x v="4"/>
    <x v="4"/>
    <s v="RC"/>
    <s v="DANNA"/>
    <s v="SOFIA"/>
    <s v="ARIAS"/>
    <s v="ROJAS"/>
    <s v="DANNA SOFIA ARIAS ROJAS"/>
    <d v="2019-08-07T00:00:00"/>
    <x v="10"/>
    <n v="4"/>
    <n v="19"/>
    <s v="3 AÑOS 4 MESES 1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KR8DESTE#90SUR-45"/>
    <n v="3124217164"/>
    <n v="3206352066"/>
    <x v="0"/>
    <s v="NO SE AUTORECONOCE EN NINGUNO DE LOS ANTERIORES"/>
    <x v="1"/>
    <x v="1"/>
    <s v="NO_"/>
    <s v="NO_"/>
    <s v="o. Ingresos iguales o inferiores a 1.5 Smlv"/>
    <m/>
    <s v="MADRE"/>
    <s v="CC"/>
    <n v="45622996"/>
    <s v="NEIDY"/>
    <s v="ADRIANA"/>
    <s v="ROJAS"/>
    <s v="ROJAS"/>
    <d v="1983-09-30T00:00:00"/>
    <s v="COLOMBIA"/>
    <s v="BOGOTÁ"/>
    <s v="BOGOTÁ"/>
    <s v="CC"/>
    <n v="1022955449"/>
    <s v="STIWAR"/>
    <m/>
    <s v="ARIAS"/>
    <s v="MURILLO"/>
    <d v="1989-11-23T00:00:00"/>
    <n v="33"/>
    <s v="COLOMBIA"/>
    <s v="TOLIMA"/>
    <s v="IBAGUÉ"/>
    <s v="CC"/>
    <n v="45622996"/>
    <s v="NEIDY"/>
    <s v="ADRIANA"/>
    <s v="ROJAS"/>
    <s v="ROJAS"/>
    <d v="1983-09-30T00:00:00"/>
    <n v="39"/>
    <s v="COLOMBIA"/>
    <s v="BOGOTÁ"/>
    <s v="BOGOTÁ"/>
    <x v="1"/>
    <x v="3"/>
    <x v="0"/>
    <d v="2022-04-18T00:00:00"/>
    <s v="SI_"/>
    <x v="1"/>
    <m/>
    <s v="NO_"/>
    <m/>
    <m/>
    <n v="36"/>
    <n v="1980"/>
    <n v="43"/>
    <m/>
    <n v="6"/>
    <n v="6"/>
    <m/>
    <x v="3"/>
    <m/>
  </r>
  <r>
    <n v="1140936306"/>
    <x v="0"/>
    <d v="2022-03-03T00:00:00"/>
    <d v="2022-04-20T00:00:00"/>
    <e v="#REF!"/>
    <e v="#N/A"/>
    <m/>
    <x v="0"/>
    <x v="4"/>
    <x v="4"/>
    <s v="RC"/>
    <s v="NAHOMI"/>
    <m/>
    <s v="ÁVILA"/>
    <s v="DÍAZ"/>
    <s v="NAHOMI  ÁVILA DÍAZ"/>
    <d v="2019-10-12T00:00:00"/>
    <x v="10"/>
    <n v="2"/>
    <n v="14"/>
    <s v="3 AÑOS 2 MESES 1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A ESTE 97 SUR 50"/>
    <n v="3214955691"/>
    <m/>
    <x v="0"/>
    <s v="NO SE AUTORECONOCE EN NINGUNO DE LOS ANTERIORES"/>
    <x v="0"/>
    <x v="19"/>
    <s v="NO_"/>
    <s v="NO_"/>
    <s v="a. Pertenecientes a hogares con puntaje SISBEN"/>
    <s v="NO_"/>
    <s v="MADRE"/>
    <s v="CC"/>
    <n v="1023002339"/>
    <s v="DENI"/>
    <s v="YOANA"/>
    <s v="DIAZ"/>
    <s v="DUCUARA"/>
    <d v="1995-03-01T00:00:00"/>
    <s v="COLOMBIA"/>
    <s v="TOLIMA"/>
    <s v="ORTEGA"/>
    <m/>
    <m/>
    <m/>
    <m/>
    <m/>
    <m/>
    <m/>
    <s v=""/>
    <m/>
    <m/>
    <m/>
    <s v="CC"/>
    <n v="1023002339"/>
    <s v="DENI"/>
    <s v="YOANA"/>
    <s v="DIAZ"/>
    <s v="DUCUARA"/>
    <d v="1995-03-01T00:00:00"/>
    <n v="27"/>
    <s v="COLOMBIA"/>
    <s v="TOLIMA"/>
    <s v="ORTEGA"/>
    <x v="1"/>
    <x v="9"/>
    <x v="0"/>
    <d v="2022-02-27T00:00:00"/>
    <s v="SI_"/>
    <x v="1"/>
    <n v="0"/>
    <s v="NO_"/>
    <m/>
    <m/>
    <n v="40"/>
    <m/>
    <m/>
    <m/>
    <n v="6"/>
    <n v="6"/>
    <s v="NA"/>
    <x v="3"/>
    <m/>
  </r>
  <r>
    <n v="1243860023"/>
    <x v="0"/>
    <d v="2022-03-03T00:00:00"/>
    <d v="2022-10-03T00:00:00"/>
    <e v="#REF!"/>
    <e v="#N/A"/>
    <s v="TRIANGULO"/>
    <x v="0"/>
    <x v="4"/>
    <x v="4"/>
    <s v="RC"/>
    <s v="SHARICK"/>
    <s v="LUCIANA "/>
    <s v="POVEDA"/>
    <s v="ARDILA"/>
    <s v="SHARICK LUCIANA  POVEDA ARDILA"/>
    <d v="2021-02-19T00:00:00"/>
    <x v="3"/>
    <n v="10"/>
    <n v="7"/>
    <s v="1 AÑOS 10 MESES 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8"/>
    <m/>
    <s v="KR 2B ESTE 97F SUR 61"/>
    <n v="3118452842"/>
    <m/>
    <x v="0"/>
    <s v="NO SE AUTORECONOCE EN NINGUNO DE LOS ANTERIORES"/>
    <x v="1"/>
    <x v="1"/>
    <s v="NO_"/>
    <s v="NO_"/>
    <s v="o. Ingresos iguales o inferiores a 1.5 Smlv"/>
    <s v="NO_"/>
    <s v="MADRE"/>
    <s v="CC"/>
    <n v="1023002677"/>
    <s v="KARIZ"/>
    <s v="IBETH"/>
    <s v="ARDILA"/>
    <s v="ARIZA"/>
    <d v="1995-02-28T00:00:00"/>
    <s v="COLOMBIA"/>
    <s v="BOGOTÁ"/>
    <s v="BOGOTÁ"/>
    <s v="CC"/>
    <n v="1022994914"/>
    <s v="MAICOL"/>
    <s v="ANDRES"/>
    <s v="POVEDA"/>
    <s v="TORRES"/>
    <d v="1994-04-22T00:00:00"/>
    <n v="28"/>
    <s v="COLOMBIA"/>
    <s v="BOGOTÁ"/>
    <s v="BOGOTÁ"/>
    <s v="CC"/>
    <n v="1023002677"/>
    <s v="KARIZ"/>
    <s v="IBETH"/>
    <s v="ARDILA"/>
    <s v="ARIZA"/>
    <d v="1995-02-28T00:00:00"/>
    <n v="27"/>
    <s v="COLOMBIA"/>
    <s v="BOGOTÁ"/>
    <s v="BOGOTÁ"/>
    <x v="0"/>
    <x v="5"/>
    <x v="0"/>
    <d v="2022-02-27T00:00:00"/>
    <s v="SI_"/>
    <x v="2"/>
    <n v="1"/>
    <s v="NO_"/>
    <m/>
    <m/>
    <n v="37"/>
    <m/>
    <m/>
    <m/>
    <n v="6"/>
    <n v="12"/>
    <s v="NA"/>
    <x v="1"/>
    <m/>
  </r>
  <r>
    <n v="1023043602"/>
    <x v="0"/>
    <d v="2022-03-03T00:00:00"/>
    <d v="2022-04-25T00:00:00"/>
    <e v="#REF!"/>
    <e v="#N/A"/>
    <m/>
    <x v="0"/>
    <x v="5"/>
    <x v="5"/>
    <s v="RC"/>
    <s v="VALERHY"/>
    <s v="CELESTE"/>
    <s v="PARADA"/>
    <s v="PEDREROS"/>
    <s v="VALERHY CELESTE PARADA PEDREROS"/>
    <d v="2019-06-12T00:00:00"/>
    <x v="10"/>
    <n v="6"/>
    <n v="14"/>
    <s v="3 AÑOS 6 MESES 1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8 ESTE # 108 SUR 16"/>
    <n v="3222625323"/>
    <n v="3116441140"/>
    <x v="0"/>
    <s v="NO SE AUTORECONOCE EN NINGUNO DE LOS ANTERIORES"/>
    <x v="1"/>
    <x v="14"/>
    <s v="NO_"/>
    <s v="NO_"/>
    <s v="o. Ingresos iguales o inferiores a 1.5 Smlv"/>
    <s v="NO_"/>
    <s v="MADRE"/>
    <s v="CC"/>
    <n v="1010222457"/>
    <s v="WENDY"/>
    <s v="NATALIA"/>
    <s v="PEDREROS"/>
    <s v="GOMEZ"/>
    <d v="1995-05-31T00:00:00"/>
    <s v="COLOMBIA"/>
    <s v="BOGOTÁ"/>
    <s v="BOGOTÁ"/>
    <s v="CC"/>
    <n v="1022973256"/>
    <s v="WILSON"/>
    <m/>
    <s v="PARADA"/>
    <s v="NARVAEZ"/>
    <d v="1991-08-27T00:00:00"/>
    <n v="31"/>
    <s v="COLOMBIA"/>
    <s v="BOGOTÁ"/>
    <s v="BOGOTÁ"/>
    <s v="CC"/>
    <n v="1010222457"/>
    <s v="WENDY"/>
    <s v="NATALIA"/>
    <s v="PEDREROS"/>
    <s v="GOMEZ"/>
    <d v="1995-05-31T00:00:00"/>
    <n v="27"/>
    <s v="COLOMBIA"/>
    <s v="BOGOTÁ"/>
    <s v="BOGOTÁ"/>
    <x v="1"/>
    <x v="1"/>
    <x v="0"/>
    <d v="2022-02-27T00:00:00"/>
    <s v="SI_"/>
    <x v="2"/>
    <n v="1"/>
    <s v="NO_"/>
    <m/>
    <m/>
    <n v="37"/>
    <n v="2670"/>
    <n v="50"/>
    <m/>
    <n v="6"/>
    <n v="11"/>
    <s v="NA"/>
    <x v="3"/>
    <m/>
  </r>
  <r>
    <n v="1023047595"/>
    <x v="0"/>
    <d v="2022-03-22T00:00:00"/>
    <d v="2022-07-14T00:00:00"/>
    <e v="#REF!"/>
    <e v="#N/A"/>
    <m/>
    <x v="0"/>
    <x v="3"/>
    <x v="3"/>
    <s v="RC"/>
    <s v="EMMANUEL"/>
    <m/>
    <s v="TRIANA"/>
    <s v="ZAPATA"/>
    <s v="EMMANUEL  TRIANA ZAPATA"/>
    <d v="2021-12-09T00:00:00"/>
    <x v="3"/>
    <n v="0"/>
    <n v="17"/>
    <s v="1 AÑOS 0 MESES 1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LLE 109 SUR N.7B ESTE 05"/>
    <n v="3053710761"/>
    <m/>
    <x v="0"/>
    <s v="NO SE AUTORECONOCE EN NINGUNO DE LOS ANTERIORES"/>
    <x v="1"/>
    <x v="1"/>
    <s v="NO_"/>
    <s v="NO_"/>
    <s v="o. Ingresos iguales o inferiores a 1.5 Smlv"/>
    <m/>
    <s v="ABUELO(A)"/>
    <s v="CC"/>
    <n v="35500792"/>
    <s v="MARIA "/>
    <s v="MARLEN"/>
    <s v="NIÑO"/>
    <s v="DE ZAPATA"/>
    <d v="1961-09-15T00:00:00"/>
    <s v="COLOMBIA"/>
    <s v="BOGOTÁ"/>
    <s v="BOGOTÁ"/>
    <s v="CC"/>
    <n v="1000696343"/>
    <s v="EDWARD"/>
    <s v="ALEJANDRO"/>
    <s v="TRIANA"/>
    <s v="VASQUEZ"/>
    <d v="1988-12-26T00:00:00"/>
    <n v="34"/>
    <s v="COLOMBIA"/>
    <s v="BOGOTÁ"/>
    <s v="BOGOTÁ"/>
    <s v="CC"/>
    <n v="1022958098"/>
    <s v="CAROL"/>
    <s v="XIMENA"/>
    <s v="ZAPATA"/>
    <s v="NIÑO"/>
    <d v="1990-02-10T00:00:00"/>
    <n v="32"/>
    <s v="COLOMBIA"/>
    <s v="BOGOTÁ"/>
    <s v="BOGOTÁ"/>
    <x v="0"/>
    <x v="0"/>
    <x v="0"/>
    <d v="2022-03-22T00:00:00"/>
    <s v="SI_"/>
    <x v="1"/>
    <m/>
    <s v="NO_"/>
    <m/>
    <m/>
    <n v="37"/>
    <n v="3470"/>
    <n v="55"/>
    <s v="NO_"/>
    <s v="15 DÍAS"/>
    <n v="3"/>
    <m/>
    <x v="1"/>
    <m/>
  </r>
  <r>
    <n v="1023047925"/>
    <x v="0"/>
    <d v="2022-03-03T00:00:00"/>
    <d v="2022-03-18T00:00:00"/>
    <e v="#REF!"/>
    <e v="#N/A"/>
    <m/>
    <x v="0"/>
    <x v="6"/>
    <x v="6"/>
    <s v="RC"/>
    <s v="ISABELLA"/>
    <m/>
    <s v="GODOY"/>
    <s v="MENDEZ"/>
    <s v="ISABELLA  GODOY MENDEZ"/>
    <d v="2022-02-11T00:00:00"/>
    <x v="1"/>
    <n v="10"/>
    <n v="15"/>
    <s v="0 AÑOS 10 MESES 1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KR 7A ESTE # 89CSUR-75 PI2"/>
    <n v="3115296860"/>
    <m/>
    <x v="2"/>
    <s v="NO SE AUTORECONOCE EN NINGUNO DE LOS ANTERIORES"/>
    <x v="1"/>
    <x v="1"/>
    <m/>
    <m/>
    <m/>
    <m/>
    <s v="MADRE"/>
    <s v="CC"/>
    <n v="1000336260"/>
    <s v="YULY"/>
    <s v="NATALIA"/>
    <s v="MENDEZ"/>
    <s v="FONSECA"/>
    <d v="2002-05-05T00:00:00"/>
    <s v="COLOMBIA"/>
    <s v="BOGOTÁ"/>
    <s v="BOGOTÁ"/>
    <s v="CC"/>
    <n v="1001286598"/>
    <s v="JEAN"/>
    <s v="CARLO"/>
    <s v="GODOY"/>
    <s v="PEREZ"/>
    <d v="2003-02-07T00:00:00"/>
    <n v="19"/>
    <s v="COLOMBIA"/>
    <s v="BOGOTÁ"/>
    <s v="BOGOTÁ"/>
    <s v="CC"/>
    <n v="1000336260"/>
    <s v="YULY"/>
    <s v="NATALIA"/>
    <s v="MENDEZ"/>
    <s v="FONSECA"/>
    <d v="2002-05-05T00:00:00"/>
    <n v="20"/>
    <s v="COLOMBIA"/>
    <s v="BOGOTÁ"/>
    <s v="BOGOTÁ"/>
    <x v="1"/>
    <x v="3"/>
    <x v="0"/>
    <m/>
    <s v="SI_"/>
    <x v="2"/>
    <s v="NO"/>
    <s v="NO_"/>
    <m/>
    <m/>
    <n v="39"/>
    <n v="2760"/>
    <n v="48"/>
    <s v="SI_"/>
    <m/>
    <m/>
    <m/>
    <x v="2"/>
    <m/>
  </r>
  <r>
    <n v="1023988413"/>
    <x v="1"/>
    <d v="2022-03-03T00:00:00"/>
    <m/>
    <m/>
    <m/>
    <m/>
    <x v="0"/>
    <x v="4"/>
    <x v="4"/>
    <s v="RC"/>
    <s v="EMMA"/>
    <s v="DANIELA"/>
    <s v="SOLIPA"/>
    <s v="BETANCOURTH"/>
    <s v="EMMA DANIELA SOLIPA BETANCOURTH"/>
    <d v="2021-05-14T00:00:00"/>
    <x v="3"/>
    <n v="7"/>
    <n v="12"/>
    <s v="1 AÑOS 7 MESES 1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4"/>
    <m/>
    <s v="DG 98A SUR #8 ESTE-63"/>
    <n v="3227606196"/>
    <n v="3124960138"/>
    <x v="0"/>
    <s v="NO SE AUTORECONOCE EN NINGUNO DE LOS ANTERIORES"/>
    <x v="1"/>
    <x v="1"/>
    <m/>
    <m/>
    <m/>
    <m/>
    <s v="MADRE"/>
    <s v="CC"/>
    <n v="1023027220"/>
    <s v="ANYI"/>
    <s v="PAOLA"/>
    <s v="BETANCOURTH"/>
    <s v="MARTINEZ"/>
    <d v="1998-04-15T00:00:00"/>
    <s v="COLOMBIA"/>
    <s v="BOGOTÁ"/>
    <s v="BOGOTÁ"/>
    <m/>
    <m/>
    <m/>
    <m/>
    <m/>
    <m/>
    <m/>
    <s v=""/>
    <m/>
    <m/>
    <m/>
    <s v="CC"/>
    <n v="1023027220"/>
    <s v="ANYI"/>
    <s v="PAOLA"/>
    <s v="BETANCOURTH"/>
    <s v="MARTINEZ"/>
    <d v="1998-04-15T00:00:00"/>
    <n v="24"/>
    <s v="COLOMBIA"/>
    <s v="BOGOTÁ"/>
    <s v="BOGOTÁ"/>
    <x v="1"/>
    <x v="3"/>
    <x v="0"/>
    <m/>
    <s v="SI_"/>
    <x v="2"/>
    <n v="4"/>
    <s v="NO_"/>
    <m/>
    <m/>
    <n v="40"/>
    <n v="3290"/>
    <n v="57"/>
    <m/>
    <m/>
    <n v="8"/>
    <m/>
    <x v="1"/>
    <m/>
  </r>
  <r>
    <n v="1023047293"/>
    <x v="1"/>
    <d v="2022-03-03T00:00:00"/>
    <m/>
    <m/>
    <m/>
    <m/>
    <x v="0"/>
    <x v="3"/>
    <x v="3"/>
    <s v="RC"/>
    <s v="GABRIELLA"/>
    <m/>
    <s v="FIGUEROA"/>
    <s v="TOVAR"/>
    <s v="GABRIELLA  FIGUEROA TOVAR"/>
    <d v="2021-10-05T00:00:00"/>
    <x v="3"/>
    <n v="2"/>
    <n v="21"/>
    <s v="1 AÑOS 2 MESES 2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DG 99 SUR ESTE 0068 02"/>
    <n v="3213522927"/>
    <m/>
    <x v="0"/>
    <s v="NO SE AUTORECONOCE EN NINGUNO DE LOS ANTERIORES"/>
    <x v="0"/>
    <x v="2"/>
    <s v="NO_"/>
    <s v="NO_"/>
    <s v="a. Pertenecientes a hogares con puntaje SISBEN"/>
    <s v="NO_"/>
    <s v="MADRE"/>
    <s v="CC"/>
    <n v="1109496358"/>
    <s v="SAINA"/>
    <s v="YURAN"/>
    <s v="TOVAR"/>
    <s v="RODRIGUEZ"/>
    <d v="1999-02-20T00:00:00"/>
    <s v="COLOMBIA"/>
    <s v="CAQUETÁ"/>
    <s v="BELÉN DE LOS ANDAQUÍES"/>
    <s v="CC"/>
    <n v="12247226"/>
    <s v="JOSE"/>
    <s v="CARLOS"/>
    <s v="FIGUEROA"/>
    <s v="LEZAMA"/>
    <d v="1985-04-08T00:00:00"/>
    <n v="37"/>
    <s v="COLOMBIA"/>
    <s v="TOLIMA"/>
    <s v="NATAGAIMA"/>
    <s v="CC"/>
    <n v="1109496358"/>
    <s v="SAINA"/>
    <s v="YURAN"/>
    <s v="TOVAR"/>
    <s v="RODRIGUEZ"/>
    <d v="1999-02-20T00:00:00"/>
    <n v="23"/>
    <s v="COLOMBIA"/>
    <s v="CAQUETÁ"/>
    <s v="BELÉN DE LOS ANDAQUÍES"/>
    <x v="0"/>
    <x v="0"/>
    <x v="0"/>
    <m/>
    <s v="SI_"/>
    <x v="2"/>
    <n v="1"/>
    <s v="NO_"/>
    <m/>
    <m/>
    <n v="38"/>
    <n v="2965"/>
    <n v="49"/>
    <s v="SI_"/>
    <n v="4"/>
    <m/>
    <m/>
    <x v="1"/>
    <m/>
  </r>
  <r>
    <n v="1243860558"/>
    <x v="0"/>
    <d v="2022-03-03T00:00:00"/>
    <d v="2022-04-07T00:00:00"/>
    <e v="#REF!"/>
    <e v="#N/A"/>
    <m/>
    <x v="0"/>
    <x v="3"/>
    <x v="3"/>
    <s v="RC"/>
    <s v="SARA"/>
    <s v="VALENTINA"/>
    <s v="BERNAL"/>
    <s v="GAONA"/>
    <s v="SARA VALENTINA BERNAL GAONA"/>
    <d v="2021-06-12T00:00:00"/>
    <x v="3"/>
    <n v="6"/>
    <n v="14"/>
    <s v="1 AÑOS 6 MESES 1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L 111 A SUR 9 ESTE 0076"/>
    <n v="3174467275"/>
    <n v="3175679781"/>
    <x v="0"/>
    <s v="NO SE AUTORECONOCE EN NINGUNO DE LOS ANTERIORES"/>
    <x v="0"/>
    <x v="16"/>
    <s v="NO_"/>
    <s v="SI_"/>
    <s v="a. Pertenecientes a hogares con puntaje SISBEN"/>
    <s v="NO_"/>
    <s v="MADRE"/>
    <s v="CC"/>
    <n v="1050170463"/>
    <s v="MARIA"/>
    <s v="DORIS"/>
    <s v="GAONA"/>
    <s v="LOPEZ"/>
    <d v="1992-05-09T00:00:00"/>
    <s v="COLOMBIA"/>
    <s v="BOYACÁ"/>
    <s v="BOYACA"/>
    <m/>
    <m/>
    <m/>
    <m/>
    <m/>
    <m/>
    <m/>
    <s v=""/>
    <m/>
    <m/>
    <m/>
    <s v="CC"/>
    <n v="1050170463"/>
    <s v="MARIA"/>
    <s v="DORIS"/>
    <s v="GAONA"/>
    <s v="LOPEZ"/>
    <d v="1992-05-09T00:00:00"/>
    <n v="30"/>
    <s v="COLOMBIA"/>
    <s v="BOYACÁ"/>
    <s v="BOYACA"/>
    <x v="0"/>
    <x v="0"/>
    <x v="0"/>
    <m/>
    <s v="SI_"/>
    <x v="2"/>
    <n v="1"/>
    <s v="NO_"/>
    <m/>
    <m/>
    <n v="40"/>
    <n v="2935"/>
    <n v="50"/>
    <s v="NO_"/>
    <n v="6"/>
    <n v="6"/>
    <m/>
    <x v="1"/>
    <m/>
  </r>
  <r>
    <n v="1023047266"/>
    <x v="0"/>
    <d v="2022-03-03T00:00:00"/>
    <d v="2022-04-04T00:00:00"/>
    <e v="#REF!"/>
    <e v="#N/A"/>
    <m/>
    <x v="0"/>
    <x v="6"/>
    <x v="6"/>
    <s v="RC"/>
    <s v="JUANA"/>
    <s v="VALENTINA"/>
    <s v="SACRISTAN"/>
    <s v="MARTINEZ"/>
    <s v="JUANA VALENTINA SACRISTAN MARTINEZ"/>
    <d v="2021-09-17T00:00:00"/>
    <x v="3"/>
    <n v="3"/>
    <n v="9"/>
    <s v="1 AÑOS 3 MESES 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5"/>
    <m/>
    <s v="KR 5 B ESTE #98 SUR 56"/>
    <n v="3174202422"/>
    <n v="3212076791"/>
    <x v="0"/>
    <s v="NO SE AUTORECONOCE EN NINGUNO DE LOS ANTERIORES"/>
    <x v="0"/>
    <x v="10"/>
    <s v="NO_"/>
    <s v="NO_"/>
    <s v="a. Pertenecientes a hogares con puntaje SISBEN"/>
    <s v="NO_"/>
    <s v="MADRE"/>
    <s v="CC"/>
    <n v="1022990074"/>
    <s v="LUZ"/>
    <s v="AMANDA"/>
    <s v="SACRISTAN"/>
    <s v="MARTINEZ"/>
    <d v="1993-10-05T00:00:00"/>
    <s v="COLOMBIA"/>
    <s v="BOGOTÁ"/>
    <s v="BOGOTÁ"/>
    <m/>
    <m/>
    <m/>
    <m/>
    <m/>
    <m/>
    <m/>
    <s v=""/>
    <m/>
    <m/>
    <m/>
    <s v="CC"/>
    <n v="1022990074"/>
    <s v="LUZ"/>
    <s v="AMANDA"/>
    <s v="SACRISTAN"/>
    <s v="MARTINEZ"/>
    <d v="1993-10-05T00:00:00"/>
    <n v="29"/>
    <s v="COLOMBIA"/>
    <s v="BOGOTÁ"/>
    <s v="BOGOTÁ"/>
    <x v="0"/>
    <x v="2"/>
    <x v="0"/>
    <m/>
    <s v="SI_"/>
    <x v="2"/>
    <n v="1"/>
    <s v="NO_"/>
    <m/>
    <m/>
    <n v="39"/>
    <n v="2950"/>
    <n v="52"/>
    <s v="SI_"/>
    <n v="6"/>
    <n v="12"/>
    <m/>
    <x v="1"/>
    <m/>
  </r>
  <r>
    <n v="1026309481"/>
    <x v="1"/>
    <d v="2022-03-03T00:00:00"/>
    <m/>
    <m/>
    <m/>
    <m/>
    <x v="0"/>
    <x v="4"/>
    <x v="4"/>
    <s v="RC"/>
    <s v="LIAM"/>
    <s v="EDUARDO"/>
    <s v="HERNANDEZ"/>
    <s v="VARGAS"/>
    <s v="LIAM EDUARDO HERNANDEZ VARGAS"/>
    <d v="2020-12-31T00:00:00"/>
    <x v="3"/>
    <n v="11"/>
    <n v="25"/>
    <s v="1 AÑOS 11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KR 8 D ESTE 107 A SUR 50"/>
    <n v="3218082304"/>
    <m/>
    <x v="0"/>
    <s v="NO SE AUTORECONOCE EN NINGUNO DE LOS ANTERIORES"/>
    <x v="0"/>
    <x v="4"/>
    <s v="NO_"/>
    <s v="NO_"/>
    <s v="a. Pertenecientes a hogares con puntaje SISBEN"/>
    <s v="NO_"/>
    <s v="MADRE"/>
    <s v="CC"/>
    <n v="1124019418"/>
    <s v="MARLYS"/>
    <s v="YULENIS"/>
    <s v="HERNANDEZ"/>
    <s v="VARGAS"/>
    <d v="1989-08-03T00:00:00"/>
    <s v="COLOMBIA"/>
    <s v="LA_GUAJIRA"/>
    <s v="MAICAO"/>
    <s v="CC"/>
    <n v="17903938"/>
    <s v="EULIS"/>
    <s v="DE JESUS"/>
    <s v="DIAZ"/>
    <s v="CAMELO"/>
    <d v="1982-01-17T00:00:00"/>
    <n v="40"/>
    <s v="COLOMBIA"/>
    <s v="LA_GUAJIRA"/>
    <s v="MAICAO"/>
    <s v="CC"/>
    <n v="1124019418"/>
    <s v="MARLYS"/>
    <s v="YULENIS"/>
    <s v="HERNANDEZ"/>
    <s v="VARGAS"/>
    <d v="1989-08-03T00:00:00"/>
    <n v="33"/>
    <s v="COLOMBIA"/>
    <s v="LA_GUAJIRA"/>
    <s v="MAICAO"/>
    <x v="1"/>
    <x v="14"/>
    <x v="0"/>
    <m/>
    <s v="SI_"/>
    <x v="2"/>
    <n v="1"/>
    <s v="NO_"/>
    <m/>
    <m/>
    <n v="36"/>
    <n v="2200"/>
    <n v="48"/>
    <m/>
    <n v="6"/>
    <n v="12"/>
    <m/>
    <x v="1"/>
    <m/>
  </r>
  <r>
    <n v="1026309480"/>
    <x v="1"/>
    <d v="2022-03-03T00:00:00"/>
    <m/>
    <m/>
    <m/>
    <m/>
    <x v="0"/>
    <x v="4"/>
    <x v="4"/>
    <s v="RC"/>
    <s v="EUMAR"/>
    <s v="DAVID"/>
    <s v="HERNANDEZ"/>
    <s v="VARGAS"/>
    <s v="EUMAR DAVID HERNANDEZ VARGAS"/>
    <d v="2020-12-31T00:00:00"/>
    <x v="3"/>
    <n v="11"/>
    <n v="25"/>
    <s v="1 AÑOS 11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KR 8 D ESTE 107 A SUR 50"/>
    <n v="3218082304"/>
    <m/>
    <x v="0"/>
    <s v="NO SE AUTORECONOCE EN NINGUNO DE LOS ANTERIORES"/>
    <x v="0"/>
    <x v="4"/>
    <s v="NO_"/>
    <s v="NO_"/>
    <s v="a. Pertenecientes a hogares con puntaje SISBEN"/>
    <s v="NO_"/>
    <s v="MADRE"/>
    <s v="CC"/>
    <n v="1124019418"/>
    <s v="MARLYS"/>
    <s v="YULENIS"/>
    <s v="HERNANDEZ"/>
    <s v="VARGAS"/>
    <d v="1989-08-03T00:00:00"/>
    <s v="COLOMBIA"/>
    <s v="LA_GUAJIRA"/>
    <s v="MAICAO"/>
    <s v="CC"/>
    <n v="17903938"/>
    <s v="EULIS"/>
    <s v="DE JESUS"/>
    <s v="DIAZ"/>
    <s v="CAMELO"/>
    <d v="1982-01-17T00:00:00"/>
    <n v="40"/>
    <s v="COLOMBIA"/>
    <s v="LA_GUAJIRA"/>
    <s v="MAICAO"/>
    <s v="CC"/>
    <n v="1124019418"/>
    <s v="MARLYS"/>
    <s v="YULENIS"/>
    <s v="HERNANDEZ"/>
    <s v="VARGAS"/>
    <d v="1989-08-03T00:00:00"/>
    <n v="33"/>
    <s v="COLOMBIA"/>
    <s v="LA_GUAJIRA"/>
    <s v="MAICAO"/>
    <x v="1"/>
    <x v="14"/>
    <x v="0"/>
    <m/>
    <s v="SI_"/>
    <x v="2"/>
    <n v="1"/>
    <s v="NO_"/>
    <m/>
    <m/>
    <n v="36"/>
    <n v="2600"/>
    <n v="47"/>
    <m/>
    <n v="6"/>
    <n v="12"/>
    <m/>
    <x v="1"/>
    <m/>
  </r>
  <r>
    <n v="1204713577"/>
    <x v="0"/>
    <d v="2022-04-04T00:00:00"/>
    <d v="2022-09-20T00:00:00"/>
    <e v="#REF!"/>
    <e v="#N/A"/>
    <m/>
    <x v="0"/>
    <x v="3"/>
    <x v="3"/>
    <s v="RC"/>
    <s v="MARIAN"/>
    <s v="SALOME"/>
    <s v="CASTRO "/>
    <s v="TIQUE"/>
    <s v="MARIAN SALOME CASTRO  TIQUE"/>
    <d v="2021-12-06T00:00:00"/>
    <x v="3"/>
    <n v="0"/>
    <n v="20"/>
    <s v="1 AÑOS 0 MESES 2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n v="3175444599"/>
    <n v="3157302635"/>
    <x v="0"/>
    <s v="INDIGENA"/>
    <x v="1"/>
    <x v="1"/>
    <s v="NO_"/>
    <s v="NO_"/>
    <s v="g. Pertenecientes a comunidades étnicas (indígenas, comunidades negras, afrocolombianas, Palenqueros, Raizales y Rrom), que demanden el servicio."/>
    <m/>
    <s v="MADRE"/>
    <s v="CC"/>
    <n v="1007789082"/>
    <s v="YINA"/>
    <s v="LISETH"/>
    <s v="TIQUE"/>
    <s v="ESQUIVEL"/>
    <d v="2001-03-22T00:00:00"/>
    <s v="COLOMBIA"/>
    <s v="TOLIMA"/>
    <s v="ORTEGA"/>
    <s v="CC"/>
    <n v="1045227693"/>
    <s v="JUAN"/>
    <s v="DAVID"/>
    <s v="CASTRO"/>
    <s v="MERLANO"/>
    <d v="2000-07-11T00:00:00"/>
    <n v="22"/>
    <s v="COLOMBIA"/>
    <s v="ATLÁNTICO"/>
    <s v="LURUACO"/>
    <s v="CC"/>
    <n v="1007789082"/>
    <s v="YINA"/>
    <s v="LISETH"/>
    <s v="TIQUE"/>
    <s v="ESQUIVEL"/>
    <d v="2001-03-22T00:00:00"/>
    <n v="21"/>
    <s v="COLOMBIA"/>
    <s v="TOLIMA"/>
    <s v="ORTEGA"/>
    <x v="0"/>
    <x v="0"/>
    <x v="0"/>
    <d v="2022-03-29T00:00:00"/>
    <s v="SI_"/>
    <x v="2"/>
    <n v="2"/>
    <s v="NO_"/>
    <m/>
    <m/>
    <n v="39"/>
    <n v="3075"/>
    <n v="50"/>
    <s v="SI_"/>
    <m/>
    <m/>
    <m/>
    <x v="1"/>
    <m/>
  </r>
  <r>
    <n v="1023047313"/>
    <x v="0"/>
    <d v="2022-03-03T00:00:00"/>
    <d v="2022-04-04T00:00:00"/>
    <e v="#REF!"/>
    <e v="#N/A"/>
    <m/>
    <x v="0"/>
    <x v="6"/>
    <x v="6"/>
    <s v="RC"/>
    <s v="IAN"/>
    <s v="ALEJANDRO"/>
    <s v="GARZON"/>
    <s v="PEREZ"/>
    <s v="IAN ALEJANDRO GARZON PEREZ"/>
    <d v="2021-10-05T00:00:00"/>
    <x v="3"/>
    <n v="2"/>
    <n v="21"/>
    <s v="1 AÑOS 2 MESES 2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8 C ESTE 104 SUR 0014"/>
    <n v="3178835350"/>
    <m/>
    <x v="0"/>
    <s v="NO SE AUTORECONOCE EN NINGUNO DE LOS ANTERIORES"/>
    <x v="0"/>
    <x v="3"/>
    <s v="NO_"/>
    <s v="NO_"/>
    <s v="a. Pertenecientes a hogares con puntaje SISBEN"/>
    <s v="NO_"/>
    <s v="MADRE"/>
    <s v="CC"/>
    <n v="1013627223"/>
    <s v="LEIDY"/>
    <s v="PATRICIA"/>
    <s v="PEREZ"/>
    <s v="GONZALEZ"/>
    <d v="1991-10-08T00:00:00"/>
    <s v="COLOMBIA"/>
    <s v="CUNDINAMARCA"/>
    <s v="ARBELÁEZ"/>
    <m/>
    <m/>
    <m/>
    <m/>
    <m/>
    <m/>
    <m/>
    <s v=""/>
    <m/>
    <m/>
    <m/>
    <s v="CC"/>
    <n v="1013627223"/>
    <s v="LEIDY"/>
    <s v="PATRICIA"/>
    <s v="PEREZ"/>
    <s v="GONZALEZ"/>
    <d v="1991-10-08T00:00:00"/>
    <n v="31"/>
    <s v="COLOMBIA"/>
    <s v="CUNDINAMARCA"/>
    <s v="ARBELÁEZ"/>
    <x v="0"/>
    <x v="0"/>
    <x v="0"/>
    <m/>
    <s v="SI_"/>
    <x v="2"/>
    <n v="1"/>
    <s v="NO_"/>
    <m/>
    <m/>
    <n v="40"/>
    <n v="3400"/>
    <n v="51"/>
    <s v="SI_"/>
    <m/>
    <m/>
    <m/>
    <x v="1"/>
    <m/>
  </r>
  <r>
    <n v="1023022652"/>
    <x v="1"/>
    <d v="2022-07-12T00:00:00"/>
    <m/>
    <m/>
    <m/>
    <s v="TRIANGULO"/>
    <x v="0"/>
    <x v="0"/>
    <x v="0"/>
    <s v="CC"/>
    <s v="YUDY"/>
    <s v="ESMERALDA"/>
    <s v="ROJAS"/>
    <s v="MONGUI"/>
    <s v="YUDY ESMERALDA ROJAS MONGUI"/>
    <d v="1997-06-30T00:00:00"/>
    <x v="22"/>
    <n v="5"/>
    <n v="26"/>
    <s v="25 AÑOS 5 MESES 26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"/>
    <m/>
    <s v="DIAGONAL 92 B SUR 3 - 24"/>
    <n v="3138951339"/>
    <n v="3194293871"/>
    <x v="0"/>
    <s v="NO SE AUTORECONOCE EN NINGUNO DE LOS ANTERIORES"/>
    <x v="0"/>
    <x v="10"/>
    <m/>
    <m/>
    <s v="a. Pertenecientes a hogares con puntaje SISBEN"/>
    <m/>
    <s v="MADRE"/>
    <s v="CC"/>
    <n v="51803352"/>
    <s v="DALILA"/>
    <m/>
    <s v="MONGUI"/>
    <s v="PINILLA"/>
    <d v="1964-03-21T00:00:00"/>
    <s v="COLOMBIA"/>
    <s v="BOYACÁ"/>
    <s v="MARIPÍ"/>
    <m/>
    <m/>
    <m/>
    <m/>
    <m/>
    <m/>
    <m/>
    <s v=""/>
    <m/>
    <m/>
    <m/>
    <m/>
    <m/>
    <m/>
    <m/>
    <m/>
    <m/>
    <m/>
    <s v=""/>
    <m/>
    <m/>
    <m/>
    <x v="1"/>
    <x v="1"/>
    <x v="0"/>
    <d v="2022-07-13T00:00:00"/>
    <m/>
    <x v="0"/>
    <m/>
    <m/>
    <m/>
    <m/>
    <m/>
    <m/>
    <m/>
    <m/>
    <m/>
    <m/>
    <n v="15"/>
    <x v="0"/>
    <m/>
  </r>
  <r>
    <n v="1022923040"/>
    <x v="0"/>
    <d v="2022-03-03T00:00:00"/>
    <d v="2022-07-11T00:00:00"/>
    <e v="#REF!"/>
    <e v="#N/A"/>
    <m/>
    <x v="0"/>
    <x v="0"/>
    <x v="0"/>
    <s v="CC"/>
    <s v="LAURA"/>
    <s v="JULIENT"/>
    <s v="PEREZ"/>
    <s v="CHINGATE"/>
    <s v="LAURA JULIENT PEREZ CHINGATE"/>
    <d v="2004-02-13T00:00:00"/>
    <x v="23"/>
    <n v="10"/>
    <n v="13"/>
    <s v="18 AÑOS 10 MESES 13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6"/>
    <m/>
    <s v="CL 97 A SUR # 1 A ESTE 11"/>
    <n v="3133773429"/>
    <m/>
    <x v="0"/>
    <s v="NO SE AUTORECONOCE EN NINGUNO DE LOS ANTERIORES"/>
    <x v="0"/>
    <x v="3"/>
    <s v="NO_"/>
    <s v="NO_"/>
    <s v="a. Pertenecientes a hogares con puntaje SISBEN"/>
    <s v="NO_"/>
    <s v="CONYUGE"/>
    <s v="CC"/>
    <n v="1001170000"/>
    <s v="HUMER"/>
    <s v="ANTONIO"/>
    <s v="DIMATE"/>
    <s v="IBAÑEZ"/>
    <d v="2001-01-23T00:00:00"/>
    <s v="COLOMBIA"/>
    <s v="BOGOTÁ"/>
    <s v="BOGOTÁ"/>
    <m/>
    <m/>
    <m/>
    <m/>
    <m/>
    <m/>
    <m/>
    <s v=""/>
    <m/>
    <m/>
    <m/>
    <s v="CC"/>
    <n v="1022923040"/>
    <s v="LAURA"/>
    <s v="JULIENT"/>
    <s v="PEREZ"/>
    <s v="CHINGATE"/>
    <d v="2004-02-13T00:00:00"/>
    <n v="18"/>
    <s v="COLOMBIA"/>
    <s v="BOGOTÁ"/>
    <s v="BOGOTÁ"/>
    <x v="0"/>
    <x v="0"/>
    <x v="0"/>
    <m/>
    <s v="SI_"/>
    <x v="0"/>
    <m/>
    <s v="NO_"/>
    <m/>
    <m/>
    <n v="40"/>
    <n v="2680"/>
    <n v="51"/>
    <s v="SI_"/>
    <m/>
    <m/>
    <n v="26"/>
    <x v="0"/>
    <m/>
  </r>
  <r>
    <n v="1023047519"/>
    <x v="0"/>
    <d v="2022-03-03T00:00:00"/>
    <d v="2022-07-11T00:00:00"/>
    <e v="#REF!"/>
    <e v="#N/A"/>
    <m/>
    <x v="0"/>
    <x v="3"/>
    <x v="3"/>
    <s v="RC"/>
    <s v="IAN"/>
    <s v="MATIAS"/>
    <s v="VIASUS"/>
    <s v="VEGA"/>
    <s v="IAN MATIAS VIASUS VEGA"/>
    <d v="2021-11-12T00:00:00"/>
    <x v="3"/>
    <n v="1"/>
    <n v="14"/>
    <s v="1 AÑOS 1 MESES 1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10 ESTE 108 SUR 0038"/>
    <n v="3214530484"/>
    <m/>
    <x v="0"/>
    <s v="NO SE AUTORECONOCE EN NINGUNO DE LOS ANTERIORES"/>
    <x v="2"/>
    <x v="1"/>
    <m/>
    <m/>
    <m/>
    <m/>
    <s v="MADRE"/>
    <s v="CC"/>
    <n v="1001050290"/>
    <s v="LUISA"/>
    <s v="FERNANDA"/>
    <s v="VEGA"/>
    <s v="FUENTES"/>
    <d v="2003-03-15T00:00:00"/>
    <s v="COLOMBIA"/>
    <s v="BOGOTÁ"/>
    <s v="BOGOTÁ"/>
    <m/>
    <m/>
    <m/>
    <m/>
    <m/>
    <m/>
    <m/>
    <s v=""/>
    <m/>
    <m/>
    <m/>
    <s v="CC"/>
    <n v="1001050290"/>
    <s v="LUISA"/>
    <s v="FERNANDA"/>
    <s v="VEGA"/>
    <s v="FUENTES"/>
    <d v="2003-03-15T00:00:00"/>
    <n v="19"/>
    <s v="COLOMBIA"/>
    <s v="BOGOTÁ"/>
    <s v="BOGOTÁ"/>
    <x v="1"/>
    <x v="1"/>
    <x v="0"/>
    <m/>
    <s v="SI_"/>
    <x v="2"/>
    <n v="1"/>
    <s v="NO_"/>
    <m/>
    <m/>
    <m/>
    <m/>
    <m/>
    <m/>
    <m/>
    <m/>
    <m/>
    <x v="1"/>
    <m/>
  </r>
  <r>
    <n v="1027302696"/>
    <x v="1"/>
    <d v="2022-03-22T00:00:00"/>
    <m/>
    <m/>
    <m/>
    <m/>
    <x v="0"/>
    <x v="4"/>
    <x v="4"/>
    <s v="RC"/>
    <s v="JUAN"/>
    <s v="SEBASTIAN"/>
    <s v="LUCAS"/>
    <s v="ESPINOSA"/>
    <s v="JUAN SEBASTIAN LUCAS ESPINOSA"/>
    <d v="2020-11-15T00:00:00"/>
    <x v="2"/>
    <n v="1"/>
    <n v="11"/>
    <s v="2 AÑOS 1 MESES 1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7"/>
    <m/>
    <s v="CL 112 A SUR # 10 67 PI 1"/>
    <n v="3118935084"/>
    <m/>
    <x v="0"/>
    <s v="NO SE AUTORECONOCE EN NINGUNO DE LOS ANTERIORES"/>
    <x v="0"/>
    <x v="6"/>
    <s v="NO_"/>
    <s v="NO_"/>
    <s v="a. Pertenecientes a hogares con puntaje SISBEN"/>
    <m/>
    <s v="MADRE"/>
    <s v="CC"/>
    <n v="1000221385"/>
    <s v="YENYFER"/>
    <s v="KATERIN"/>
    <s v="ESPINOSA"/>
    <s v="MAHECHA"/>
    <d v="1990-03-14T00:00:00"/>
    <s v="COLOMBIA"/>
    <s v="BOGOTÁ"/>
    <s v="BOGOTÁ"/>
    <m/>
    <m/>
    <m/>
    <m/>
    <m/>
    <m/>
    <m/>
    <s v=""/>
    <m/>
    <m/>
    <m/>
    <s v="CC"/>
    <n v="1000221385"/>
    <s v="YENYFER"/>
    <s v="KATERIN"/>
    <s v="ESPINOSA"/>
    <s v="MAHECHA"/>
    <d v="1990-03-14T00:00:00"/>
    <n v="32"/>
    <s v="COLOMBIA"/>
    <s v="BOGOTÁ"/>
    <s v="BOGOTÁ"/>
    <x v="0"/>
    <x v="6"/>
    <x v="0"/>
    <m/>
    <s v="SI_"/>
    <x v="2"/>
    <n v="1"/>
    <s v="NO_"/>
    <m/>
    <m/>
    <n v="40"/>
    <n v="3345"/>
    <n v="51"/>
    <m/>
    <n v="6"/>
    <n v="12"/>
    <m/>
    <x v="1"/>
    <m/>
  </r>
  <r>
    <n v="1023046883"/>
    <x v="0"/>
    <d v="2022-03-03T00:00:00"/>
    <d v="2022-03-04T00:00:00"/>
    <e v="#REF!"/>
    <e v="#N/A"/>
    <s v="Solo rpp de febrero"/>
    <x v="0"/>
    <x v="4"/>
    <x v="4"/>
    <s v="RC"/>
    <s v="ELIANA"/>
    <m/>
    <s v="MARTINEZ"/>
    <s v="SANCHEZ"/>
    <s v="ELIANA  MARTINEZ SANCHEZ"/>
    <d v="2021-06-21T00:00:00"/>
    <x v="3"/>
    <n v="6"/>
    <n v="5"/>
    <s v="1 AÑOS 6 MESES 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8"/>
    <m/>
    <s v="KR 7 BIS ESTE#104-32 SUR"/>
    <n v="3204026276"/>
    <m/>
    <x v="2"/>
    <s v="NO SE AUTORECONOCE EN NINGUNO DE LOS ANTERIORES"/>
    <x v="0"/>
    <x v="10"/>
    <s v="NO_"/>
    <s v="NO_"/>
    <s v="a. Pertenecientes a hogares con puntaje SISBEN"/>
    <s v="NO_"/>
    <s v="MADRE"/>
    <s v="CC"/>
    <n v="1023037929"/>
    <s v="DEISY"/>
    <s v="ESTEFANIA"/>
    <s v="SANCHEZ"/>
    <s v="DAZA"/>
    <d v="1999-09-12T00:00:00"/>
    <s v="COLOMBIA"/>
    <s v="BOGOTÁ"/>
    <s v="BOGOTÁ"/>
    <m/>
    <m/>
    <m/>
    <m/>
    <m/>
    <m/>
    <m/>
    <s v=""/>
    <m/>
    <m/>
    <m/>
    <s v="CC"/>
    <n v="1023037929"/>
    <s v="DEISY"/>
    <s v="ESTEFANIA"/>
    <s v="SANCHEZ"/>
    <s v="DAZA"/>
    <d v="1999-09-12T00:00:00"/>
    <n v="23"/>
    <s v="COLOMBIA"/>
    <s v="BOGOTÁ"/>
    <s v="BOGOTÁ"/>
    <x v="1"/>
    <x v="1"/>
    <x v="0"/>
    <m/>
    <s v="SI_"/>
    <x v="2"/>
    <n v="2"/>
    <s v="NO_"/>
    <m/>
    <m/>
    <m/>
    <n v="2352"/>
    <m/>
    <m/>
    <m/>
    <m/>
    <m/>
    <x v="1"/>
    <m/>
  </r>
  <r>
    <n v="1023048255"/>
    <x v="1"/>
    <d v="2022-04-26T00:00:00"/>
    <m/>
    <m/>
    <m/>
    <s v="TRIANGULO"/>
    <x v="0"/>
    <x v="2"/>
    <x v="2"/>
    <s v="RC"/>
    <s v="BRIANNA"/>
    <m/>
    <s v="DIAZ"/>
    <s v="PEREZ"/>
    <s v="BRIANNA  DIAZ PEREZ"/>
    <d v="2022-03-29T00:00:00"/>
    <x v="1"/>
    <n v="8"/>
    <n v="27"/>
    <s v="0 AÑOS 8 MESES 2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5"/>
    <m/>
    <s v="KR 10 ESTE 76 SUR 20 BQ D IN 3 AP 702"/>
    <n v="3232406157"/>
    <n v="8124767"/>
    <x v="0"/>
    <s v="NO SE AUTORECONOCE EN NINGUNO DE LOS ANTERIORES"/>
    <x v="1"/>
    <x v="1"/>
    <s v="NO_"/>
    <s v="NO_"/>
    <s v="o. Ingresos iguales o inferiores a 1.5 Smlv"/>
    <s v="SI_"/>
    <s v="MADRE"/>
    <s v="CC"/>
    <n v="1010241876"/>
    <s v="VIVIANA"/>
    <s v="YIVELY"/>
    <s v="PEREZ "/>
    <s v="LEON"/>
    <d v="1998-09-22T00:00:00"/>
    <s v="COLOMBIA"/>
    <s v="NORTE_DE_SANTANDER"/>
    <s v="CÚCUTA"/>
    <m/>
    <m/>
    <m/>
    <m/>
    <m/>
    <m/>
    <m/>
    <s v=""/>
    <m/>
    <m/>
    <m/>
    <s v="CC"/>
    <n v="1010241876"/>
    <s v="VIVANA"/>
    <s v="YIVELY"/>
    <s v="PEREZ"/>
    <s v="LEON"/>
    <s v="   "/>
    <e v="#VALUE!"/>
    <s v="COLOMBIA"/>
    <s v="BOGOTÁ"/>
    <s v="BOGOTÁ"/>
    <x v="0"/>
    <x v="12"/>
    <x v="2"/>
    <m/>
    <m/>
    <x v="0"/>
    <m/>
    <s v="NO_"/>
    <m/>
    <m/>
    <m/>
    <m/>
    <m/>
    <m/>
    <m/>
    <m/>
    <m/>
    <x v="2"/>
    <m/>
  </r>
  <r>
    <n v="1010241876"/>
    <x v="0"/>
    <d v="2022-03-03T00:00:00"/>
    <d v="2022-04-25T00:00:00"/>
    <e v="#REF!"/>
    <e v="#N/A"/>
    <m/>
    <x v="0"/>
    <x v="0"/>
    <x v="0"/>
    <s v="CC"/>
    <s v="VIVIANA"/>
    <s v="YIBELY"/>
    <s v="PEREZ "/>
    <s v="LEON"/>
    <s v="VIVIANA YIBELY PEREZ  LEON"/>
    <d v="1998-09-22T00:00:00"/>
    <x v="24"/>
    <n v="3"/>
    <n v="4"/>
    <s v="24 AÑOS 3 MESES 4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5"/>
    <m/>
    <s v="KR 10 ESTE 76 SUR 20 BQ D IN 3 AP 702"/>
    <m/>
    <m/>
    <x v="0"/>
    <s v="NO SE AUTORECONOCE EN NINGUNO DE LOS ANTERIORES"/>
    <x v="0"/>
    <x v="8"/>
    <s v="NO_"/>
    <s v="NO_"/>
    <s v="a. Pertenecientes a hogares con puntaje SISBEN"/>
    <s v="NO_"/>
    <m/>
    <m/>
    <m/>
    <m/>
    <m/>
    <m/>
    <m/>
    <m/>
    <m/>
    <m/>
    <m/>
    <m/>
    <m/>
    <m/>
    <m/>
    <m/>
    <m/>
    <m/>
    <s v=""/>
    <m/>
    <m/>
    <m/>
    <s v="CC"/>
    <n v="1010241876"/>
    <s v="VIVANA"/>
    <s v="YIVELY"/>
    <s v="PEREZ"/>
    <s v="LEON"/>
    <d v="1998-09-22T00:00:00"/>
    <n v="24"/>
    <s v="COLOMBIA"/>
    <s v="BOGOTÁ"/>
    <s v="BOGOTÁ"/>
    <x v="0"/>
    <x v="2"/>
    <x v="0"/>
    <m/>
    <m/>
    <x v="0"/>
    <m/>
    <m/>
    <m/>
    <m/>
    <m/>
    <m/>
    <m/>
    <m/>
    <m/>
    <m/>
    <n v="35"/>
    <x v="0"/>
    <m/>
  </r>
  <r>
    <n v="1029299640"/>
    <x v="1"/>
    <d v="2022-03-29T00:00:00"/>
    <m/>
    <m/>
    <m/>
    <m/>
    <x v="0"/>
    <x v="4"/>
    <x v="4"/>
    <s v="RC"/>
    <s v="MOISES"/>
    <s v="DAVID"/>
    <s v="OLMOS"/>
    <s v="BRAVO"/>
    <s v="MOISES DAVID OLMOS BRAVO"/>
    <d v="2020-02-11T00:00:00"/>
    <x v="2"/>
    <n v="10"/>
    <n v="15"/>
    <s v="2 AÑOS 10 MESES 1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FINCA LOS SOCHES"/>
    <n v="3004350992"/>
    <m/>
    <x v="1"/>
    <s v="NO SE AUTORECONOCE EN NINGUNO DE LOS ANTERIORES"/>
    <x v="1"/>
    <x v="1"/>
    <s v="NO_"/>
    <s v="NO_"/>
    <s v="o. Ingresos iguales o inferiores a 1.5 Smlv"/>
    <m/>
    <s v="MADRE"/>
    <s v="SIN DOCUMENTO"/>
    <m/>
    <s v="YULIMAR"/>
    <s v="DEL VALLE"/>
    <s v="BRAVO"/>
    <s v="ALBARRAN"/>
    <d v="1992-01-03T00:00:00"/>
    <s v="VENEZUELA"/>
    <s v="EXTERIOR"/>
    <s v="EXTERIOR"/>
    <s v="SIN DOCUMENTO"/>
    <m/>
    <s v="EDIXON"/>
    <s v="ALBERTO"/>
    <s v="OLMOS"/>
    <s v="PEREZ"/>
    <d v="1975-06-01T00:00:00"/>
    <n v="47"/>
    <s v="VENEZUELA"/>
    <s v="EXTERIOR"/>
    <s v="EXTERIOR"/>
    <s v="SIN DOCUMENTO"/>
    <m/>
    <s v="YULIMAR"/>
    <s v="DEL VALLE"/>
    <s v="BRAVO"/>
    <s v="ALBARRAN"/>
    <d v="1992-01-03T00:00:00"/>
    <n v="30"/>
    <s v="VENEZUELA"/>
    <s v="EXTERIOR"/>
    <s v="EXTERIOR"/>
    <x v="1"/>
    <x v="9"/>
    <x v="0"/>
    <d v="2022-03-28T00:00:00"/>
    <s v="SI_"/>
    <x v="2"/>
    <n v="1"/>
    <s v="SI_"/>
    <m/>
    <m/>
    <n v="33"/>
    <n v="1300"/>
    <n v="39"/>
    <s v="NO_"/>
    <n v="6"/>
    <n v="12"/>
    <m/>
    <x v="1"/>
    <m/>
  </r>
  <r>
    <n v="1023045509"/>
    <x v="0"/>
    <d v="2022-03-03T00:00:00"/>
    <d v="2022-03-28T00:00:00"/>
    <e v="#REF!"/>
    <e v="#N/A"/>
    <m/>
    <x v="0"/>
    <x v="4"/>
    <x v="4"/>
    <s v="RC"/>
    <s v="JUAN "/>
    <s v="DIEGO"/>
    <s v="ARDILA"/>
    <s v="ROBAYO"/>
    <s v="JUAN  DIEGO ARDILA ROBAYO"/>
    <d v="2020-09-24T00:00:00"/>
    <x v="2"/>
    <n v="3"/>
    <n v="2"/>
    <s v="2 AÑOS 3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8"/>
    <m/>
    <s v="CL 103 SUR # 7 H 67 ESTE"/>
    <n v="3208125785"/>
    <m/>
    <x v="0"/>
    <s v="NO SE AUTORECONOCE EN NINGUNO DE LOS ANTERIORES"/>
    <x v="0"/>
    <x v="20"/>
    <s v="NO_"/>
    <s v="NO_"/>
    <s v="a. Pertenecientes a hogares con puntaje SISBEN"/>
    <s v="NO_"/>
    <s v="MADRE"/>
    <s v="CC"/>
    <n v="1120558027"/>
    <s v="AYDA"/>
    <s v="LIZETH"/>
    <s v="ROBAYO"/>
    <s v="HERNANDEZ"/>
    <d v="2003-11-03T00:00:00"/>
    <s v="COLOMBIA"/>
    <s v="GUAVIARE"/>
    <s v="SAN JOSÉ DELGUAVIARE"/>
    <m/>
    <m/>
    <m/>
    <m/>
    <m/>
    <m/>
    <m/>
    <s v=""/>
    <m/>
    <m/>
    <m/>
    <s v="CC"/>
    <n v="1120558027"/>
    <s v="AYDA"/>
    <s v="LIZETH"/>
    <s v="ROBAYO"/>
    <s v="HERNANDEZ"/>
    <d v="2003-11-03T00:00:00"/>
    <n v="19"/>
    <s v="COLOMBIA"/>
    <s v="GUAVIARE"/>
    <s v="SAN JOSÉ DELGUAVIARE"/>
    <x v="0"/>
    <x v="2"/>
    <x v="0"/>
    <m/>
    <s v="SI_"/>
    <x v="2"/>
    <n v="1"/>
    <s v="SI_"/>
    <m/>
    <m/>
    <n v="37"/>
    <n v="2240"/>
    <n v="47"/>
    <m/>
    <n v="6"/>
    <n v="12"/>
    <m/>
    <x v="1"/>
    <m/>
  </r>
  <r>
    <n v="1140939471"/>
    <x v="1"/>
    <d v="2022-03-03T00:00:00"/>
    <m/>
    <m/>
    <m/>
    <m/>
    <x v="0"/>
    <x v="4"/>
    <x v="4"/>
    <s v="RC"/>
    <s v="SAMUEL"/>
    <m/>
    <s v="DIAZ"/>
    <s v="CHARRY"/>
    <s v="SAMUEL  DIAZ CHARRY"/>
    <d v="2020-09-10T00:00:00"/>
    <x v="2"/>
    <n v="3"/>
    <n v="16"/>
    <s v="2 AÑOS 3 MESES 1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9"/>
    <m/>
    <s v="KR 6 ESTE 97 D SUR 0022"/>
    <n v="3173398050"/>
    <m/>
    <x v="0"/>
    <s v="NO SE AUTORECONOCE EN NINGUNO DE LOS ANTERIORES"/>
    <x v="1"/>
    <x v="1"/>
    <m/>
    <m/>
    <s v="o. Ingresos iguales o inferiores a 1.5 Smlv"/>
    <m/>
    <s v="MADRE"/>
    <s v="CC"/>
    <n v="1022968855"/>
    <s v="LUCIRIS"/>
    <m/>
    <s v="CHARRY"/>
    <s v="MARTINEZ"/>
    <d v="1991-06-16T00:00:00"/>
    <s v="COLOMBIA"/>
    <s v="TOLIMA"/>
    <s v="CHAPARRAL"/>
    <s v="CC"/>
    <n v="1111339198"/>
    <s v="CESAR"/>
    <s v="ALEJANDRO"/>
    <s v="DIAZ"/>
    <s v="MONTENEGRO"/>
    <d v="1993-10-23T00:00:00"/>
    <n v="29"/>
    <s v="COLOMBIA"/>
    <s v="TOLIMA"/>
    <s v="CHAPARRAL"/>
    <s v="CC"/>
    <n v="1022968855"/>
    <s v="LUCIRIS"/>
    <m/>
    <s v="CHARRY"/>
    <s v="MARTINEZ"/>
    <d v="1991-06-16T00:00:00"/>
    <n v="31"/>
    <s v="COLOMBIA"/>
    <s v="TOLIMA"/>
    <s v="CHAPARRAL"/>
    <x v="0"/>
    <x v="2"/>
    <x v="0"/>
    <m/>
    <s v="SI_"/>
    <x v="1"/>
    <m/>
    <s v="SI_"/>
    <m/>
    <m/>
    <n v="38"/>
    <n v="2570"/>
    <n v="49"/>
    <m/>
    <n v="6"/>
    <n v="12"/>
    <m/>
    <x v="1"/>
    <m/>
  </r>
  <r>
    <n v="1243759568"/>
    <x v="1"/>
    <d v="2022-03-03T00:00:00"/>
    <m/>
    <m/>
    <m/>
    <m/>
    <x v="0"/>
    <x v="1"/>
    <x v="1"/>
    <s v="RC"/>
    <s v="LIA"/>
    <s v="CHARLOTTE"/>
    <s v="ALVARADO"/>
    <s v="JIMENEZ"/>
    <s v="LIA CHARLOTTE ALVARADO JIMENEZ"/>
    <d v="2021-01-22T00:00:00"/>
    <x v="3"/>
    <n v="11"/>
    <n v="4"/>
    <s v="1 AÑOS 11 MESES 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8 D ESTE 107 A SUR 19"/>
    <n v="3102930492"/>
    <n v="3134243064"/>
    <x v="0"/>
    <s v="NO SE AUTORECONOCE EN NINGUNO DE LOS ANTERIORES"/>
    <x v="0"/>
    <x v="20"/>
    <s v="NO_"/>
    <s v="NO_"/>
    <s v="a. Pertenecientes a hogares con puntaje SISBEN"/>
    <s v="NO_"/>
    <s v="MADRE"/>
    <s v="CC"/>
    <n v="1000717807"/>
    <s v="DALIA"/>
    <s v="VALENTINA"/>
    <s v="ALVARADO"/>
    <s v="JIMENEZ"/>
    <d v="2000-12-01T00:00:00"/>
    <s v="COLOMBIA"/>
    <s v="BOGOTÁ"/>
    <s v="BOGOTÁ"/>
    <m/>
    <m/>
    <m/>
    <m/>
    <m/>
    <m/>
    <m/>
    <s v=""/>
    <m/>
    <m/>
    <m/>
    <s v="CC"/>
    <n v="1000717807"/>
    <s v="DALIA"/>
    <s v="VALENTINA"/>
    <s v="ALVARADO"/>
    <s v="JIMENEZ"/>
    <d v="2000-12-01T00:00:00"/>
    <n v="22"/>
    <s v="COLOMBIA"/>
    <s v="BOGOTÁ"/>
    <s v="BOGOTÁ"/>
    <x v="0"/>
    <x v="15"/>
    <x v="0"/>
    <m/>
    <s v="SI_"/>
    <x v="2"/>
    <n v="4"/>
    <s v="NO_"/>
    <m/>
    <m/>
    <n v="38"/>
    <n v="3110"/>
    <n v="50"/>
    <m/>
    <n v="6"/>
    <m/>
    <m/>
    <x v="1"/>
    <m/>
  </r>
  <r>
    <n v="1206227830"/>
    <x v="1"/>
    <d v="2022-03-03T00:00:00"/>
    <m/>
    <m/>
    <m/>
    <s v="TRIANGULO"/>
    <x v="0"/>
    <x v="2"/>
    <x v="2"/>
    <s v="RC"/>
    <s v="VICTORIA"/>
    <s v="CATTLEYA"/>
    <s v="VIVAS"/>
    <s v="PALACIO"/>
    <s v="VICTORIA CATTLEYA VIVAS PALACIO"/>
    <d v="2022-02-01T00:00:00"/>
    <x v="1"/>
    <n v="10"/>
    <n v="25"/>
    <s v="0 AÑOS 10 MESES 2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B BIS # 94 SUR 48"/>
    <n v="3204176589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ATHINA"/>
    <s v="DEFRY"/>
    <s v="PALACIO"/>
    <s v="VIELMA"/>
    <d v="1989-06-19T00:00:00"/>
    <s v="VENEZUELA"/>
    <s v="EXTERIOR"/>
    <s v="EXTERIOR"/>
    <s v="CC"/>
    <n v="16897303"/>
    <s v="VICTOR"/>
    <s v="MANUEL"/>
    <s v="VIVAS"/>
    <s v="RUIZ"/>
    <d v="1983-11-29T00:00:00"/>
    <n v="39"/>
    <s v="COLOMBIA"/>
    <s v="VALLE_DEL_CAUCA"/>
    <s v="FLORIDA"/>
    <s v="SIN DOCUMENTO"/>
    <m/>
    <s v="ATHINA"/>
    <s v="DEFRY"/>
    <s v="PALACIO"/>
    <s v="VIELMA"/>
    <d v="1989-06-19T00:00:00"/>
    <n v="33"/>
    <s v="VENEZUELA"/>
    <s v="EXTERIOR"/>
    <s v="EXTERIOR"/>
    <x v="1"/>
    <x v="1"/>
    <x v="0"/>
    <m/>
    <s v="SI_"/>
    <x v="1"/>
    <m/>
    <s v="NO_"/>
    <m/>
    <m/>
    <n v="38"/>
    <n v="3310"/>
    <n v="50"/>
    <m/>
    <m/>
    <m/>
    <m/>
    <x v="2"/>
    <m/>
  </r>
  <r>
    <n v="1245080145"/>
    <x v="1"/>
    <d v="2022-12-01T00:00:00"/>
    <m/>
    <m/>
    <m/>
    <n v="1"/>
    <x v="0"/>
    <x v="7"/>
    <x v="7"/>
    <s v="RC"/>
    <s v="THIAGO"/>
    <s v="ALEJANDRO"/>
    <s v="ZARATE"/>
    <s v="ROA"/>
    <s v="THIAGO ALEJANDRO ZARATE ROA"/>
    <d v="2022-10-16T00:00:00"/>
    <x v="1"/>
    <n v="2"/>
    <n v="10"/>
    <s v="0 AÑOS 2 MESES 10 DIAS "/>
    <x v="1"/>
    <x v="1"/>
    <x v="0"/>
    <s v="BOGOTÁ"/>
    <s v="BOGOTÁ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40"/>
    <m/>
    <s v="CALLE81SUR#19ESTE-69"/>
    <n v="3125542218"/>
    <n v="3204568833"/>
    <x v="0"/>
    <s v="NO SE AUTORECONOCE EN NINGUNO DE LOS ANTERIORES"/>
    <x v="1"/>
    <x v="1"/>
    <s v="NO_"/>
    <s v="NO_"/>
    <s v="o. Ingresos iguales o inferiores a 1.5 Smlv"/>
    <m/>
    <s v="ABUELO(A)"/>
    <s v="CC"/>
    <n v="1032416748"/>
    <s v="MARIA"/>
    <s v="ESPERANZA"/>
    <s v="PARRA"/>
    <s v="QUINAYAS"/>
    <d v="1988-02-08T00:00:00"/>
    <s v="COLOMBIA"/>
    <s v="BOGOTÁ"/>
    <s v="BOGOTÁ"/>
    <s v="CC"/>
    <n v="1000692881"/>
    <s v="ANDERSON"/>
    <s v="ANTONIO"/>
    <s v="ZARATE"/>
    <s v="FONSECA"/>
    <d v="2002-09-19T00:00:00"/>
    <n v="20"/>
    <s v="COLOMBIA"/>
    <s v="BOGOTÁ"/>
    <s v="BOGOTÁ"/>
    <s v="TI"/>
    <n v="1023378468"/>
    <s v="SAMY"/>
    <s v="BRIGITH"/>
    <s v="ROA"/>
    <s v="PARRA"/>
    <d v="2008-01-02T00:00:00"/>
    <n v="14"/>
    <s v="COLOMBIA"/>
    <s v="BOGOTÁ"/>
    <s v="BOGOTÁ"/>
    <x v="4"/>
    <x v="16"/>
    <x v="0"/>
    <d v="2022-11-17T00:00:00"/>
    <s v="SI_"/>
    <x v="1"/>
    <m/>
    <s v="NO_"/>
    <s v="SI"/>
    <m/>
    <m/>
    <n v="2715"/>
    <n v="50"/>
    <s v="SI_"/>
    <n v="1"/>
    <m/>
    <m/>
    <x v="0"/>
    <m/>
  </r>
  <r>
    <n v="1023378468"/>
    <x v="0"/>
    <d v="2022-09-15T00:00:00"/>
    <d v="2022-12-01T00:00:00"/>
    <m/>
    <m/>
    <m/>
    <x v="0"/>
    <x v="7"/>
    <x v="7"/>
    <s v="TI"/>
    <s v="SAMY"/>
    <s v="BRIGITH"/>
    <s v="ROA"/>
    <s v="PARRA"/>
    <s v="SAMY BRIGITH ROA PARRA"/>
    <d v="2008-01-02T00:00:00"/>
    <x v="25"/>
    <n v="11"/>
    <n v="24"/>
    <s v="14 AÑOS 11 MESES 24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m/>
    <n v="3117133059"/>
    <m/>
    <x v="0"/>
    <s v="NO SE AUTORECONOCE EN NINGUNO DE LOS ANTERIORES"/>
    <x v="2"/>
    <x v="1"/>
    <s v="NO_"/>
    <s v="NO_"/>
    <s v="o. Ingresos iguales o inferiores a 1.5 Smlv"/>
    <m/>
    <s v="CONYUGE"/>
    <s v="CC"/>
    <n v="1000692881"/>
    <s v="ANDERSON"/>
    <s v="ANTONIO"/>
    <s v="ZARATE"/>
    <s v="FONSECA"/>
    <d v="2002-09-19T00:00:00"/>
    <s v="COLOMBIA"/>
    <s v="BOGOTÁ"/>
    <s v="BOGOTÁ"/>
    <m/>
    <m/>
    <m/>
    <m/>
    <m/>
    <m/>
    <m/>
    <s v=""/>
    <m/>
    <m/>
    <m/>
    <s v="TI"/>
    <n v="1023378468"/>
    <s v="SAMY"/>
    <s v="BRIGITH"/>
    <s v="ROA"/>
    <s v="PARRA"/>
    <d v="2008-01-02T00:00:00"/>
    <n v="14"/>
    <s v="COLOMBIA"/>
    <s v="BOGOTÁ"/>
    <s v="BOGOTÁ"/>
    <x v="1"/>
    <x v="1"/>
    <x v="0"/>
    <d v="2022-09-15T00:00:00"/>
    <s v="SI_"/>
    <x v="0"/>
    <m/>
    <m/>
    <m/>
    <m/>
    <m/>
    <m/>
    <m/>
    <m/>
    <m/>
    <m/>
    <n v="32"/>
    <x v="0"/>
    <m/>
  </r>
  <r>
    <n v="1023048840"/>
    <x v="0"/>
    <d v="2022-08-16T00:00:00"/>
    <d v="2022-09-15T00:00:00"/>
    <e v="#REF!"/>
    <e v="#N/A"/>
    <m/>
    <x v="0"/>
    <x v="0"/>
    <x v="0"/>
    <s v="RC"/>
    <s v="EMILY "/>
    <s v="VALERIA"/>
    <s v="MOYANO"/>
    <s v="GUERRERO"/>
    <s v="EMILY  VALERIA MOYANO GUERRERO"/>
    <d v="2022-07-27T00:00:00"/>
    <x v="1"/>
    <n v="4"/>
    <n v="29"/>
    <s v="0 AÑOS 4 MESES 29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1"/>
    <m/>
    <s v="CL 87 D SUR 6 B ESTE 14"/>
    <n v="3024177253"/>
    <n v="3143848989"/>
    <x v="0"/>
    <s v="NO SE AUTORECONOCE EN NINGUNO DE LOS ANTERIORES"/>
    <x v="0"/>
    <x v="1"/>
    <s v="NO_"/>
    <s v="NO_"/>
    <s v="o. Ingresos iguales o inferiores a 1.5 Smlv"/>
    <m/>
    <s v="MADRE"/>
    <s v="CC"/>
    <n v="1023016125"/>
    <s v="GERALDIN"/>
    <m/>
    <s v="GUERRERO"/>
    <s v="CARRILLO"/>
    <d v="1996-08-14T00:00:00"/>
    <s v="COLOMBIA"/>
    <s v="BOGOTÁ"/>
    <s v="BOGOTÁ"/>
    <s v="CC"/>
    <n v="1023020598"/>
    <s v="YEFERSON"/>
    <s v="ESMITH"/>
    <s v="MOYANO"/>
    <s v="PACHECO"/>
    <d v="1997-04-20T00:00:00"/>
    <n v="25"/>
    <s v="COLOMBIA"/>
    <s v="CUNDINAMARCA"/>
    <s v="TOCAIMA"/>
    <s v="CC"/>
    <n v="1023016126"/>
    <s v="GERALDIN"/>
    <m/>
    <s v="GUERRERO"/>
    <s v="CARRILLO"/>
    <d v="1996-08-14T00:00:00"/>
    <n v="26"/>
    <s v="COLOMBIA"/>
    <s v="BOGOTÁ"/>
    <s v="BOGOTÁ"/>
    <x v="0"/>
    <x v="0"/>
    <x v="0"/>
    <d v="2022-08-16T00:00:00"/>
    <s v="SI_"/>
    <x v="1"/>
    <m/>
    <s v="NO_"/>
    <m/>
    <m/>
    <s v="38 SEMANAS"/>
    <s v="2695 GR"/>
    <s v="48 CM"/>
    <s v="SI_"/>
    <m/>
    <m/>
    <m/>
    <x v="0"/>
    <m/>
  </r>
  <r>
    <n v="1023016125"/>
    <x v="0"/>
    <d v="2022-03-03T00:00:00"/>
    <d v="2022-08-16T00:00:00"/>
    <e v="#REF!"/>
    <e v="#N/A"/>
    <m/>
    <x v="0"/>
    <x v="0"/>
    <x v="0"/>
    <s v="CC"/>
    <s v="GERALDINE"/>
    <m/>
    <s v="GUERRERO"/>
    <s v="CARRILLO"/>
    <s v="GERALDINE  GUERRERO CARRILLO"/>
    <d v="1996-08-13T00:00:00"/>
    <x v="26"/>
    <n v="4"/>
    <n v="13"/>
    <s v="26 AÑOS 4 MESES 13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1"/>
    <m/>
    <s v="CL 87 D SUR 6 B ESTE 14"/>
    <n v="3024177253"/>
    <n v="3143848989"/>
    <x v="0"/>
    <s v="NO SE AUTORECONOCE EN NINGUNO DE LOS ANTERIORES"/>
    <x v="0"/>
    <x v="1"/>
    <s v="NO_"/>
    <s v="NO_"/>
    <s v="o. Ingresos iguales o inferiores a 1.5 Smlv"/>
    <m/>
    <s v="CONYUGE"/>
    <s v="CC"/>
    <n v="1023020597"/>
    <s v="YEFERSON"/>
    <s v="ESMITH"/>
    <s v="MOYANO"/>
    <s v="PACHECO"/>
    <d v="1997-04-19T00:00:00"/>
    <s v="COLOMBIA"/>
    <s v="CUNDINAMARCA"/>
    <s v="TOCAIMA"/>
    <s v="CC"/>
    <n v="1023020597"/>
    <s v="YEFERSON"/>
    <s v="ESMITH"/>
    <s v="MOYANO"/>
    <s v="PACHECO"/>
    <d v="1997-04-19T00:00:00"/>
    <n v="25"/>
    <s v="COLOMBIA"/>
    <s v="CUNDINAMARCA"/>
    <s v="TOCAIMA"/>
    <s v="CC"/>
    <n v="1023016125"/>
    <s v="GERALDIN"/>
    <m/>
    <s v="GUERRERO"/>
    <s v="CARRILLO"/>
    <d v="1996-08-13T00:00:00"/>
    <n v="26"/>
    <s v="COLOMBIA"/>
    <s v="BOGOTÁ"/>
    <s v="BOGOTÁ"/>
    <x v="0"/>
    <x v="0"/>
    <x v="1"/>
    <m/>
    <m/>
    <x v="0"/>
    <m/>
    <m/>
    <m/>
    <m/>
    <m/>
    <m/>
    <m/>
    <m/>
    <m/>
    <m/>
    <n v="17"/>
    <x v="0"/>
    <m/>
  </r>
  <r>
    <n v="1023049140"/>
    <x v="1"/>
    <d v="2022-11-04T00:00:00"/>
    <m/>
    <s v="LEIDY CAROLINA BONILLA HERRERA"/>
    <m/>
    <m/>
    <x v="0"/>
    <x v="0"/>
    <x v="0"/>
    <s v="CC"/>
    <s v="LUCIANA"/>
    <m/>
    <s v="SERRANO"/>
    <s v="BONILLA"/>
    <s v="LUCIANA  SERRANO BONILLA"/>
    <d v="2022-09-16T00:00:00"/>
    <x v="1"/>
    <n v="3"/>
    <n v="10"/>
    <s v="0 AÑOS 3 MESES 10 DIAS "/>
    <x v="1"/>
    <x v="0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30"/>
    <m/>
    <s v="CALLE 111 #8 A ESTE 57 SUR"/>
    <n v="3152598209"/>
    <n v="3208964425"/>
    <x v="0"/>
    <s v="NO SE AUTORECONOCE EN NINGUNO DE LOS ANTERIORES"/>
    <x v="1"/>
    <x v="1"/>
    <s v="NO_"/>
    <s v="NO_"/>
    <s v="a. Pertenecientes a hogares con puntaje SISBEN"/>
    <m/>
    <s v="MADRE"/>
    <s v="CC"/>
    <n v="1110469379"/>
    <s v="LEIDY"/>
    <s v="CAROLINA"/>
    <s v="BONILLA "/>
    <s v="HERRERA"/>
    <d v="1988-03-01T00:00:00"/>
    <s v="COLOMBIA"/>
    <s v="TOLIMA"/>
    <s v="IBAGUÉ"/>
    <s v="CC"/>
    <n v="1022983317"/>
    <s v="MIGUEL"/>
    <s v="RICARDO"/>
    <s v="SERRANO"/>
    <s v="PEDRAZA"/>
    <d v="1993-01-27T00:00:00"/>
    <n v="29"/>
    <s v="COLOMBIA"/>
    <s v="BOGOTÁ"/>
    <s v="BOGOTÁ"/>
    <s v="CC"/>
    <n v="1140469379"/>
    <s v="LEIDY "/>
    <s v="CAROLINA"/>
    <s v="BONILLA"/>
    <s v="HERRERA"/>
    <d v="1988-03-01T00:00:00"/>
    <n v="34"/>
    <s v="COLOMBIA"/>
    <s v="TOLIMA"/>
    <s v="IBAGUÉ"/>
    <x v="0"/>
    <x v="5"/>
    <x v="0"/>
    <d v="2022-10-04T00:00:00"/>
    <s v="SI_"/>
    <x v="1"/>
    <m/>
    <s v="NO_"/>
    <s v="SI"/>
    <m/>
    <n v="37"/>
    <n v="2560"/>
    <n v="45"/>
    <s v="NO_"/>
    <n v="1"/>
    <n v="2"/>
    <m/>
    <x v="0"/>
    <m/>
  </r>
  <r>
    <n v="1110469379"/>
    <x v="0"/>
    <d v="2022-06-01T00:00:00"/>
    <d v="2022-11-04T00:00:00"/>
    <m/>
    <e v="#N/A"/>
    <m/>
    <x v="0"/>
    <x v="0"/>
    <x v="0"/>
    <s v="CC"/>
    <s v="LEIDY"/>
    <s v="CAROLINA"/>
    <s v="BONILLA"/>
    <s v="HERRERA"/>
    <s v="LEIDY CAROLINA BONILLA HERRERA"/>
    <s v="01/03/1988"/>
    <x v="19"/>
    <n v="9"/>
    <n v="25"/>
    <s v="34 AÑOS 9 MESES 25 DIAS "/>
    <x v="0"/>
    <x v="0"/>
    <x v="0"/>
    <s v="TOLIMA"/>
    <s v="IBAGUÉ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CL 111 A SUR 8A ESTE 57"/>
    <n v="3152598209"/>
    <n v="3208964425"/>
    <x v="1"/>
    <s v="NO SE AUTORECONOCE EN NINGUNO DE LOS ANTERIORES"/>
    <x v="1"/>
    <x v="1"/>
    <s v="NO_"/>
    <s v="NO_"/>
    <s v="o. Ingresos iguales o inferiores a 1.5 Smlv"/>
    <s v="SI_"/>
    <s v="OTRO"/>
    <s v="CC"/>
    <n v="28429223"/>
    <s v="RUTH"/>
    <s v="LILIANA"/>
    <s v="PEDRAZA"/>
    <s v="SALAZAR"/>
    <d v="1973-12-05T00:00:00"/>
    <s v="COLOMBIA"/>
    <s v="SANTANDER"/>
    <s v="SUAITA"/>
    <s v="CC"/>
    <n v="1022983317"/>
    <s v="MIGUEL"/>
    <s v="RICARDO"/>
    <s v="SERRANO"/>
    <s v="PEDRAZA "/>
    <d v="1993-01-27T00:00:00"/>
    <n v="29"/>
    <s v="COLOMBIA"/>
    <s v="SANTANDER"/>
    <s v="BUCARAMANGA"/>
    <m/>
    <m/>
    <m/>
    <m/>
    <m/>
    <m/>
    <m/>
    <s v=""/>
    <m/>
    <m/>
    <m/>
    <x v="0"/>
    <x v="5"/>
    <x v="2"/>
    <s v="SI_"/>
    <m/>
    <x v="2"/>
    <m/>
    <m/>
    <m/>
    <m/>
    <m/>
    <m/>
    <m/>
    <m/>
    <m/>
    <m/>
    <n v="21"/>
    <x v="0"/>
    <m/>
  </r>
  <r>
    <n v="1032465903"/>
    <x v="0"/>
    <d v="2022-03-03T00:00:00"/>
    <d v="2022-06-01T00:00:00"/>
    <e v="#REF!"/>
    <e v="#N/A"/>
    <m/>
    <x v="0"/>
    <x v="0"/>
    <x v="0"/>
    <s v="CC"/>
    <s v="WENDY"/>
    <s v="GINETH"/>
    <s v="PEÑA"/>
    <s v="ARIAS"/>
    <s v="WENDY GINETH PEÑA ARIAS"/>
    <d v="1994-08-02T00:00:00"/>
    <x v="12"/>
    <n v="4"/>
    <n v="24"/>
    <s v="28 AÑOS 4 MESES 24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KR 7 C ESTE # 97 D SUR 03"/>
    <n v="3214642100"/>
    <m/>
    <x v="0"/>
    <s v="NO SE AUTORECONOCE EN NINGUNO DE LOS ANTERIORES"/>
    <x v="1"/>
    <x v="1"/>
    <s v="NO_"/>
    <s v="NO_"/>
    <s v="o. Ingresos iguales o inferiores a 1.5 Smlv"/>
    <m/>
    <s v="MADRE"/>
    <s v="CC"/>
    <n v="65587341"/>
    <s v="MARIA"/>
    <s v="EUGENIA"/>
    <s v="ARIAS"/>
    <s v="BRIÑEZ"/>
    <d v="1970-12-25T00:00:00"/>
    <s v="COLOMBIA"/>
    <s v="TOLIMA"/>
    <s v="SALDAÑA"/>
    <m/>
    <m/>
    <m/>
    <m/>
    <m/>
    <m/>
    <m/>
    <s v=""/>
    <m/>
    <m/>
    <m/>
    <s v="CC"/>
    <n v="1032465903"/>
    <s v="WENDY"/>
    <s v="GINETH"/>
    <s v="PEÑA"/>
    <s v="ARIAS"/>
    <d v="1994-08-02T00:00:00"/>
    <n v="28"/>
    <s v="COLOMBIA"/>
    <s v="BOGOTÁ"/>
    <s v="BOGOTÁ"/>
    <x v="0"/>
    <x v="6"/>
    <x v="0"/>
    <m/>
    <s v="SI_"/>
    <x v="0"/>
    <m/>
    <m/>
    <m/>
    <m/>
    <m/>
    <m/>
    <m/>
    <m/>
    <m/>
    <m/>
    <n v="24"/>
    <x v="0"/>
    <m/>
  </r>
  <r>
    <n v="1243861239"/>
    <x v="1"/>
    <d v="2022-10-18T00:00:00"/>
    <m/>
    <s v="CAMBIO DE ESTADO"/>
    <m/>
    <m/>
    <x v="0"/>
    <x v="0"/>
    <x v="0"/>
    <s v="RC"/>
    <s v="MILTON"/>
    <s v="DANIEL"/>
    <s v="RODRIGUEZ"/>
    <s v="GARCIA"/>
    <s v="MILTON DANIEL RODRIGUEZ GARCIA"/>
    <d v="2022-08-23T00:00:00"/>
    <x v="1"/>
    <n v="4"/>
    <n v="3"/>
    <s v="0 AÑOS 4 MESES 3 DIAS "/>
    <x v="1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42"/>
    <m/>
    <s v="DG 69 D SUR 14 U 25"/>
    <n v="3138104287"/>
    <m/>
    <x v="1"/>
    <s v="NO SE AUTORECONOCE EN NINGUNO DE LOS ANTERIORES"/>
    <x v="0"/>
    <x v="8"/>
    <s v="NO_"/>
    <s v="NO_"/>
    <s v="a. Pertenecientes a hogares con puntaje SISBEN"/>
    <s v="NO_"/>
    <m/>
    <m/>
    <m/>
    <m/>
    <m/>
    <m/>
    <m/>
    <m/>
    <m/>
    <m/>
    <m/>
    <s v="CC"/>
    <n v="192477"/>
    <s v="ISIDRO"/>
    <m/>
    <s v="RODRIGUEZ"/>
    <s v="TORRES"/>
    <d v="1981-02-19T00:00:00"/>
    <n v="41"/>
    <s v="COLOMBIA"/>
    <s v="CUNDINAMARCA"/>
    <s v="BITUIMA"/>
    <s v="CC"/>
    <n v="1022997967"/>
    <s v="LADY"/>
    <s v="TATIANA"/>
    <s v="GARCIA"/>
    <s v="SANCHEZ"/>
    <d v="1994-07-09T00:00:00"/>
    <n v="28"/>
    <s v="COLOMBIA"/>
    <s v="BOGOTÁ"/>
    <s v="BOGOTÁ"/>
    <x v="1"/>
    <x v="1"/>
    <x v="0"/>
    <d v="2022-10-14T00:00:00"/>
    <s v="SI_"/>
    <x v="2"/>
    <n v="1"/>
    <s v="NO_"/>
    <m/>
    <m/>
    <m/>
    <n v="3155"/>
    <n v="53"/>
    <m/>
    <s v="EXCLUSIVA"/>
    <m/>
    <n v="40"/>
    <x v="0"/>
    <m/>
  </r>
  <r>
    <n v="1022997967"/>
    <x v="0"/>
    <d v="2022-03-03T00:00:00"/>
    <d v="2022-10-18T00:00:00"/>
    <m/>
    <e v="#N/A"/>
    <s v="SAN JUAN A"/>
    <x v="0"/>
    <x v="0"/>
    <x v="0"/>
    <s v="CC"/>
    <s v="LADY"/>
    <s v="TATIANA"/>
    <s v="GARCIA"/>
    <s v="SANCHEZ"/>
    <s v="LADY TATIANA GARCIA SANCHEZ"/>
    <d v="1994-07-09T00:00:00"/>
    <x v="12"/>
    <n v="5"/>
    <n v="17"/>
    <s v="28 AÑOS 5 MESES 17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2"/>
    <m/>
    <s v="DG 69 D SUR 14 U 25"/>
    <n v="3138104287"/>
    <m/>
    <x v="1"/>
    <s v="NO SE AUTORECONOCE EN NINGUNO DE LOS ANTERIORES"/>
    <x v="0"/>
    <x v="8"/>
    <s v="NO_"/>
    <s v="NO_"/>
    <s v="a. Pertenecientes a hogares con puntaje SISBEN"/>
    <s v="NO_"/>
    <s v="CONYUGE"/>
    <s v="CC"/>
    <n v="192477"/>
    <s v="ISIDRO"/>
    <m/>
    <s v="RODRIGUEZ"/>
    <s v="TORRES"/>
    <d v="1981-02-19T00:00:00"/>
    <s v="COLOMBIA"/>
    <s v="CUNDINAMARCA"/>
    <s v="BITUIMA"/>
    <m/>
    <m/>
    <m/>
    <m/>
    <m/>
    <m/>
    <m/>
    <s v=""/>
    <m/>
    <m/>
    <m/>
    <s v="CC"/>
    <n v="1022997967"/>
    <s v="LADY"/>
    <s v="TATIANA"/>
    <s v="GARCIA"/>
    <s v="SANCHEZ"/>
    <d v="1994-07-09T00:00:00"/>
    <n v="28"/>
    <s v="COLOMBIA"/>
    <s v="BOGOTÁ"/>
    <s v="BOGOTÁ"/>
    <x v="1"/>
    <x v="1"/>
    <x v="0"/>
    <m/>
    <s v="SI_"/>
    <x v="0"/>
    <m/>
    <m/>
    <m/>
    <m/>
    <m/>
    <m/>
    <m/>
    <m/>
    <m/>
    <m/>
    <n v="8"/>
    <x v="0"/>
    <m/>
  </r>
  <r>
    <n v="1023990542"/>
    <x v="1"/>
    <d v="2022-09-20T00:00:00"/>
    <m/>
    <m/>
    <m/>
    <m/>
    <x v="0"/>
    <x v="3"/>
    <x v="3"/>
    <s v="RC"/>
    <s v="MADELIN"/>
    <m/>
    <s v="PALACIOS"/>
    <s v="ZUÑIGA"/>
    <s v="MADELIN  PALACIOS ZUÑIGA"/>
    <d v="2022-03-12T00:00:00"/>
    <x v="1"/>
    <n v="9"/>
    <n v="14"/>
    <s v="0 AÑOS 9 MESES 14 DIAS "/>
    <x v="2"/>
    <x v="0"/>
    <x v="0"/>
    <s v="BOGOTÁ"/>
    <s v="BOGOTÁ"/>
    <x v="0"/>
    <s v="NO_"/>
    <s v="NO SE AUTORECONOCE EN NINGUNO DE LOS ANTERIORES"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n v="3108802053"/>
    <n v="3137414155"/>
    <x v="0"/>
    <s v="NO SE AUTORECONOCE EN NINGUNO DE LOS ANTERIORES"/>
    <x v="1"/>
    <x v="1"/>
    <s v="NO_"/>
    <s v="NO_"/>
    <m/>
    <m/>
    <s v="MADRE"/>
    <s v="CC"/>
    <n v="1075024426"/>
    <s v="ALEYDA "/>
    <m/>
    <s v="PALACIOS"/>
    <s v="ZUÑIGA"/>
    <d v="1999-11-26T00:00:00"/>
    <s v="COLOMBIA"/>
    <s v="CHOCÓ"/>
    <s v="ALTO BAUDÓ"/>
    <m/>
    <m/>
    <m/>
    <m/>
    <m/>
    <m/>
    <m/>
    <s v=""/>
    <m/>
    <m/>
    <m/>
    <s v="CC"/>
    <n v="1075024426"/>
    <s v="ALEYDA "/>
    <m/>
    <s v="PALACIOS"/>
    <s v="ZUÑIGA"/>
    <d v="1999-11-26T00:00:00"/>
    <n v="23"/>
    <s v="COLOMBIA"/>
    <s v="CHOCÓ"/>
    <s v="ALTO BAUDÓ"/>
    <x v="1"/>
    <x v="1"/>
    <x v="0"/>
    <d v="2022-09-21T00:00:00"/>
    <s v="SI_"/>
    <x v="1"/>
    <m/>
    <s v="NO_"/>
    <m/>
    <m/>
    <n v="40"/>
    <n v="3080"/>
    <n v="50"/>
    <m/>
    <n v="6"/>
    <m/>
    <m/>
    <x v="2"/>
    <m/>
  </r>
  <r>
    <n v="1023047898"/>
    <x v="0"/>
    <d v="2022-03-03T00:00:00"/>
    <d v="2022-09-20T00:00:00"/>
    <e v="#REF!"/>
    <e v="#N/A"/>
    <m/>
    <x v="0"/>
    <x v="2"/>
    <x v="2"/>
    <s v="RC"/>
    <s v="MIA"/>
    <s v="CATALINA"/>
    <s v="SANDOVAL"/>
    <s v="PIMIENTEL"/>
    <s v="MIA CATALINA SANDOVAL PIMIENTEL"/>
    <d v="2022-01-31T00:00:00"/>
    <x v="1"/>
    <n v="10"/>
    <n v="25"/>
    <s v="0 AÑOS 10 MESES 2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L97B SUR # 3 ESTE 17 MZ 292 LT 018"/>
    <n v="3208824981"/>
    <m/>
    <x v="0"/>
    <s v="NO SE AUTORECONOCE EN NINGUNO DE LOS ANTERIORES"/>
    <x v="0"/>
    <x v="16"/>
    <s v="NO_"/>
    <s v="NO_"/>
    <s v="a. Pertenecientes a hogares con puntaje SISBEN"/>
    <s v="NO_"/>
    <s v="MADRE"/>
    <s v="CC"/>
    <n v="1023013167"/>
    <s v="ANGIE"/>
    <s v="LORENA"/>
    <s v="SANDOVAL"/>
    <s v="PIMENTEL"/>
    <d v="1996-05-28T00:00:00"/>
    <s v="COLOMBIA"/>
    <s v="BOGOTÁ"/>
    <s v="BOGOTÁ"/>
    <m/>
    <m/>
    <m/>
    <m/>
    <m/>
    <m/>
    <m/>
    <s v=""/>
    <m/>
    <m/>
    <m/>
    <s v="CC"/>
    <n v="1023013167"/>
    <s v="ANGIE"/>
    <s v="LORENA"/>
    <s v="SANDOVAL"/>
    <s v="PIMENTEL"/>
    <d v="1996-05-28T00:00:00"/>
    <n v="26"/>
    <s v="COLOMBIA"/>
    <s v="BOGOTÁ"/>
    <s v="BOGOTÁ"/>
    <x v="1"/>
    <x v="2"/>
    <x v="0"/>
    <m/>
    <s v="SI_"/>
    <x v="1"/>
    <s v="NO"/>
    <s v="NO_"/>
    <m/>
    <m/>
    <n v="39"/>
    <n v="2798"/>
    <n v="29"/>
    <s v="SI_"/>
    <m/>
    <m/>
    <m/>
    <x v="2"/>
    <m/>
  </r>
  <r>
    <n v="1245078200"/>
    <x v="0"/>
    <d v="2022-03-03T00:00:00"/>
    <d v="2022-05-02T00:00:00"/>
    <e v="#REF!"/>
    <e v="#N/A"/>
    <m/>
    <x v="0"/>
    <x v="4"/>
    <x v="4"/>
    <s v="RC"/>
    <s v="THIAGO"/>
    <s v="CAMILO"/>
    <s v="REYES"/>
    <s v="MARTINEZ"/>
    <s v="THIAGO CAMILO REYES MARTINEZ"/>
    <d v="2020-10-31T00:00:00"/>
    <x v="2"/>
    <n v="1"/>
    <n v="25"/>
    <s v="2 AÑOS 1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3"/>
    <m/>
    <s v="CL 64 SUR # 5 ESTE 23"/>
    <n v="3505259850"/>
    <m/>
    <x v="0"/>
    <s v="NO SE AUTORECONOCE EN NINGUNO DE LOS ANTERIORES"/>
    <x v="0"/>
    <x v="20"/>
    <s v="NO_"/>
    <s v="NO_"/>
    <s v="a. Pertenecientes a hogares con puntaje SISBEN"/>
    <s v="NO_"/>
    <s v="MADRE"/>
    <s v="CC"/>
    <n v="1033736917"/>
    <s v="MARTHA "/>
    <s v="PALOMA"/>
    <s v="MARTINEZ"/>
    <s v="NARANJO"/>
    <d v="1991-07-15T00:00:00"/>
    <s v="COLOMBIA"/>
    <s v="BOGOTÁ"/>
    <s v="BOGOTÁ"/>
    <m/>
    <m/>
    <m/>
    <m/>
    <m/>
    <m/>
    <m/>
    <s v=""/>
    <m/>
    <m/>
    <m/>
    <s v="CC"/>
    <n v="1033736917"/>
    <s v="MARTHA "/>
    <s v="PALOMA"/>
    <s v="MARTINEZ"/>
    <s v="NARANJO"/>
    <d v="1991-07-15T00:00:00"/>
    <n v="31"/>
    <s v="COLOMBIA"/>
    <s v="BOGOTÁ"/>
    <s v="BOGOTÁ"/>
    <x v="1"/>
    <x v="1"/>
    <x v="0"/>
    <m/>
    <s v="SI_"/>
    <x v="2"/>
    <n v="1"/>
    <s v="NO_"/>
    <m/>
    <m/>
    <n v="39"/>
    <n v="2415"/>
    <n v="50"/>
    <m/>
    <n v="6"/>
    <n v="12"/>
    <m/>
    <x v="1"/>
    <m/>
  </r>
  <r>
    <n v="1243860608"/>
    <x v="1"/>
    <d v="2022-03-03T00:00:00"/>
    <m/>
    <m/>
    <m/>
    <s v="TRIANGULO"/>
    <x v="0"/>
    <x v="3"/>
    <x v="3"/>
    <s v="RC"/>
    <s v="ANYI "/>
    <s v="MELISA"/>
    <s v="PORRAS"/>
    <s v="CHARRIS"/>
    <s v="ANYI  MELISA PORRAS CHARRIS"/>
    <d v="2021-08-16T00:00:00"/>
    <x v="3"/>
    <n v="4"/>
    <n v="10"/>
    <s v="1 AÑOS 4 MESES 1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8"/>
    <m/>
    <s v="CL 98 C SUR # 0 - 60 ESTE"/>
    <n v="3115808217"/>
    <m/>
    <x v="0"/>
    <s v="NO SE AUTORECONOCE EN NINGUNO DE LOS ANTERIORES"/>
    <x v="0"/>
    <x v="6"/>
    <s v="NO_"/>
    <s v="NO_"/>
    <s v="a. Pertenecientes a hogares con puntaje SISBEN"/>
    <s v="NO_"/>
    <s v="MADRE"/>
    <s v="CC"/>
    <n v="1193538780"/>
    <s v="DIANA"/>
    <s v="PAOLA"/>
    <s v="CHARRIS"/>
    <s v="BERNAL"/>
    <d v="1992-02-12T00:00:00"/>
    <s v="COLOMBIA"/>
    <s v="MAGDALENA"/>
    <s v="ARACATACA"/>
    <s v="CC"/>
    <n v="12630746"/>
    <s v="MIGUEL"/>
    <s v="ALFONSO"/>
    <s v="PORRAS"/>
    <s v="NIEBLES"/>
    <d v="1975-10-13T00:00:00"/>
    <n v="47"/>
    <s v="COLOMBIA"/>
    <s v="MAGDALENA"/>
    <s v="CIÉNAGA"/>
    <s v="CC"/>
    <n v="1193538780"/>
    <s v="DIANA"/>
    <s v="PAOLA"/>
    <s v="CHARRIS"/>
    <s v="BERNAL"/>
    <d v="1992-02-12T00:00:00"/>
    <n v="30"/>
    <s v="COLOMBIA"/>
    <s v="MAGDALENA"/>
    <s v="ARACATACA"/>
    <x v="1"/>
    <x v="1"/>
    <x v="0"/>
    <m/>
    <s v="SI_"/>
    <x v="2"/>
    <n v="1"/>
    <s v="SI_"/>
    <m/>
    <m/>
    <n v="39"/>
    <n v="3585"/>
    <n v="50"/>
    <m/>
    <m/>
    <m/>
    <m/>
    <x v="1"/>
    <m/>
  </r>
  <r>
    <n v="1243859906"/>
    <x v="0"/>
    <d v="2022-03-03T00:00:00"/>
    <d v="2022-06-01T00:00:00"/>
    <e v="#REF!"/>
    <e v="#N/A"/>
    <m/>
    <x v="0"/>
    <x v="4"/>
    <x v="4"/>
    <s v="RC"/>
    <s v="DEIVIS"/>
    <s v="MATHIAS"/>
    <s v="COLEY"/>
    <s v="BRITO"/>
    <s v="DEIVIS MATHIAS COLEY BRITO"/>
    <d v="2020-10-11T00:00:00"/>
    <x v="2"/>
    <n v="2"/>
    <n v="15"/>
    <s v="2 AÑOS 2 MESES 1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4"/>
    <m/>
    <s v="KR 5 D BIS ESTE 94 SUR 0016"/>
    <n v="3123400393"/>
    <m/>
    <x v="0"/>
    <s v="NO SE AUTORECONOCE EN NINGUNO DE LOS ANTERIORES"/>
    <x v="0"/>
    <x v="2"/>
    <s v="NO_"/>
    <s v="NO_"/>
    <s v="a. Pertenecientes a hogares con puntaje SISBEN"/>
    <s v="NO_"/>
    <s v="MADRE"/>
    <s v="SIN DOCUMENTO"/>
    <m/>
    <s v="BERUSKA"/>
    <s v="CAROLINA"/>
    <s v="BRITO"/>
    <s v="GONZALEZ"/>
    <d v="2001-05-24T00:00:00"/>
    <s v="VENEZUELA"/>
    <s v="EXTERIOR"/>
    <s v="EXTERIOR"/>
    <s v="CC"/>
    <n v="1002488842"/>
    <s v="YEINER"/>
    <s v="JOSE"/>
    <s v="COLEY"/>
    <s v="CARMONA"/>
    <d v="1995-01-31T00:00:00"/>
    <n v="27"/>
    <s v="COLOMBIA"/>
    <s v="BOLÍVAR"/>
    <s v="MAGANGUÉ"/>
    <s v="SIN DOCUMENTO"/>
    <m/>
    <s v="BERUSKA"/>
    <s v="CAROLINA"/>
    <s v="BRITO"/>
    <s v="GONZALEZ"/>
    <d v="2001-05-24T00:00:00"/>
    <n v="21"/>
    <s v="VENEZUELA"/>
    <s v="EXTERIOR"/>
    <s v="EXTERIOR"/>
    <x v="1"/>
    <x v="1"/>
    <x v="0"/>
    <m/>
    <s v="NO_"/>
    <x v="0"/>
    <m/>
    <s v="SI_"/>
    <m/>
    <m/>
    <n v="39"/>
    <n v="3160"/>
    <n v="54"/>
    <m/>
    <n v="6"/>
    <n v="12"/>
    <m/>
    <x v="1"/>
    <m/>
  </r>
  <r>
    <n v="1049663473"/>
    <x v="1"/>
    <d v="2022-07-26T00:00:00"/>
    <m/>
    <m/>
    <m/>
    <m/>
    <x v="0"/>
    <x v="4"/>
    <x v="4"/>
    <s v="RC"/>
    <s v="EDUAR"/>
    <s v="JULIAN"/>
    <s v="CASASBUENAS"/>
    <s v="AREVALO"/>
    <s v="EDUAR JULIAN CASASBUENAS AREVALO"/>
    <d v="2021-06-19T00:00:00"/>
    <x v="3"/>
    <n v="6"/>
    <n v="7"/>
    <s v="1 AÑOS 6 MESES 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INVACION"/>
    <n v="3232147738"/>
    <m/>
    <x v="0"/>
    <s v="NO SE AUTORECONOCE EN NINGUNO DE LOS ANTERIORES"/>
    <x v="0"/>
    <x v="10"/>
    <s v="NO_"/>
    <s v="NO_"/>
    <s v="a. Pertenecientes a hogares con puntaje SISBEN"/>
    <m/>
    <s v="MADRE"/>
    <s v="CC"/>
    <n v="1000936860"/>
    <s v="LAURA"/>
    <s v="VANESSA"/>
    <s v="AREVALO"/>
    <s v="RODRIGUEZ"/>
    <d v="2002-06-07T00:00:00"/>
    <s v="COLOMBIA"/>
    <s v="BOGOTÁ"/>
    <s v="BOGOTÁ"/>
    <m/>
    <m/>
    <m/>
    <m/>
    <m/>
    <m/>
    <m/>
    <s v=""/>
    <m/>
    <m/>
    <m/>
    <s v="CC"/>
    <n v="1000936860"/>
    <s v="LAURA"/>
    <s v="VANESSA"/>
    <s v="AREVALO"/>
    <s v="RODRIGUEZ"/>
    <d v="2002-06-07T00:00:00"/>
    <n v="20"/>
    <s v="COLOMBIA"/>
    <s v="BOGOTÁ"/>
    <s v="BOGOTÁ"/>
    <x v="1"/>
    <x v="2"/>
    <x v="0"/>
    <d v="2022-07-25T00:00:00"/>
    <s v="SI_"/>
    <x v="2"/>
    <n v="1"/>
    <s v="NO_"/>
    <s v="NO"/>
    <m/>
    <m/>
    <m/>
    <m/>
    <s v="NO_"/>
    <n v="6"/>
    <n v="12"/>
    <m/>
    <x v="1"/>
    <m/>
  </r>
  <r>
    <n v="1028675334"/>
    <x v="0"/>
    <d v="2022-03-03T00:00:00"/>
    <d v="2022-07-25T00:00:00"/>
    <e v="#REF!"/>
    <e v="#N/A"/>
    <m/>
    <x v="0"/>
    <x v="4"/>
    <x v="4"/>
    <s v="RC"/>
    <s v="ANDREY"/>
    <s v="SMITH"/>
    <s v="AVILA"/>
    <s v="GOMEZ"/>
    <s v="ANDREY SMITH AVILA GOMEZ"/>
    <d v="2021-01-12T00:00:00"/>
    <x v="3"/>
    <n v="11"/>
    <n v="14"/>
    <s v="1 AÑOS 11 MESES 1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5"/>
    <m/>
    <s v="KR 7 ESTE 89 SUR 48"/>
    <n v="3222353548"/>
    <m/>
    <x v="0"/>
    <s v="NO SE AUTORECONOCE EN NINGUNO DE LOS ANTERIORES"/>
    <x v="0"/>
    <x v="3"/>
    <s v="NO_"/>
    <s v="NO_"/>
    <s v="a. Pertenecientes a hogares con puntaje SISBEN"/>
    <s v="NO_"/>
    <s v="MADRE"/>
    <s v="CC"/>
    <n v="1001169267"/>
    <s v="ANAMARIA"/>
    <s v="KATHERYN"/>
    <s v="GOMEZ"/>
    <s v="LAVERDE"/>
    <d v="1999-10-26T00:00:00"/>
    <s v="COLOMBIA"/>
    <s v="BOGOTÁ"/>
    <s v="BOGOTÁ"/>
    <m/>
    <m/>
    <m/>
    <m/>
    <m/>
    <m/>
    <m/>
    <s v=""/>
    <m/>
    <m/>
    <m/>
    <s v="CC"/>
    <n v="1001169267"/>
    <s v="ANAMARIA"/>
    <s v="KATHERYN"/>
    <s v="GOMEZ"/>
    <s v="LAVERDE"/>
    <d v="1999-10-26T00:00:00"/>
    <n v="23"/>
    <s v="COLOMBIA"/>
    <s v="BOGOTÁ"/>
    <s v="BOGOTÁ"/>
    <x v="1"/>
    <x v="1"/>
    <x v="0"/>
    <m/>
    <s v="SI_"/>
    <x v="1"/>
    <m/>
    <s v="NO_"/>
    <m/>
    <m/>
    <n v="39"/>
    <n v="3005"/>
    <n v="51"/>
    <m/>
    <n v="6"/>
    <n v="12"/>
    <m/>
    <x v="1"/>
    <m/>
  </r>
  <r>
    <n v="1016751262"/>
    <x v="0"/>
    <d v="2022-08-12T00:00:00"/>
    <d v="2022-09-01T00:00:00"/>
    <e v="#REF!"/>
    <e v="#N/A"/>
    <s v="canta rana"/>
    <x v="0"/>
    <x v="4"/>
    <x v="4"/>
    <s v="RC"/>
    <s v="TOMAS"/>
    <s v="SANTIAGO "/>
    <s v="PERILLA "/>
    <s v="FARFAN "/>
    <s v="TOMAS SANTIAGO  PERILLA  FARFAN "/>
    <d v="2021-01-10T00:00:00"/>
    <x v="3"/>
    <n v="11"/>
    <n v="16"/>
    <s v="1 AÑOS 11 MESES 1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CALLE 130 BIS SUR#14-70"/>
    <n v="3222408005"/>
    <m/>
    <x v="0"/>
    <s v="NO SE AUTORECONOCE EN NINGUNO DE LOS ANTERIORES"/>
    <x v="2"/>
    <x v="1"/>
    <s v="NO_"/>
    <s v="NO_"/>
    <m/>
    <s v="NO_"/>
    <s v="MADRE"/>
    <s v="CC"/>
    <n v="1032435365"/>
    <s v="ANGIE"/>
    <s v="LILIANA"/>
    <s v="FARFAN"/>
    <s v="MARTINEZ"/>
    <d v="1990-01-08T00:00:00"/>
    <s v="COLOMBIA"/>
    <s v="BOGOTÁ"/>
    <s v="BOGOTÁ"/>
    <s v="CC"/>
    <n v="79962683"/>
    <s v="EDWIN"/>
    <m/>
    <s v="PERILLA "/>
    <s v="PEDRAZA"/>
    <d v="1977-08-12T00:00:00"/>
    <n v="45"/>
    <s v="COLOMBIA"/>
    <s v="BOGOTÁ"/>
    <s v="BOGOTÁ"/>
    <s v="CC"/>
    <n v="1032435365"/>
    <s v="ANGIE"/>
    <s v="LILIANA"/>
    <s v="FARFAN"/>
    <s v="MARTINEZ"/>
    <d v="1990-01-08T00:00:00"/>
    <n v="32"/>
    <s v="COLOMBIA"/>
    <s v="BOGOTÁ"/>
    <s v="BOGOTÁ"/>
    <x v="0"/>
    <x v="6"/>
    <x v="0"/>
    <d v="2022-08-12T00:00:00"/>
    <s v="SI_"/>
    <x v="2"/>
    <n v="8"/>
    <s v="NO_"/>
    <s v="NO"/>
    <m/>
    <n v="39"/>
    <n v="2795"/>
    <n v="48"/>
    <s v="NO_"/>
    <n v="6"/>
    <n v="12"/>
    <m/>
    <x v="1"/>
    <m/>
  </r>
  <r>
    <n v="1018519928"/>
    <x v="0"/>
    <d v="2022-03-11T00:00:00"/>
    <d v="2022-08-12T00:00:00"/>
    <e v="#REF!"/>
    <e v="#N/A"/>
    <m/>
    <x v="0"/>
    <x v="4"/>
    <x v="4"/>
    <s v="RC"/>
    <s v="GABRIEL"/>
    <s v="JOSUE"/>
    <s v="SOTO"/>
    <s v="ROMAN"/>
    <s v="GABRIEL JOSUE SOTO ROMAN"/>
    <d v="2021-04-07T00:00:00"/>
    <x v="3"/>
    <n v="8"/>
    <n v="19"/>
    <s v="1 AÑOS 8 MESES 1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 Calle 107 sur #6 G este 19"/>
    <n v="3243164925"/>
    <m/>
    <x v="0"/>
    <s v="NO SE AUTORECONOCE EN NINGUNO DE LOS ANTERIORES"/>
    <x v="2"/>
    <x v="1"/>
    <s v="NO_"/>
    <s v="NO_"/>
    <m/>
    <s v="NO_"/>
    <s v="MADRE"/>
    <s v="SIN DOCUMENTO"/>
    <m/>
    <s v="THAILOBYS"/>
    <s v="JOSEFINA"/>
    <s v="SOTO"/>
    <s v="ROMAN"/>
    <m/>
    <s v="VENEZUELA"/>
    <s v="EXTERIOR"/>
    <s v="EXTERIOR"/>
    <m/>
    <m/>
    <m/>
    <m/>
    <m/>
    <m/>
    <m/>
    <s v=""/>
    <m/>
    <m/>
    <m/>
    <s v="SIN DOCUMENTO"/>
    <m/>
    <s v="THAILOBYS"/>
    <s v="JOSEFINA"/>
    <s v="SOTO"/>
    <s v="ROMAN"/>
    <m/>
    <s v=""/>
    <s v="VENEZUELA"/>
    <s v="EXTERIOR"/>
    <s v="EXTERIOR"/>
    <x v="1"/>
    <x v="1"/>
    <x v="2"/>
    <m/>
    <m/>
    <x v="0"/>
    <m/>
    <m/>
    <m/>
    <m/>
    <m/>
    <m/>
    <m/>
    <m/>
    <m/>
    <m/>
    <m/>
    <x v="1"/>
    <m/>
  </r>
  <r>
    <n v="1026309444"/>
    <x v="1"/>
    <d v="2022-03-11T00:00:00"/>
    <m/>
    <m/>
    <m/>
    <s v="TRIANGULO"/>
    <x v="0"/>
    <x v="4"/>
    <x v="4"/>
    <s v="RC"/>
    <s v="SCARLETT"/>
    <m/>
    <s v="QUIROGA"/>
    <s v="GONZALEZ"/>
    <s v="SCARLETT  QUIROGA GONZALEZ"/>
    <d v="2020-12-23T00:00:00"/>
    <x v="2"/>
    <n v="0"/>
    <n v="3"/>
    <s v="2 AÑOS 0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8"/>
    <m/>
    <s v="CALLE97DSUR#7A-ESTE21"/>
    <n v="3202039164"/>
    <m/>
    <x v="0"/>
    <s v="NO SE AUTORECONOCE EN NINGUNO DE LOS ANTERIORES"/>
    <x v="0"/>
    <x v="11"/>
    <s v="NO_"/>
    <s v="NO_"/>
    <s v="a. Pertenecientes a hogares con puntaje SISBEN"/>
    <s v="NO_"/>
    <s v="MADRE"/>
    <s v="CC"/>
    <n v="1096484380"/>
    <s v="ERIKA"/>
    <m/>
    <s v="GONZALEZ"/>
    <s v="BENAVIDES"/>
    <d v="1994-09-07T00:00:00"/>
    <s v="COLOMBIA"/>
    <s v="SANTANDER"/>
    <s v="VÉLEZ"/>
    <s v="CC"/>
    <n v="1022998114"/>
    <s v="ALDAIR"/>
    <s v="ANDRES"/>
    <s v="QUIROGA"/>
    <s v="QUIROGA"/>
    <d v="1994-08-21T00:00:00"/>
    <n v="28"/>
    <s v="COLOMBIA"/>
    <s v="SANTANDER"/>
    <s v="VÉLEZ"/>
    <s v="CC"/>
    <n v="1096484380"/>
    <s v="ERIKA"/>
    <m/>
    <s v="GONZALEZ"/>
    <s v="BENAVIDES"/>
    <d v="1994-09-07T00:00:00"/>
    <n v="28"/>
    <s v="COLOMBIA"/>
    <s v="SANTANDER"/>
    <s v="VÉLEZ"/>
    <x v="0"/>
    <x v="2"/>
    <x v="0"/>
    <m/>
    <s v="SI_"/>
    <x v="2"/>
    <m/>
    <s v="SI_"/>
    <m/>
    <m/>
    <n v="34"/>
    <n v="2130"/>
    <n v="49"/>
    <m/>
    <n v="6"/>
    <n v="12"/>
    <m/>
    <x v="1"/>
    <m/>
  </r>
  <r>
    <n v="1026309443"/>
    <x v="1"/>
    <d v="2022-03-11T00:00:00"/>
    <m/>
    <m/>
    <m/>
    <s v="TRIANGULO"/>
    <x v="0"/>
    <x v="4"/>
    <x v="4"/>
    <s v="RC"/>
    <s v="MACKENZIE"/>
    <m/>
    <s v="QUIROGA"/>
    <s v="GONZALEZ"/>
    <s v="MACKENZIE  QUIROGA GONZALEZ"/>
    <d v="2020-12-23T00:00:00"/>
    <x v="2"/>
    <n v="0"/>
    <n v="3"/>
    <s v="2 AÑOS 0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8"/>
    <m/>
    <s v="CALLE97DSUR#7A-ESTE21"/>
    <n v="3202039164"/>
    <m/>
    <x v="0"/>
    <s v="NO SE AUTORECONOCE EN NINGUNO DE LOS ANTERIORES"/>
    <x v="0"/>
    <x v="11"/>
    <s v="NO_"/>
    <s v="NO_"/>
    <s v="a. Pertenecientes a hogares con puntaje SISBEN"/>
    <s v="NO_"/>
    <s v="MADRE"/>
    <s v="CC"/>
    <n v="1096484380"/>
    <s v="ERIKA"/>
    <m/>
    <s v="GONZALEZ"/>
    <s v="BENAVIDES"/>
    <d v="1994-09-07T00:00:00"/>
    <s v="COLOMBIA"/>
    <s v="SANTANDER"/>
    <s v="VÉLEZ"/>
    <s v="CC"/>
    <n v="1022998114"/>
    <s v="ALDAIR"/>
    <s v="ANDRES"/>
    <s v="QUIROGA"/>
    <s v="QUIROGA"/>
    <d v="1994-08-21T00:00:00"/>
    <n v="28"/>
    <s v="COLOMBIA"/>
    <s v="SANTANDER"/>
    <s v="VÉLEZ"/>
    <s v="CC"/>
    <n v="1096484380"/>
    <s v="ERIKA"/>
    <m/>
    <s v="GONZALEZ"/>
    <s v="BENAVIDES"/>
    <d v="1994-09-07T00:00:00"/>
    <n v="28"/>
    <s v="COLOMBIA"/>
    <s v="SANTANDER"/>
    <s v="VÉLEZ"/>
    <x v="0"/>
    <x v="2"/>
    <x v="0"/>
    <m/>
    <s v="SI_"/>
    <x v="2"/>
    <m/>
    <s v="SI_"/>
    <m/>
    <m/>
    <n v="34"/>
    <n v="2200"/>
    <n v="49"/>
    <m/>
    <n v="6"/>
    <n v="13"/>
    <m/>
    <x v="1"/>
    <m/>
  </r>
  <r>
    <n v="1024610735"/>
    <x v="0"/>
    <d v="2022-03-03T00:00:00"/>
    <d v="2022-03-03T00:00:00"/>
    <e v="#REF!"/>
    <e v="#N/A"/>
    <s v="CONCURRENCIA/NUNCA SE VINCULO"/>
    <x v="0"/>
    <x v="4"/>
    <x v="4"/>
    <s v="RC"/>
    <s v="YASMIN"/>
    <s v="CATHALEYA"/>
    <s v="TROCEL"/>
    <s v="AGUILAR"/>
    <s v="YASMIN CATHALEYA TROCEL AGUILAR"/>
    <d v="2020-11-23T00:00:00"/>
    <x v="2"/>
    <n v="1"/>
    <n v="3"/>
    <s v="2 AÑOS 1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98 B SUR # 7 C ESTE 27"/>
    <n v="3107546020"/>
    <m/>
    <x v="0"/>
    <s v="NO SE AUTORECONOCE EN NINGUNO DE LOS ANTERIORES"/>
    <x v="1"/>
    <x v="1"/>
    <s v="NO_"/>
    <s v="NO_"/>
    <s v="o. Ingresos iguales o inferiores a 1.5 Smlv"/>
    <s v="NO_"/>
    <s v="PADRE"/>
    <s v="SIN DOCUMENTO"/>
    <m/>
    <s v="KATHERYNE"/>
    <s v="ANDREINA"/>
    <s v="AGUILAR"/>
    <s v="ZAMBRANO"/>
    <d v="1998-05-15T00:00:00"/>
    <s v="VENEZUELA"/>
    <s v="EXTERIOR"/>
    <s v="EXTERIOR"/>
    <s v="SIN DOCUMENTO"/>
    <m/>
    <s v="JOSE"/>
    <s v="ALEJANDRO"/>
    <s v="TROCEL"/>
    <s v="FLORES"/>
    <d v="1999-10-24T00:00:00"/>
    <n v="23"/>
    <s v="VENEZUELA"/>
    <s v="EXTERIOR"/>
    <s v="EXTERIOR"/>
    <s v="SIN DOCUMENTO"/>
    <m/>
    <s v="KATHERYNE"/>
    <s v="ANDREINA"/>
    <s v="AGUILAR"/>
    <s v="ZAMBRANO"/>
    <d v="1998-05-15T00:00:00"/>
    <n v="24"/>
    <s v="VENEZUELA"/>
    <s v="EXTERIOR"/>
    <s v="EXTERIOR"/>
    <x v="0"/>
    <x v="0"/>
    <x v="0"/>
    <m/>
    <s v="SI_"/>
    <x v="2"/>
    <n v="1"/>
    <s v="NO_"/>
    <m/>
    <m/>
    <n v="40"/>
    <n v="3500"/>
    <n v="50"/>
    <m/>
    <n v="6"/>
    <n v="12"/>
    <m/>
    <x v="1"/>
    <m/>
  </r>
  <r>
    <n v="1023047164"/>
    <x v="0"/>
    <d v="2022-03-03T00:00:00"/>
    <d v="2022-03-03T00:00:00"/>
    <e v="#REF!"/>
    <e v="#N/A"/>
    <s v="CONCURRENCIA/NUNCA SE VINCULO"/>
    <x v="0"/>
    <x v="4"/>
    <x v="4"/>
    <s v="RC"/>
    <s v="NICOLAS"/>
    <s v="SANTIAGO"/>
    <s v="MOLINA"/>
    <s v="MARTINEZ"/>
    <s v="NICOLAS SANTIAGO MOLINA MARTINEZ"/>
    <d v="2021-09-09T00:00:00"/>
    <x v="3"/>
    <n v="3"/>
    <n v="17"/>
    <s v="1 AÑOS 3 MESES 1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6"/>
    <m/>
    <s v="KR 10 A BIS ESTE # 89 SUR 74"/>
    <n v="3138630432"/>
    <n v="3015684946"/>
    <x v="0"/>
    <s v="NO SE AUTORECONOCE EN NINGUNO DE LOS ANTERIORES"/>
    <x v="0"/>
    <x v="6"/>
    <s v="NO_"/>
    <s v="NO_"/>
    <s v="a. Pertenecientes a hogares con puntaje SISBEN"/>
    <s v="NO_"/>
    <s v="MADRE"/>
    <s v="CC"/>
    <n v="1007343430"/>
    <s v="MARIA"/>
    <s v="AMELIA"/>
    <s v="MARTINEZ"/>
    <s v="URBANO"/>
    <d v="2001-03-04T00:00:00"/>
    <s v="COLOMBIA"/>
    <s v="BOYACÁ"/>
    <s v="SOGAMOSO"/>
    <m/>
    <m/>
    <m/>
    <m/>
    <m/>
    <m/>
    <m/>
    <s v=""/>
    <m/>
    <m/>
    <m/>
    <s v="CC"/>
    <n v="1007343430"/>
    <s v="MARIA"/>
    <s v="AMELIA"/>
    <s v="MARTINEZ"/>
    <s v="URBANO"/>
    <d v="2001-03-04T00:00:00"/>
    <n v="21"/>
    <s v="COLOMBIA"/>
    <s v="BOYACÁ"/>
    <s v="SOGAMOSO"/>
    <x v="1"/>
    <x v="1"/>
    <x v="0"/>
    <m/>
    <s v="SI_"/>
    <x v="2"/>
    <n v="1"/>
    <s v="NO_"/>
    <m/>
    <m/>
    <n v="40"/>
    <n v="3680"/>
    <n v="52"/>
    <m/>
    <m/>
    <m/>
    <m/>
    <x v="1"/>
    <m/>
  </r>
  <r>
    <n v="1023048955"/>
    <x v="1"/>
    <d v="2022-09-02T00:00:00"/>
    <m/>
    <m/>
    <m/>
    <m/>
    <x v="0"/>
    <x v="0"/>
    <x v="0"/>
    <s v="RC"/>
    <s v="EMERSON"/>
    <s v="GIOVANNI"/>
    <s v="BAYONA"/>
    <s v="NINCO"/>
    <s v="EMERSON GIOVANNI BAYONA NINCO"/>
    <d v="2022-08-03T00:00:00"/>
    <x v="1"/>
    <n v="4"/>
    <n v="23"/>
    <s v="0 AÑOS 4 MESES 23 DIAS "/>
    <x v="1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47"/>
    <s v="POLIGONO 195 EL REFUGIO LA ESMERALDA"/>
    <s v="ZONA SIN LEGALIZAR"/>
    <n v="3142231635"/>
    <m/>
    <x v="0"/>
    <s v="NO SE AUTORECONOCE EN NINGUNO DE LOS ANTERIORES"/>
    <x v="0"/>
    <x v="20"/>
    <s v="NO_"/>
    <s v="NO_"/>
    <s v="o. Ingresos iguales o inferiores a 1.5 Smlv"/>
    <m/>
    <s v="PADRE"/>
    <s v="CC"/>
    <n v="1022934095"/>
    <s v="JUAN"/>
    <s v="CARLOS"/>
    <s v="BAYONA"/>
    <s v="SIERRA"/>
    <d v="1987-06-10T00:00:00"/>
    <s v="COLOMBIA"/>
    <s v="CUNDINAMARCA"/>
    <s v="BOGOTÁ"/>
    <s v="CC"/>
    <n v="1022934095"/>
    <s v="JUAN"/>
    <s v="CARLOS"/>
    <s v="BAYONA"/>
    <s v="SIERRA"/>
    <d v="1987-06-10T00:00:00"/>
    <n v="35"/>
    <s v="COLOMBIA"/>
    <s v="BOGOTÁ"/>
    <s v="BOGOTÁ"/>
    <s v="CC"/>
    <n v="53098309"/>
    <s v="FLOR "/>
    <s v="ERMINDA "/>
    <s v="NINCO"/>
    <m/>
    <d v="1981-10-29T00:00:00"/>
    <n v="41"/>
    <s v="COLOMBIA"/>
    <s v="BOGOTÁ"/>
    <s v="BOGOTÁ"/>
    <x v="3"/>
    <x v="12"/>
    <x v="0"/>
    <d v="2022-08-29T00:00:00"/>
    <s v="SI_"/>
    <x v="1"/>
    <m/>
    <s v="NO_"/>
    <m/>
    <m/>
    <s v="40 SEMANAS"/>
    <s v="2950GR"/>
    <s v="50 CM"/>
    <s v="SI_"/>
    <m/>
    <m/>
    <m/>
    <x v="0"/>
    <m/>
  </r>
  <r>
    <n v="53098309"/>
    <x v="0"/>
    <d v="2022-03-03T00:00:00"/>
    <d v="2022-09-01T00:00:00"/>
    <e v="#REF!"/>
    <e v="#N/A"/>
    <m/>
    <x v="0"/>
    <x v="0"/>
    <x v="0"/>
    <s v="CC"/>
    <s v="FLOR "/>
    <s v="ERMINDA"/>
    <s v="NINCO"/>
    <m/>
    <s v="FLOR  ERMINDA NINCO "/>
    <d v="1981-10-29T00:00:00"/>
    <x v="14"/>
    <n v="1"/>
    <n v="27"/>
    <s v="41 AÑOS 1 MESES 27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47"/>
    <s v="POLIGONO 195 EL REFUGIO LA ESMERALDA"/>
    <s v="ZONA SIN LEGALIZAR"/>
    <n v="3142231635"/>
    <m/>
    <x v="0"/>
    <s v="NO SE AUTORECONOCE EN NINGUNO DE LOS ANTERIORES"/>
    <x v="0"/>
    <x v="11"/>
    <s v="NO_"/>
    <s v="NO_"/>
    <s v="o. Ingresos iguales o inferiores a 1.5 Smlv"/>
    <m/>
    <s v="CONYUGE"/>
    <s v="CC"/>
    <n v="1022934095"/>
    <s v="JUAN"/>
    <s v="CARLOS"/>
    <s v="BAYONA"/>
    <s v="SIERRA"/>
    <d v="1987-06-10T00:00:00"/>
    <s v="COLOMBIA"/>
    <s v="CUNDINAMARCA"/>
    <s v="BOGOTÁ"/>
    <m/>
    <m/>
    <m/>
    <m/>
    <m/>
    <m/>
    <m/>
    <s v=""/>
    <m/>
    <m/>
    <m/>
    <m/>
    <m/>
    <m/>
    <m/>
    <m/>
    <m/>
    <m/>
    <s v=""/>
    <m/>
    <m/>
    <m/>
    <x v="1"/>
    <x v="1"/>
    <x v="2"/>
    <d v="2022-03-04T00:00:00"/>
    <m/>
    <x v="0"/>
    <m/>
    <m/>
    <m/>
    <m/>
    <m/>
    <m/>
    <m/>
    <m/>
    <m/>
    <m/>
    <n v="16"/>
    <x v="0"/>
    <m/>
  </r>
  <r>
    <n v="1023048337"/>
    <x v="1"/>
    <d v="2022-05-24T00:00:00"/>
    <m/>
    <m/>
    <m/>
    <m/>
    <x v="0"/>
    <x v="2"/>
    <x v="2"/>
    <s v="RC"/>
    <s v="VAIOLETH"/>
    <s v="SARAY"/>
    <s v="PEÑA"/>
    <s v="COLO"/>
    <s v="VAIOLETH SARAY PEÑA COLO"/>
    <d v="2022-04-15T00:00:00"/>
    <x v="1"/>
    <n v="8"/>
    <n v="11"/>
    <s v="0 AÑOS 8 MESES 1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1"/>
    <m/>
    <s v="KR 6G ESTE 115A SUR 24"/>
    <n v="3209624507"/>
    <n v="3203216608"/>
    <x v="0"/>
    <s v="NO SE AUTORECONOCE EN NINGUNO DE LOS ANTERIORES"/>
    <x v="1"/>
    <x v="1"/>
    <s v="NO_"/>
    <s v="NO_"/>
    <s v="o. Ingresos iguales o inferiores a 1.5 Smlv"/>
    <s v="SI_"/>
    <s v="MADRE"/>
    <s v="CC"/>
    <n v="1000254191"/>
    <s v="NATALIA"/>
    <s v="GISSET"/>
    <s v="COLO"/>
    <s v="ROZO"/>
    <d v="2001-10-15T00:00:00"/>
    <s v="COLOMBIA"/>
    <s v="BOGOTÁ"/>
    <s v="BOGOTÁ"/>
    <m/>
    <m/>
    <m/>
    <m/>
    <m/>
    <m/>
    <m/>
    <s v=""/>
    <m/>
    <m/>
    <m/>
    <s v="CC"/>
    <n v="1000254191"/>
    <s v="NATALIA"/>
    <s v="GISSET"/>
    <s v="COLO"/>
    <s v="ROZO"/>
    <d v="2001-10-15T00:00:00"/>
    <n v="21"/>
    <s v="COLOMBIA"/>
    <s v="BOGOTÁ"/>
    <s v="BOGOTÁ"/>
    <x v="0"/>
    <x v="6"/>
    <x v="2"/>
    <s v="SI_"/>
    <m/>
    <x v="1"/>
    <m/>
    <m/>
    <m/>
    <m/>
    <m/>
    <m/>
    <m/>
    <m/>
    <m/>
    <m/>
    <m/>
    <x v="2"/>
    <m/>
  </r>
  <r>
    <n v="1000254191"/>
    <x v="0"/>
    <d v="2022-03-03T00:00:00"/>
    <d v="2022-05-23T00:00:00"/>
    <e v="#REF!"/>
    <e v="#N/A"/>
    <m/>
    <x v="0"/>
    <x v="0"/>
    <x v="0"/>
    <s v="CC"/>
    <s v="NATALIA"/>
    <s v="GISSET"/>
    <s v="COLO"/>
    <s v="ROZO"/>
    <s v="NATALIA GISSET COLO ROZO"/>
    <d v="2001-10-15T00:00:00"/>
    <x v="15"/>
    <n v="2"/>
    <n v="11"/>
    <s v="21 AÑOS 2 MESES 11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KR 6G ESTE #115A SUR 23"/>
    <n v="3209624507"/>
    <n v="3203216608"/>
    <x v="0"/>
    <s v="NO SE AUTORECONOCE EN NINGUNO DE LOS ANTERIORES"/>
    <x v="0"/>
    <x v="7"/>
    <s v="NO_"/>
    <s v="NO_"/>
    <s v="a. Pertenecientes a hogares con puntaje SISBEN"/>
    <m/>
    <s v="MADRE"/>
    <s v="CC"/>
    <n v="52905879"/>
    <s v="ALBA"/>
    <s v="ROCIO "/>
    <s v="ROZO"/>
    <s v="GRACIA"/>
    <d v="1982-09-07T00:00:00"/>
    <s v="COLOMBIA"/>
    <s v="CUNDINAMARCA"/>
    <s v="BOGOTÁ"/>
    <m/>
    <m/>
    <m/>
    <m/>
    <m/>
    <m/>
    <m/>
    <s v=""/>
    <m/>
    <m/>
    <m/>
    <m/>
    <m/>
    <m/>
    <m/>
    <m/>
    <m/>
    <m/>
    <s v=""/>
    <m/>
    <m/>
    <m/>
    <x v="1"/>
    <x v="6"/>
    <x v="2"/>
    <d v="2022-03-04T00:00:00"/>
    <m/>
    <x v="0"/>
    <m/>
    <m/>
    <m/>
    <m/>
    <m/>
    <m/>
    <m/>
    <m/>
    <m/>
    <m/>
    <n v="33"/>
    <x v="0"/>
    <m/>
  </r>
  <r>
    <n v="1023047987"/>
    <x v="0"/>
    <d v="2022-03-14T00:00:00"/>
    <d v="2022-08-04T00:00:00"/>
    <e v="#REF!"/>
    <e v="#N/A"/>
    <m/>
    <x v="0"/>
    <x v="2"/>
    <x v="2"/>
    <s v="RC"/>
    <s v="SAILLY"/>
    <s v="SAMARA"/>
    <s v="FARFAN"/>
    <s v="RAMOS"/>
    <s v="SAILLY SAMARA FARFAN RAMOS"/>
    <d v="2022-02-23T00:00:00"/>
    <x v="1"/>
    <n v="10"/>
    <n v="3"/>
    <s v="0 AÑOS 10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"/>
    <m/>
    <s v="CALLE 95 SUR 5G ESTE 36"/>
    <n v="3204117353"/>
    <m/>
    <x v="0"/>
    <s v="NO SE AUTORECONOCE EN NINGUNO DE LOS ANTERIORES"/>
    <x v="1"/>
    <x v="1"/>
    <s v="NO_"/>
    <s v="NO_"/>
    <s v="o. Ingresos iguales o inferiores a 1.5 Smlv"/>
    <m/>
    <s v="MADRE"/>
    <s v="CC"/>
    <n v="1006501046"/>
    <s v="HASBLEIDI"/>
    <s v="CARINE"/>
    <s v="RAMOS"/>
    <s v="VARGAS"/>
    <d v="2000-12-14T00:00:00"/>
    <s v="COLOMBIA"/>
    <s v="CAQUETÁ"/>
    <s v="FLORENCIA"/>
    <s v="CC"/>
    <n v="1023023667"/>
    <s v="DAVID"/>
    <s v="ESTEBAN"/>
    <s v="FARFAN"/>
    <s v="AMADOR"/>
    <d v="1997-02-10T00:00:00"/>
    <n v="25"/>
    <s v="COLOMBIA"/>
    <s v="BOGOTÁ"/>
    <s v="BOGOTÁ"/>
    <s v="CC"/>
    <n v="1006501046"/>
    <s v="HASBLEIDI"/>
    <s v="CARINE"/>
    <s v="RAMOS"/>
    <s v="VARGAS"/>
    <d v="2000-12-14T00:00:00"/>
    <n v="22"/>
    <s v="COLOMBIA"/>
    <s v="BOGOTÁ"/>
    <s v="BOGOTÁ"/>
    <x v="0"/>
    <x v="0"/>
    <x v="0"/>
    <d v="2022-03-10T00:00:00"/>
    <s v="SI_"/>
    <x v="2"/>
    <n v="1"/>
    <m/>
    <m/>
    <m/>
    <m/>
    <n v="3180"/>
    <m/>
    <s v="NO_"/>
    <n v="6"/>
    <m/>
    <m/>
    <x v="2"/>
    <m/>
  </r>
  <r>
    <n v="1006501046"/>
    <x v="0"/>
    <d v="2022-03-03T00:00:00"/>
    <d v="2022-03-11T00:00:00"/>
    <e v="#REF!"/>
    <e v="#N/A"/>
    <m/>
    <x v="0"/>
    <x v="0"/>
    <x v="0"/>
    <s v="CC"/>
    <s v="HASBLEIDI"/>
    <s v="CARINE"/>
    <s v="RAMOS"/>
    <s v="VARGAS"/>
    <s v="HASBLEIDI CARINE RAMOS VARGAS"/>
    <d v="2000-12-14T00:00:00"/>
    <x v="18"/>
    <n v="0"/>
    <n v="12"/>
    <s v="22 AÑOS 0 MESES 12 DIAS "/>
    <x v="0"/>
    <x v="0"/>
    <x v="0"/>
    <s v="CAQUETÁ"/>
    <s v="FLORENCI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"/>
    <m/>
    <s v="CLL95SUR5G ESTE 0036"/>
    <n v="3209773039"/>
    <m/>
    <x v="0"/>
    <s v="NO SE AUTORECONOCE EN NINGUNO DE LOS ANTERIORES"/>
    <x v="1"/>
    <x v="1"/>
    <s v="NO_"/>
    <s v="NO_"/>
    <s v="o. Ingresos iguales o inferiores a 1.5 Smlv"/>
    <m/>
    <s v="CONYUGE"/>
    <s v="CC"/>
    <n v="1023023667"/>
    <s v="DAVID"/>
    <s v="ESTEBAN"/>
    <s v="FARFAN"/>
    <s v="AMADOR"/>
    <d v="1997-02-10T00:00:00"/>
    <s v="COLOMBIA"/>
    <s v="CUNDINAMARCA"/>
    <s v="BOGOTÁ"/>
    <m/>
    <m/>
    <m/>
    <m/>
    <m/>
    <m/>
    <m/>
    <s v=""/>
    <m/>
    <m/>
    <m/>
    <m/>
    <m/>
    <m/>
    <m/>
    <m/>
    <m/>
    <m/>
    <s v=""/>
    <m/>
    <m/>
    <m/>
    <x v="0"/>
    <x v="0"/>
    <x v="2"/>
    <d v="2022-03-04T00:00:00"/>
    <m/>
    <x v="0"/>
    <m/>
    <m/>
    <m/>
    <m/>
    <m/>
    <m/>
    <m/>
    <m/>
    <m/>
    <m/>
    <n v="40"/>
    <x v="0"/>
    <m/>
  </r>
  <r>
    <n v="1023422698"/>
    <x v="1"/>
    <d v="2022-06-14T00:00:00"/>
    <m/>
    <m/>
    <m/>
    <m/>
    <x v="0"/>
    <x v="0"/>
    <x v="0"/>
    <s v="RC"/>
    <s v="ERICK"/>
    <s v="SANTIAGO"/>
    <s v="CRUZ"/>
    <s v="MUCUTUY"/>
    <s v="ERICK SANTIAGO CRUZ MUCUTUY"/>
    <d v="2022-05-31T00:00:00"/>
    <x v="1"/>
    <n v="6"/>
    <n v="25"/>
    <s v="0 AÑOS 6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7"/>
    <s v="POLIGONO 195 EL REFUGIO LA ESMERALDA"/>
    <s v="ZONA SIN LEGALIZAR"/>
    <n v="3132411332"/>
    <m/>
    <x v="0"/>
    <s v="INDIGENA"/>
    <x v="1"/>
    <x v="1"/>
    <s v="NO_"/>
    <s v="NO_"/>
    <s v="g. Pertenecientes a comunidades étnicas (indígenas, comunidades negras, afrocolombianas, Palenqueros, Raizales y Rrom), que demanden el servicio."/>
    <m/>
    <s v="MADRE"/>
    <s v="CC"/>
    <n v="1007097158"/>
    <s v="LISA"/>
    <s v="GERTUDIS"/>
    <s v="MUCUTUY"/>
    <s v="CRUZ"/>
    <d v="2001-09-22T00:00:00"/>
    <s v="COLOMBIA"/>
    <s v="CAQUETÁ"/>
    <s v="SOLANO"/>
    <m/>
    <m/>
    <m/>
    <m/>
    <m/>
    <m/>
    <m/>
    <s v=""/>
    <m/>
    <m/>
    <m/>
    <s v="CC"/>
    <n v="1007097158"/>
    <s v="LISA"/>
    <s v="GERTUDIS"/>
    <s v="MUCUTUY"/>
    <s v="CRUZ"/>
    <d v="2001-09-22T00:00:00"/>
    <n v="21"/>
    <s v="COLOMBIA"/>
    <s v="CAQUETÁ"/>
    <s v="SOLANO"/>
    <x v="1"/>
    <x v="1"/>
    <x v="1"/>
    <m/>
    <s v="NO_"/>
    <x v="1"/>
    <m/>
    <m/>
    <m/>
    <m/>
    <n v="26"/>
    <n v="2500"/>
    <n v="48"/>
    <m/>
    <m/>
    <m/>
    <m/>
    <x v="2"/>
    <m/>
  </r>
  <r>
    <n v="1007097158"/>
    <x v="0"/>
    <d v="2022-03-03T00:00:00"/>
    <d v="2022-06-13T00:00:00"/>
    <e v="#REF!"/>
    <e v="#N/A"/>
    <m/>
    <x v="0"/>
    <x v="0"/>
    <x v="0"/>
    <s v="CC"/>
    <s v="LISA"/>
    <s v="GERTUDIS"/>
    <s v="MUCUTUY"/>
    <s v="CRUZ"/>
    <s v="LISA GERTUDIS MUCUTUY CRUZ"/>
    <d v="2001-09-22T00:00:00"/>
    <x v="15"/>
    <n v="3"/>
    <n v="4"/>
    <s v="21 AÑOS 3 MESES 4 DIAS "/>
    <x v="0"/>
    <x v="0"/>
    <x v="0"/>
    <s v="CAQUETÁ"/>
    <s v="SOLANO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47"/>
    <s v="POLIGONO 195 EL REFUGIO LA ESMERALDA"/>
    <s v="ZONA SIN LEGALIZAR"/>
    <n v="3132411332"/>
    <m/>
    <x v="0"/>
    <s v="INDIGENA"/>
    <x v="0"/>
    <x v="19"/>
    <s v="NO_"/>
    <s v="NO_"/>
    <s v="g. Pertenecientes a comunidades étnicas (indígenas, comunidades negras, afrocolombianas, Palenqueros, Raizales y Rrom), que demanden el servicio."/>
    <m/>
    <s v="HERMANO(A)"/>
    <s v="CC"/>
    <n v="1121220264"/>
    <s v="YANCY "/>
    <m/>
    <s v="YOHANA MUCUTUY"/>
    <s v="CRUZ"/>
    <d v="1998-07-04T00:00:00"/>
    <s v="COLOMBIA"/>
    <s v="AMAZONAS"/>
    <s v="PUERTO "/>
    <m/>
    <m/>
    <m/>
    <m/>
    <m/>
    <m/>
    <m/>
    <s v=""/>
    <m/>
    <m/>
    <m/>
    <m/>
    <m/>
    <m/>
    <m/>
    <m/>
    <m/>
    <m/>
    <s v=""/>
    <m/>
    <m/>
    <m/>
    <x v="1"/>
    <x v="1"/>
    <x v="2"/>
    <d v="2022-03-04T00:00:00"/>
    <m/>
    <x v="0"/>
    <m/>
    <m/>
    <m/>
    <m/>
    <m/>
    <m/>
    <m/>
    <m/>
    <m/>
    <m/>
    <n v="12"/>
    <x v="0"/>
    <m/>
  </r>
  <r>
    <n v="1023048390"/>
    <x v="0"/>
    <d v="2022-05-24T00:00:00"/>
    <d v="2022-10-03T00:00:00"/>
    <e v="#REF!"/>
    <e v="#N/A"/>
    <s v="SAN JUAN A"/>
    <x v="0"/>
    <x v="2"/>
    <x v="2"/>
    <s v="RC"/>
    <s v="OLIVER "/>
    <s v="DANIEL"/>
    <s v="AREVALO"/>
    <s v="MARIÑO"/>
    <s v="OLIVER  DANIEL AREVALO MARIÑO"/>
    <d v="2022-04-22T00:00:00"/>
    <x v="1"/>
    <n v="8"/>
    <n v="4"/>
    <s v="0 AÑOS 8 MESES 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7"/>
    <s v="POLIGONO 195 EL REFUGIO LA ESMERALDA"/>
    <s v="ZONA SIN LEGALIZAR"/>
    <n v="3143155329"/>
    <m/>
    <x v="0"/>
    <s v="NO SE AUTORECONOCE EN NINGUNO DE LOS ANTERIORES"/>
    <x v="1"/>
    <x v="1"/>
    <s v="NO_"/>
    <s v="NO_"/>
    <s v="o. Ingresos iguales o inferiores a 1.5 Smlv"/>
    <s v="SI_"/>
    <s v="MADRE"/>
    <s v="CC"/>
    <n v="1006739736"/>
    <s v="HELEN"/>
    <s v="ALEXA"/>
    <s v="MARIÑO"/>
    <s v="MARTINEZ"/>
    <d v="2002-05-09T00:00:00"/>
    <s v="COLOMBIA"/>
    <s v="AMAZONAS"/>
    <s v="LETICIA"/>
    <s v="CC"/>
    <n v="1001205298"/>
    <s v="JHOJAN"/>
    <s v="SEBASTIAN"/>
    <s v="AREVALO"/>
    <s v="REYES "/>
    <m/>
    <s v=""/>
    <m/>
    <m/>
    <m/>
    <s v="CC"/>
    <n v="1006739736"/>
    <s v="HELEN"/>
    <s v="ALEXA"/>
    <s v="MARIÑO"/>
    <s v="MARTINEZ"/>
    <d v="2002-05-09T00:00:00"/>
    <n v="20"/>
    <s v="COLOMBIA"/>
    <s v="AMAZONAS"/>
    <s v="LETICIA"/>
    <x v="0"/>
    <x v="2"/>
    <x v="2"/>
    <s v="SI_"/>
    <m/>
    <x v="1"/>
    <m/>
    <m/>
    <m/>
    <m/>
    <m/>
    <m/>
    <m/>
    <m/>
    <m/>
    <m/>
    <m/>
    <x v="2"/>
    <m/>
  </r>
  <r>
    <n v="1006739736"/>
    <x v="0"/>
    <d v="2022-03-03T00:00:00"/>
    <d v="2022-05-23T00:00:00"/>
    <e v="#REF!"/>
    <e v="#N/A"/>
    <m/>
    <x v="0"/>
    <x v="0"/>
    <x v="0"/>
    <s v="CC"/>
    <s v="HELEN"/>
    <s v="ALEXA"/>
    <s v="MARIÑO"/>
    <s v="MARTINEZ"/>
    <s v="HELEN ALEXA MARIÑO MARTINEZ"/>
    <d v="2002-05-09T00:00:00"/>
    <x v="4"/>
    <n v="7"/>
    <n v="17"/>
    <s v="20 AÑOS 7 MESES 17 DIAS "/>
    <x v="0"/>
    <x v="0"/>
    <x v="0"/>
    <s v="AMAZONAS"/>
    <s v="LETICI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7"/>
    <s v="POLIGONO 195 EL REFUGIO LA ESMERALDA"/>
    <s v="ZONA SIN LEGALIZAR"/>
    <n v="3143155329"/>
    <m/>
    <x v="0"/>
    <s v="INDIGENA"/>
    <x v="1"/>
    <x v="1"/>
    <s v="NO_"/>
    <s v="NO_"/>
    <s v="g. Pertenecientes a comunidades étnicas (indígenas, comunidades negras, afrocolombianas, Palenqueros, Raizales y Rrom), que demanden el servicio."/>
    <m/>
    <s v="MADRE"/>
    <s v="CC"/>
    <n v="1121197055"/>
    <s v="SANDRA"/>
    <s v="MILENA"/>
    <s v="MARTINEZ"/>
    <s v="ENDOQUE"/>
    <d v="1986-06-26T00:00:00"/>
    <s v="COLOMBIA"/>
    <s v="CUNDINAMARCA"/>
    <s v="BOGOTÁ"/>
    <m/>
    <m/>
    <m/>
    <m/>
    <m/>
    <m/>
    <m/>
    <s v=""/>
    <m/>
    <m/>
    <m/>
    <m/>
    <m/>
    <m/>
    <m/>
    <m/>
    <m/>
    <m/>
    <s v=""/>
    <m/>
    <m/>
    <m/>
    <x v="0"/>
    <x v="2"/>
    <x v="2"/>
    <d v="2022-03-04T00:00:00"/>
    <s v="SI_"/>
    <x v="0"/>
    <m/>
    <m/>
    <m/>
    <m/>
    <m/>
    <m/>
    <m/>
    <m/>
    <m/>
    <m/>
    <s v="30.4"/>
    <x v="0"/>
    <m/>
  </r>
  <r>
    <n v="1023048759"/>
    <x v="0"/>
    <d v="2022-08-02T00:00:00"/>
    <d v="2022-10-03T00:00:00"/>
    <e v="#REF!"/>
    <e v="#N/A"/>
    <s v="TRIANGULO"/>
    <x v="0"/>
    <x v="0"/>
    <x v="0"/>
    <s v="RC"/>
    <s v="ALAN "/>
    <s v="DAVID"/>
    <s v="GUTIERREZ"/>
    <s v="FLOREZ"/>
    <s v="ALAN  DAVID GUTIERREZ FLOREZ"/>
    <d v="2022-06-20T00:00:00"/>
    <x v="1"/>
    <n v="6"/>
    <n v="6"/>
    <s v="0 AÑOS 6 MESES 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7BIS A ESTE #99SUR-85PI2"/>
    <n v="3229522220"/>
    <m/>
    <x v="0"/>
    <s v="NO SE AUTORECONOCE EN NINGUNO DE LOS ANTERIORES"/>
    <x v="1"/>
    <x v="1"/>
    <s v="NO_"/>
    <s v="NO_"/>
    <s v="o. Ingresos iguales o inferiores a 1.5 Smlv"/>
    <m/>
    <s v="MADRE"/>
    <s v="CC"/>
    <n v="1007270354"/>
    <s v="NELFY"/>
    <s v="JANETH"/>
    <s v="FLOREZ"/>
    <s v="CRUZ"/>
    <d v="1995-07-03T00:00:00"/>
    <s v="COLOMBIA"/>
    <s v="BOGOTÁ"/>
    <s v="BOGOTÁ"/>
    <s v="SIN DOCUMENTO"/>
    <m/>
    <s v="YEAN"/>
    <s v="OLMER"/>
    <s v="GUTIERREZ"/>
    <s v="BARRIOS"/>
    <d v="1986-02-07T00:00:00"/>
    <n v="36"/>
    <s v="VENEZUELA"/>
    <s v="EXTERIOR"/>
    <s v="EXTERIOR"/>
    <s v="CC"/>
    <n v="1007270354"/>
    <s v="NELFY"/>
    <s v="JANETH"/>
    <s v="FLOREZ"/>
    <s v="CRUZ"/>
    <d v="1995-07-03T00:00:00"/>
    <n v="27"/>
    <s v="COLOMBIA"/>
    <s v="BOGOTÁ"/>
    <s v="BOGOTÁ"/>
    <x v="1"/>
    <x v="1"/>
    <x v="0"/>
    <d v="2022-08-02T00:00:00"/>
    <m/>
    <x v="0"/>
    <m/>
    <m/>
    <m/>
    <m/>
    <n v="39"/>
    <n v="2920"/>
    <n v="49"/>
    <s v="SI_"/>
    <m/>
    <m/>
    <m/>
    <x v="2"/>
    <m/>
  </r>
  <r>
    <n v="1007270354"/>
    <x v="0"/>
    <d v="2022-03-03T00:00:00"/>
    <d v="2022-08-01T00:00:00"/>
    <e v="#REF!"/>
    <e v="#N/A"/>
    <m/>
    <x v="0"/>
    <x v="0"/>
    <x v="0"/>
    <s v="CC"/>
    <s v="NELFY"/>
    <s v="JANETH"/>
    <s v="FLOREZ"/>
    <s v="CRUZ"/>
    <s v="NELFY JANETH FLOREZ CRUZ"/>
    <d v="1995-07-03T00:00:00"/>
    <x v="0"/>
    <n v="5"/>
    <n v="23"/>
    <s v="27 AÑOS 5 MESES 23 DIAS "/>
    <x v="0"/>
    <x v="0"/>
    <x v="0"/>
    <s v="BOLÍVAR"/>
    <s v="SANTA ROSA DEL SUR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5"/>
    <m/>
    <s v="KR7BIS A ESTE #99SUR-85PI2"/>
    <n v="3229522220"/>
    <m/>
    <x v="0"/>
    <s v="NO SE AUTORECONOCE EN NINGUNO DE LOS ANTERIORES"/>
    <x v="0"/>
    <x v="1"/>
    <s v="NO_"/>
    <s v="NO_"/>
    <s v="o. Ingresos iguales o inferiores a 1.5 Smlv"/>
    <m/>
    <s v="CONYUGE"/>
    <s v="SIN DOCUMENTO"/>
    <n v="4972018"/>
    <s v="YEAN"/>
    <m/>
    <s v="GUTIERREZ"/>
    <s v="BARRIOS"/>
    <s v="07/0271986"/>
    <s v="VENEZUELA"/>
    <s v="EXTERIOR"/>
    <s v="EXTERIOR"/>
    <m/>
    <m/>
    <m/>
    <m/>
    <m/>
    <m/>
    <m/>
    <s v=""/>
    <m/>
    <m/>
    <m/>
    <m/>
    <m/>
    <m/>
    <m/>
    <m/>
    <m/>
    <m/>
    <s v=""/>
    <m/>
    <m/>
    <m/>
    <x v="0"/>
    <x v="1"/>
    <x v="2"/>
    <d v="2022-03-04T00:00:00"/>
    <s v="SI_"/>
    <x v="0"/>
    <m/>
    <m/>
    <m/>
    <m/>
    <m/>
    <m/>
    <m/>
    <m/>
    <m/>
    <m/>
    <n v="24"/>
    <x v="0"/>
    <m/>
  </r>
  <r>
    <n v="1074161366"/>
    <x v="1"/>
    <d v="2022-06-14T00:00:00"/>
    <m/>
    <m/>
    <m/>
    <m/>
    <x v="0"/>
    <x v="0"/>
    <x v="0"/>
    <s v="RC"/>
    <s v="JUAN"/>
    <s v="JOSE"/>
    <s v="ZAMBRANO "/>
    <s v="BUSTOS "/>
    <s v="JUAN JOSE ZAMBRANO  BUSTOS "/>
    <d v="2022-05-21T00:00:00"/>
    <x v="1"/>
    <n v="7"/>
    <n v="5"/>
    <s v="0 AÑOS 7 MESES 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7A ESTE 112SUR 0069"/>
    <n v="3138803664"/>
    <m/>
    <x v="1"/>
    <s v="NO SE AUTORECONOCE EN NINGUNO DE LOS ANTERIORES"/>
    <x v="1"/>
    <x v="1"/>
    <s v="NO_"/>
    <s v="NO_"/>
    <s v="o. Ingresos iguales o inferiores a 1.5 Smlv"/>
    <m/>
    <s v="MADRE"/>
    <s v="CC"/>
    <n v="1022966556"/>
    <s v="OLGA"/>
    <s v="SENAIDA"/>
    <s v="BUSTOS"/>
    <s v="LOPEZ"/>
    <d v="1991-01-24T00:00:00"/>
    <s v="COLOMBIA"/>
    <s v="BOGOTÁ"/>
    <s v="BOGOTÁ"/>
    <s v="CC"/>
    <n v="1022968502"/>
    <s v="HERNAN"/>
    <s v="DANILO"/>
    <s v="ZAMBRANO"/>
    <s v="HORTUA"/>
    <d v="1991-06-11T00:00:00"/>
    <n v="31"/>
    <s v="COLOMBIA"/>
    <s v="CUNDINAMARCA"/>
    <s v="CHIPAQUE"/>
    <s v="CC"/>
    <n v="1022966556"/>
    <s v="OLGA"/>
    <s v="SENAIDA"/>
    <s v="BUSTOS"/>
    <s v="LOPEZ"/>
    <d v="1991-01-24T00:00:00"/>
    <n v="31"/>
    <s v="COLOMBIA"/>
    <s v="BOGOTÁ"/>
    <s v="BOGOTÁ"/>
    <x v="0"/>
    <x v="0"/>
    <x v="0"/>
    <m/>
    <m/>
    <x v="1"/>
    <m/>
    <m/>
    <m/>
    <m/>
    <n v="36"/>
    <n v="2890"/>
    <n v="49"/>
    <m/>
    <m/>
    <m/>
    <m/>
    <x v="2"/>
    <m/>
  </r>
  <r>
    <n v="1022966556"/>
    <x v="0"/>
    <d v="2022-03-03T00:00:00"/>
    <d v="2022-06-13T00:00:00"/>
    <e v="#REF!"/>
    <e v="#N/A"/>
    <m/>
    <x v="0"/>
    <x v="0"/>
    <x v="0"/>
    <s v="CC"/>
    <s v="OLGA"/>
    <s v="SENAIDA"/>
    <s v="BUSTOS"/>
    <s v="LOPEZ"/>
    <s v="OLGA SENAIDA BUSTOS LOPEZ"/>
    <d v="1991-01-24T00:00:00"/>
    <x v="27"/>
    <n v="11"/>
    <n v="2"/>
    <s v="31 AÑOS 11 MESES 2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7A ESTE 112SUR 0068"/>
    <n v="3138803664"/>
    <m/>
    <x v="0"/>
    <s v="NO SE AUTORECONOCE EN NINGUNO DE LOS ANTERIORES"/>
    <x v="0"/>
    <x v="11"/>
    <s v="NO_"/>
    <s v="NO_"/>
    <s v="a. Pertenecientes a hogares con puntaje SISBEN"/>
    <m/>
    <s v="MADRE"/>
    <s v="CC"/>
    <n v="39798043"/>
    <s v="ROSA"/>
    <s v="ELVIA"/>
    <s v="LOPEZ"/>
    <s v="TRIANA"/>
    <d v="1968-05-02T00:00:00"/>
    <s v="COLOMBIA"/>
    <s v="SANTANDER"/>
    <s v="SAN BENITO"/>
    <m/>
    <m/>
    <m/>
    <m/>
    <m/>
    <m/>
    <m/>
    <s v=""/>
    <m/>
    <m/>
    <m/>
    <m/>
    <m/>
    <m/>
    <m/>
    <m/>
    <m/>
    <m/>
    <s v=""/>
    <m/>
    <m/>
    <m/>
    <x v="0"/>
    <x v="0"/>
    <x v="2"/>
    <d v="2022-03-04T00:00:00"/>
    <m/>
    <x v="0"/>
    <m/>
    <m/>
    <m/>
    <m/>
    <m/>
    <m/>
    <m/>
    <m/>
    <m/>
    <m/>
    <n v="12"/>
    <x v="0"/>
    <m/>
  </r>
  <r>
    <n v="1023048697"/>
    <x v="1"/>
    <d v="2022-07-19T00:00:00"/>
    <m/>
    <m/>
    <m/>
    <m/>
    <x v="0"/>
    <x v="0"/>
    <x v="0"/>
    <s v="RC"/>
    <s v="LUZ"/>
    <s v="LINEY"/>
    <s v="PAEZ"/>
    <s v="LOPEZ"/>
    <s v="LUZ LINEY PAEZ LOPEZ"/>
    <d v="2022-06-12T00:00:00"/>
    <x v="1"/>
    <n v="6"/>
    <n v="14"/>
    <s v="0 AÑOS 6 MESES 1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8"/>
    <m/>
    <s v="ZONA SIN LEGALIZAR (POLIGONO 195 EL REFUGIO LA ESMERALDA)"/>
    <n v="3028441309"/>
    <m/>
    <x v="0"/>
    <s v="NO SE AUTORECONOCE EN NINGUNO DE LOS ANTERIORES"/>
    <x v="1"/>
    <x v="1"/>
    <s v="NO_"/>
    <s v="NO_"/>
    <s v="o. Ingresos iguales o inferiores a 1.5 Smlv"/>
    <m/>
    <s v="MADRE"/>
    <s v="CC"/>
    <n v="1193127099"/>
    <s v="PRISCILA"/>
    <m/>
    <s v="LOPEZ"/>
    <s v="KIRIATEKE"/>
    <d v="2001-10-17T00:00:00"/>
    <s v="COLOMBIA"/>
    <s v="BOGOTÁ"/>
    <s v="BOGOTÁ"/>
    <m/>
    <m/>
    <m/>
    <m/>
    <m/>
    <m/>
    <m/>
    <s v=""/>
    <m/>
    <m/>
    <m/>
    <s v="CC"/>
    <n v="1193127099"/>
    <s v="PRISCILA"/>
    <m/>
    <s v="LOPEZ"/>
    <s v="KIRIATEKE"/>
    <d v="2001-10-17T00:00:00"/>
    <n v="21"/>
    <s v="COLOMBIA"/>
    <s v="BOGOTÁ"/>
    <s v="BOGOTÁ"/>
    <x v="0"/>
    <x v="0"/>
    <x v="1"/>
    <d v="2022-07-19T00:00:00"/>
    <s v="NO_"/>
    <x v="1"/>
    <m/>
    <s v="SI_"/>
    <s v="NO"/>
    <m/>
    <s v="36 SEMANAS"/>
    <m/>
    <m/>
    <s v="NO_"/>
    <n v="0"/>
    <n v="2"/>
    <m/>
    <x v="2"/>
    <m/>
  </r>
  <r>
    <n v="1193127099"/>
    <x v="0"/>
    <d v="2022-03-03T00:00:00"/>
    <d v="2022-07-18T00:00:00"/>
    <e v="#REF!"/>
    <e v="#N/A"/>
    <m/>
    <x v="0"/>
    <x v="0"/>
    <x v="0"/>
    <s v="CC"/>
    <s v="PRISCILA"/>
    <m/>
    <s v="LOPEZ"/>
    <s v="KIRIATEKE"/>
    <s v="PRISCILA  LOPEZ KIRIATEKE"/>
    <d v="2001-10-17T00:00:00"/>
    <x v="15"/>
    <n v="2"/>
    <n v="9"/>
    <s v="21 AÑOS 2 MESES 9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47"/>
    <s v="POLIGONO 195 EL REFUGIO LA ESMERALDA"/>
    <s v="ZONA SIN LEGALIZAR"/>
    <n v="3028441309"/>
    <m/>
    <x v="0"/>
    <s v="INDIGENA"/>
    <x v="1"/>
    <x v="1"/>
    <s v="NO_"/>
    <s v="NO_"/>
    <s v="g. Pertenecientes a comunidades étnicas (indígenas, comunidades negras, afrocolombianas, Palenqueros, Raizales y Rrom), que demanden el servicio."/>
    <m/>
    <s v="CONYUGE"/>
    <s v="CC"/>
    <n v="1073968535"/>
    <s v="CRISTIAN "/>
    <s v="DAVID"/>
    <s v="PAEZ"/>
    <s v="CHAMORRO"/>
    <d v="1995-09-01T00:00:00"/>
    <s v="COLOMBIA"/>
    <s v="CÓRDOBA"/>
    <s v="TIERRALTA"/>
    <m/>
    <m/>
    <m/>
    <m/>
    <m/>
    <m/>
    <m/>
    <s v=""/>
    <m/>
    <m/>
    <m/>
    <m/>
    <m/>
    <m/>
    <m/>
    <m/>
    <m/>
    <m/>
    <s v=""/>
    <m/>
    <m/>
    <m/>
    <x v="1"/>
    <x v="17"/>
    <x v="2"/>
    <d v="2022-03-04T00:00:00"/>
    <m/>
    <x v="0"/>
    <m/>
    <m/>
    <m/>
    <m/>
    <m/>
    <m/>
    <m/>
    <m/>
    <m/>
    <m/>
    <n v="12"/>
    <x v="0"/>
    <m/>
  </r>
  <r>
    <n v="1021319533"/>
    <x v="1"/>
    <d v="2022-05-17T00:00:00"/>
    <m/>
    <m/>
    <m/>
    <s v="TRIANGULO"/>
    <x v="0"/>
    <x v="2"/>
    <x v="2"/>
    <s v="RC"/>
    <s v="ARIANA"/>
    <s v="SOFIA"/>
    <s v="QUITIAN"/>
    <s v="RIVERA"/>
    <s v="ARIANA SOFIA QUITIAN RIVERA"/>
    <d v="2022-02-23T00:00:00"/>
    <x v="1"/>
    <n v="10"/>
    <n v="3"/>
    <s v="0 AÑOS 10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KR 5 I ESTE 92 -28"/>
    <n v="3208171698"/>
    <n v="3228613336"/>
    <x v="0"/>
    <s v="NO SE AUTORECONOCE EN NINGUNO DE LOS ANTERIORES"/>
    <x v="1"/>
    <x v="1"/>
    <s v="NO_"/>
    <s v="NO_"/>
    <s v="o. Ingresos iguales o inferiores a 1.5 Smlv"/>
    <m/>
    <s v="PADRE"/>
    <s v="CC"/>
    <n v="1023878356"/>
    <s v="WILBER"/>
    <s v="ANDRES"/>
    <s v="QUITIAN"/>
    <s v="DUARTE"/>
    <d v="1988-07-01T00:00:00"/>
    <s v="COLOMBIA"/>
    <s v="SANTANDER"/>
    <s v="PUENTE NACIONAL"/>
    <s v="CC"/>
    <n v="1023878356"/>
    <s v="WILBER"/>
    <s v="ANDRES"/>
    <s v="QUITIAN"/>
    <s v="DUARTE"/>
    <d v="1988-07-01T00:00:00"/>
    <n v="34"/>
    <s v="COLOMBIA"/>
    <s v="SANTANDER"/>
    <s v="PUENTE NACIONAL"/>
    <s v="CC"/>
    <n v="1023007927"/>
    <s v="DEISI"/>
    <s v="NATALIA"/>
    <s v="RIVERA"/>
    <s v="AVILA"/>
    <d v="1995-10-10T00:00:00"/>
    <n v="27"/>
    <s v="COLOMBIA"/>
    <s v="BOGOTÁ"/>
    <s v="BOGOTÁ"/>
    <x v="0"/>
    <x v="5"/>
    <x v="0"/>
    <d v="2022-05-16T00:00:00"/>
    <s v="SI_"/>
    <x v="2"/>
    <n v="4"/>
    <s v="NO_"/>
    <m/>
    <m/>
    <s v="38.4"/>
    <n v="3100"/>
    <n v="53"/>
    <s v="NO_"/>
    <n v="1"/>
    <m/>
    <m/>
    <x v="2"/>
    <m/>
  </r>
  <r>
    <n v="1016753167"/>
    <x v="0"/>
    <d v="2022-03-03T00:00:00"/>
    <d v="2022-05-16T00:00:00"/>
    <e v="#REF!"/>
    <e v="#N/A"/>
    <m/>
    <x v="0"/>
    <x v="6"/>
    <x v="6"/>
    <s v="RC"/>
    <s v="CRISTIAN"/>
    <s v="DANIEL"/>
    <s v="ORTIZ"/>
    <s v="SANCHEZ"/>
    <s v="CRISTIAN DANIEL ORTIZ SANCHEZ"/>
    <d v="2021-11-24T00:00:00"/>
    <x v="3"/>
    <n v="1"/>
    <n v="2"/>
    <s v="1 AÑOS 1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47"/>
    <s v="POLIGONO 195 EL REFUGIO LA ESMERALDA"/>
    <s v="ZONA SIN LEGALIZAR"/>
    <n v="3153084336"/>
    <m/>
    <x v="0"/>
    <s v="NO SE AUTORECONOCE EN NINGUNO DE LOS ANTERIORES"/>
    <x v="1"/>
    <x v="18"/>
    <s v="NO_"/>
    <s v="NO_"/>
    <s v="g. Pertenecientes a comunidades étnicas (indígenas, comunidades negras, afrocolombianas, Palenqueros, Raizales y Rrom), que demanden el servicio."/>
    <m/>
    <s v="MADRE"/>
    <s v="CC"/>
    <n v="1125472109"/>
    <s v="NANCY"/>
    <m/>
    <s v="SANCHEZ"/>
    <s v="FREITAS"/>
    <d v="1990-09-11T00:00:00"/>
    <s v="COLOMBIA"/>
    <s v="VAUPES"/>
    <m/>
    <s v="CC"/>
    <n v="1010086412"/>
    <s v="RUBEN"/>
    <s v="DARIO"/>
    <s v="ORTIZ"/>
    <s v="RODRIGUEZ"/>
    <d v="1988-04-23T00:00:00"/>
    <n v="34"/>
    <s v="COLOMBIA"/>
    <s v="VAUPES"/>
    <m/>
    <s v="CC"/>
    <n v="1125472109"/>
    <s v="NANCY"/>
    <m/>
    <s v="SANCHEZ"/>
    <s v="FREITAS"/>
    <d v="1990-09-11T00:00:00"/>
    <n v="32"/>
    <s v="COLOMBIA"/>
    <s v="VAUPES"/>
    <m/>
    <x v="0"/>
    <x v="2"/>
    <x v="0"/>
    <d v="2022-03-04T00:00:00"/>
    <s v="SI_"/>
    <x v="2"/>
    <n v="3"/>
    <m/>
    <m/>
    <m/>
    <m/>
    <m/>
    <m/>
    <s v="SI_"/>
    <n v="3"/>
    <n v="3"/>
    <m/>
    <x v="1"/>
    <m/>
  </r>
  <r>
    <n v="1032514103"/>
    <x v="1"/>
    <d v="2022-04-08T00:00:00"/>
    <m/>
    <m/>
    <m/>
    <m/>
    <x v="0"/>
    <x v="3"/>
    <x v="3"/>
    <s v="RC"/>
    <s v="LIAM"/>
    <s v="SANTIAGO"/>
    <s v="VALERO"/>
    <s v="SALINAS"/>
    <s v="LIAM SANTIAGO VALERO SALINAS"/>
    <d v="2021-09-27T00:00:00"/>
    <x v="3"/>
    <n v="2"/>
    <n v="29"/>
    <s v="1 AÑOS 2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9"/>
    <m/>
    <s v="DG 98#7C 21 ESTE "/>
    <n v="3227002758"/>
    <n v="3147916958"/>
    <x v="0"/>
    <s v="NO SE AUTORECONOCE EN NINGUNO DE LOS ANTERIORES"/>
    <x v="1"/>
    <x v="1"/>
    <s v="NO_"/>
    <s v="NO_"/>
    <m/>
    <m/>
    <s v="ABUELO(A)"/>
    <s v="CC"/>
    <n v="51737255"/>
    <s v="OLGA"/>
    <s v="MARIA"/>
    <s v="MARTINEZ"/>
    <s v="ZANABRIA"/>
    <d v="1964-07-02T00:00:00"/>
    <s v="COLOMBIA"/>
    <s v="CUNDINAMARCA"/>
    <m/>
    <s v="CC"/>
    <n v="74339930"/>
    <s v="ELKIN"/>
    <s v="GERMAN "/>
    <s v="VALERO"/>
    <s v="SARMIENTO "/>
    <d v="1986-01-08T00:00:00"/>
    <n v="36"/>
    <s v="COLOMBIA"/>
    <s v="BOGOTÁ"/>
    <m/>
    <s v="CC"/>
    <n v="1022946645"/>
    <s v="ANGIE"/>
    <s v="VIVIANA "/>
    <s v="SALINAS "/>
    <s v="MARTINEZ"/>
    <d v="1988-10-07T00:00:00"/>
    <n v="34"/>
    <s v="COLOMBIA"/>
    <s v="BOGOTÁ"/>
    <m/>
    <x v="0"/>
    <x v="6"/>
    <x v="0"/>
    <d v="2022-04-08T00:00:00"/>
    <s v="SI_"/>
    <x v="2"/>
    <n v="3"/>
    <s v="NO_"/>
    <m/>
    <m/>
    <m/>
    <n v="3275"/>
    <n v="50"/>
    <m/>
    <n v="6"/>
    <m/>
    <m/>
    <x v="1"/>
    <m/>
  </r>
  <r>
    <n v="1031187897"/>
    <x v="0"/>
    <d v="2022-03-03T00:00:00"/>
    <d v="2022-04-07T00:00:00"/>
    <e v="#REF!"/>
    <e v="#N/A"/>
    <m/>
    <x v="0"/>
    <x v="3"/>
    <x v="3"/>
    <s v="RC"/>
    <s v="JEFFERSON"/>
    <s v="ALEXANDER"/>
    <s v="ECHEVERRY"/>
    <s v="CHARRY"/>
    <s v="JEFFERSON ALEXANDER ECHEVERRY CHARRY"/>
    <d v="2021-08-10T00:00:00"/>
    <x v="3"/>
    <n v="4"/>
    <n v="16"/>
    <s v="1 AÑOS 4 MESES 1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47"/>
    <s v="POLIGONO 195 EL REFUGIO LA ESMERALDA"/>
    <s v="ZONA SIN LEGALIZAR"/>
    <n v="3044480791"/>
    <n v="3243450571"/>
    <x v="0"/>
    <s v="NO SE AUTORECONOCE EN NINGUNO DE LOS ANTERIORES"/>
    <x v="0"/>
    <x v="6"/>
    <s v="NO_"/>
    <s v="NO_"/>
    <s v="a. Pertenecientes a hogares con puntaje SISBEN"/>
    <m/>
    <s v="MADRE"/>
    <s v="TI"/>
    <n v="1021673252"/>
    <s v="SHIRLY"/>
    <s v="VALENTINA"/>
    <s v="ECHEVERRY"/>
    <s v="NUÑEZ"/>
    <d v="2006-12-15T00:00:00"/>
    <s v="COLOMBIA"/>
    <s v="CUNDINAMARCA"/>
    <s v="BOGOTÁ"/>
    <s v="CC"/>
    <n v="1024468068"/>
    <s v="ROYER"/>
    <m/>
    <s v="CHARRY"/>
    <s v="MURCIA"/>
    <d v="2004-11-04T00:00:00"/>
    <n v="18"/>
    <s v="COLOMBIA"/>
    <s v="BOGOTÁ"/>
    <m/>
    <s v="TI"/>
    <n v="1021673252"/>
    <s v="SHIRLY"/>
    <s v="VALENTINA"/>
    <s v="ECHEVERRY"/>
    <s v="NIÑEZ"/>
    <d v="2006-12-15T00:00:00"/>
    <n v="16"/>
    <s v="COLOMBIA"/>
    <s v="BOGOTÁ"/>
    <m/>
    <x v="1"/>
    <x v="1"/>
    <x v="0"/>
    <d v="2022-03-04T00:00:00"/>
    <s v="SI_"/>
    <x v="1"/>
    <m/>
    <m/>
    <m/>
    <m/>
    <m/>
    <m/>
    <m/>
    <s v="NO_"/>
    <n v="6"/>
    <n v="6"/>
    <m/>
    <x v="1"/>
    <m/>
  </r>
  <r>
    <n v="1121975670"/>
    <x v="1"/>
    <d v="2022-03-03T00:00:00"/>
    <m/>
    <m/>
    <m/>
    <m/>
    <x v="0"/>
    <x v="5"/>
    <x v="5"/>
    <s v="RC"/>
    <s v="NICOL"/>
    <s v="CAMILA"/>
    <s v="MANAIDEKE"/>
    <s v="KUETGAJE"/>
    <s v="NICOL CAMILA MANAIDEKE KUETGAJE"/>
    <d v="2020-11-18T00:00:00"/>
    <x v="2"/>
    <n v="1"/>
    <n v="8"/>
    <s v="2 AÑOS 1 MESES 8 DIAS "/>
    <x v="2"/>
    <x v="0"/>
    <x v="0"/>
    <s v="META"/>
    <s v="VILLAVICENCIO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47"/>
    <s v="POLIGONO 195 EL REFUGIO LA ESMERALDA"/>
    <s v="ZONA SIN LEGALIZAR"/>
    <n v="3227671531"/>
    <m/>
    <x v="0"/>
    <s v="INDIGENA"/>
    <x v="1"/>
    <x v="1"/>
    <s v="NO_"/>
    <s v="NO_"/>
    <s v="g. Pertenecientes a comunidades étnicas (indígenas, comunidades negras, afrocolombianas, Palenqueros, Raizales y Rrom), que demanden el servicio."/>
    <m/>
    <m/>
    <s v="CC"/>
    <m/>
    <m/>
    <m/>
    <m/>
    <m/>
    <m/>
    <s v="COLOMBIA"/>
    <m/>
    <m/>
    <m/>
    <m/>
    <m/>
    <m/>
    <m/>
    <m/>
    <m/>
    <s v=""/>
    <s v="COLOMBIA"/>
    <m/>
    <m/>
    <s v="CC"/>
    <m/>
    <m/>
    <m/>
    <m/>
    <m/>
    <m/>
    <s v=""/>
    <s v="COLOMBIA"/>
    <s v="AMAZONAS"/>
    <m/>
    <x v="1"/>
    <x v="1"/>
    <x v="0"/>
    <d v="2022-03-04T00:00:00"/>
    <s v="NO_"/>
    <x v="2"/>
    <n v="1"/>
    <s v="NO_"/>
    <m/>
    <m/>
    <n v="38"/>
    <n v="2750"/>
    <n v="51"/>
    <s v="NO_"/>
    <n v="6"/>
    <n v="6"/>
    <m/>
    <x v="1"/>
    <m/>
  </r>
  <r>
    <n v="1140938208"/>
    <x v="1"/>
    <d v="2022-03-03T00:00:00"/>
    <m/>
    <m/>
    <m/>
    <m/>
    <x v="0"/>
    <x v="5"/>
    <x v="5"/>
    <s v="RC"/>
    <s v="MAICOL"/>
    <s v="ANDRES"/>
    <s v="SUAREZ"/>
    <s v="MUCUTUY"/>
    <s v="MAICOL ANDRES SUAREZ MUCUTUY"/>
    <d v="2020-04-01T00:00:00"/>
    <x v="2"/>
    <n v="8"/>
    <n v="25"/>
    <s v="2 AÑOS 8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47"/>
    <s v="POLIGONO 195 EL REFUGIO LA ESMERALDA"/>
    <s v="ZONA SIN LEGALIZAR"/>
    <n v="3005160405"/>
    <m/>
    <x v="0"/>
    <s v="INDIGENA"/>
    <x v="1"/>
    <x v="1"/>
    <s v="NO_"/>
    <s v="NO_"/>
    <s v="g. Pertenecientes a comunidades étnicas (indígenas, comunidades negras, afrocolombianas, Palenqueros, Raizales y Rrom), que demanden el servicio."/>
    <m/>
    <s v="MADRE"/>
    <s v="CC"/>
    <n v="1121220264"/>
    <s v="YANCY "/>
    <s v="YOHANA"/>
    <s v="MUCUTUY"/>
    <s v="CRUZ"/>
    <d v="1998-06-04T00:00:00"/>
    <s v="COLOMBIA"/>
    <s v="AMAZONAS"/>
    <s v="PUERTO "/>
    <m/>
    <m/>
    <m/>
    <m/>
    <m/>
    <m/>
    <m/>
    <s v=""/>
    <m/>
    <m/>
    <m/>
    <s v="CC"/>
    <n v="1121220264"/>
    <s v="YANCY"/>
    <s v="YOHANA"/>
    <s v="MUCUTUY"/>
    <s v="CRUZ"/>
    <d v="1998-07-04T00:00:00"/>
    <n v="24"/>
    <s v="COLOMBIA"/>
    <s v="BOGOTÁ"/>
    <m/>
    <x v="1"/>
    <x v="1"/>
    <x v="0"/>
    <d v="2022-03-04T00:00:00"/>
    <s v="NO_"/>
    <x v="1"/>
    <n v="1"/>
    <s v="NO_"/>
    <m/>
    <m/>
    <m/>
    <m/>
    <m/>
    <m/>
    <m/>
    <m/>
    <m/>
    <x v="1"/>
    <m/>
  </r>
  <r>
    <n v="1015487586"/>
    <x v="0"/>
    <d v="2022-04-26T00:00:00"/>
    <d v="2022-10-03T00:00:00"/>
    <e v="#REF!"/>
    <e v="#N/A"/>
    <s v="VIRREY"/>
    <x v="0"/>
    <x v="3"/>
    <x v="3"/>
    <s v="RC"/>
    <s v="FRANCO"/>
    <s v="MARTIN"/>
    <s v="VARGAS"/>
    <s v="SALCEDO"/>
    <s v="FRANCO MARTIN VARGAS SALCEDO"/>
    <d v="2021-07-11T00:00:00"/>
    <x v="3"/>
    <n v="5"/>
    <n v="15"/>
    <s v="1 AÑOS 5 MESES 1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"/>
    <m/>
    <s v="CRA 5 B #110 41 SUR"/>
    <n v="3209533475"/>
    <m/>
    <x v="0"/>
    <s v="NO SE AUTORECONOCE EN NINGUNO DE LOS ANTERIORES"/>
    <x v="1"/>
    <x v="1"/>
    <s v="NO_"/>
    <s v="NO_"/>
    <s v="o. Ingresos iguales o inferiores a 1.5 Smlv"/>
    <m/>
    <s v="MADRE"/>
    <s v="CC"/>
    <n v="1000335392"/>
    <s v="MAYDE"/>
    <s v="ZARINA"/>
    <s v="SALCEDO"/>
    <s v="GOMEZ"/>
    <d v="2002-10-27T00:00:00"/>
    <s v="COLOMBIA"/>
    <s v="BOGOTÁ"/>
    <s v="BOGOTÁ"/>
    <s v="CC"/>
    <n v="1023022088"/>
    <s v="CRISTIAN"/>
    <s v="ERNESTO"/>
    <s v="VARGAS"/>
    <s v="GUEVARA"/>
    <d v="1997-07-01T00:00:00"/>
    <n v="25"/>
    <s v="COLOMBIA"/>
    <s v="BOGOTÁ"/>
    <s v="BOGOTÁ"/>
    <s v="CC"/>
    <n v="1000335392"/>
    <s v="MAYDE"/>
    <s v="ZARINA"/>
    <s v="SALCEDO"/>
    <s v="GOMEZ"/>
    <d v="2002-10-27T00:00:00"/>
    <n v="20"/>
    <s v="COLOMBIA"/>
    <s v="BOGOTÁ"/>
    <s v="BOGOTÁ"/>
    <x v="1"/>
    <x v="1"/>
    <x v="0"/>
    <m/>
    <s v="SI_"/>
    <x v="0"/>
    <m/>
    <m/>
    <m/>
    <m/>
    <n v="36"/>
    <n v="2400"/>
    <n v="46"/>
    <m/>
    <n v="3"/>
    <n v="3"/>
    <m/>
    <x v="1"/>
    <m/>
  </r>
  <r>
    <n v="1033829763"/>
    <x v="0"/>
    <d v="2022-03-03T00:00:00"/>
    <d v="2022-04-25T00:00:00"/>
    <e v="#REF!"/>
    <e v="#N/A"/>
    <m/>
    <x v="0"/>
    <x v="3"/>
    <x v="3"/>
    <s v="RC"/>
    <s v="DANNA "/>
    <s v="NICOL"/>
    <s v="AMAYA"/>
    <s v="HERNANDEZ"/>
    <s v="DANNA  NICOL AMAYA HERNANDEZ"/>
    <d v="2021-04-15T00:00:00"/>
    <x v="3"/>
    <n v="8"/>
    <n v="11"/>
    <s v="1 AÑOS 8 MESES 1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50"/>
    <s v="VEREDA "/>
    <s v="CLL116ASUR 7B ESTE 14"/>
    <n v="3138759192"/>
    <m/>
    <x v="0"/>
    <s v="NO SE AUTORECONOCE EN NINGUNO DE LOS ANTERIORES"/>
    <x v="0"/>
    <x v="10"/>
    <s v="NO_"/>
    <s v="NO_"/>
    <s v="a. Pertenecientes a hogares con puntaje SISBEN"/>
    <m/>
    <s v="MADRE"/>
    <s v="CC"/>
    <n v="1022969005"/>
    <s v="CINDI"/>
    <s v="CAROLINA"/>
    <s v="HERNANDEZ"/>
    <s v="SANTOS"/>
    <d v="1991-06-01T00:00:00"/>
    <s v="COLOMBIA"/>
    <s v="CUNDINAMARCA"/>
    <m/>
    <m/>
    <m/>
    <m/>
    <m/>
    <m/>
    <m/>
    <m/>
    <s v=""/>
    <m/>
    <m/>
    <m/>
    <s v="CC"/>
    <n v="1022969005"/>
    <s v="CINDI"/>
    <s v="CAROLINA"/>
    <s v="HERNANDEZ"/>
    <s v="SANTOS"/>
    <d v="1991-06-01T00:00:00"/>
    <n v="31"/>
    <s v="COLOMBIA"/>
    <s v="BOGOTÁ"/>
    <s v="BOGOTÁ"/>
    <x v="0"/>
    <x v="6"/>
    <x v="0"/>
    <d v="2022-03-04T00:00:00"/>
    <s v="SI_"/>
    <x v="2"/>
    <n v="1"/>
    <s v="NO_"/>
    <m/>
    <m/>
    <n v="39"/>
    <n v="3240"/>
    <n v="51"/>
    <s v="NO_"/>
    <n v="6"/>
    <n v="6"/>
    <n v="39"/>
    <x v="1"/>
    <m/>
  </r>
  <r>
    <n v="1243858312"/>
    <x v="0"/>
    <d v="2022-03-03T00:00:00"/>
    <d v="2022-03-03T00:00:00"/>
    <e v="#REF!"/>
    <e v="#N/A"/>
    <s v="CONCURRENCIA/NUNCA SE VINCULO"/>
    <x v="0"/>
    <x v="2"/>
    <x v="2"/>
    <s v="RC"/>
    <s v="DUVAN"/>
    <m/>
    <s v="SUAREZ"/>
    <s v="NAIDAINAMA"/>
    <s v="DUVAN  SUAREZ NAIDAINAMA"/>
    <d v="2020-02-13T00:00:00"/>
    <x v="2"/>
    <n v="10"/>
    <n v="13"/>
    <s v="2 AÑOS 10 MESES 1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0"/>
    <s v="POLIGONO 195 EL REFUGIO LA ESMERALDA"/>
    <s v="ZONA SIN LEGALIZAR"/>
    <n v="3204455826"/>
    <m/>
    <x v="0"/>
    <s v="NO SE AUTORECONOCE EN NINGUNO DE LOS ANTERIORES"/>
    <x v="0"/>
    <x v="6"/>
    <s v="NO_"/>
    <s v="NO_"/>
    <s v="a. Pertenecientes a hogares con puntaje SISBEN"/>
    <m/>
    <s v="MADRE"/>
    <s v="CC"/>
    <n v="1073510687"/>
    <s v="KELLY"/>
    <s v="ESPERANZA"/>
    <s v="NAIDAINAMA"/>
    <s v="REY"/>
    <d v="1991-07-23T00:00:00"/>
    <s v="COLOMBIA"/>
    <s v="AMAZONAS"/>
    <m/>
    <s v="CC"/>
    <n v="1033714961"/>
    <s v="JORGE"/>
    <s v="LEONARDO"/>
    <s v="SUAREZ"/>
    <s v="CASTAÑO"/>
    <d v="1989-09-23T00:00:00"/>
    <n v="33"/>
    <s v="COLOMBIA"/>
    <s v="BOGOTÁ"/>
    <s v="BOGOTÁ"/>
    <m/>
    <n v="1073510687"/>
    <s v="KELLY"/>
    <s v="ESPERANZA"/>
    <s v="NAIDAINAMA"/>
    <s v="REY"/>
    <d v="1991-07-23T00:00:00"/>
    <n v="31"/>
    <s v="COLOMBIA"/>
    <s v="AMAZONAS"/>
    <s v="PUERTO "/>
    <x v="1"/>
    <x v="1"/>
    <x v="0"/>
    <d v="2022-03-04T00:00:00"/>
    <s v="SI_"/>
    <x v="2"/>
    <n v="1"/>
    <s v="NO_"/>
    <m/>
    <m/>
    <n v="41"/>
    <n v="2225"/>
    <n v="55"/>
    <s v="NO_"/>
    <n v="6"/>
    <n v="6"/>
    <m/>
    <x v="1"/>
    <m/>
  </r>
  <r>
    <n v="1023045131"/>
    <x v="1"/>
    <d v="2022-03-03T00:00:00"/>
    <m/>
    <m/>
    <m/>
    <m/>
    <x v="0"/>
    <x v="5"/>
    <x v="5"/>
    <s v="RC"/>
    <s v="DANNA "/>
    <s v="VALENTINA"/>
    <s v="MEJIA"/>
    <s v="CUBIDES"/>
    <s v="DANNA  VALENTINA MEJIA CUBIDES"/>
    <d v="2020-01-16T00:00:00"/>
    <x v="2"/>
    <n v="11"/>
    <n v="10"/>
    <s v="2 AÑOS 11 MESES 1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L 107SUR #6GESTE19"/>
    <n v="3103040554"/>
    <m/>
    <x v="0"/>
    <s v="NO SE AUTORECONOCE EN NINGUNO DE LOS ANTERIORES"/>
    <x v="0"/>
    <x v="6"/>
    <s v="NO_"/>
    <s v="NO_"/>
    <s v="a. Pertenecientes a hogares con puntaje SISBEN"/>
    <m/>
    <s v="MADRE"/>
    <s v="CC"/>
    <n v="1000990"/>
    <s v="DIANA"/>
    <s v="SOFIA"/>
    <s v="MEJIA"/>
    <s v="CUBIDES"/>
    <d v="2003-03-03T00:00:00"/>
    <s v="COLOMBIA"/>
    <m/>
    <m/>
    <m/>
    <m/>
    <m/>
    <m/>
    <m/>
    <m/>
    <m/>
    <s v=""/>
    <m/>
    <m/>
    <m/>
    <s v="CC"/>
    <n v="1000989499"/>
    <s v="TATIANA"/>
    <m/>
    <s v="MEJIA"/>
    <s v="CUBIDES"/>
    <m/>
    <s v=""/>
    <m/>
    <m/>
    <m/>
    <x v="1"/>
    <x v="9"/>
    <x v="0"/>
    <d v="2022-03-04T00:00:00"/>
    <s v="SI_"/>
    <x v="2"/>
    <n v="1"/>
    <s v="SI_"/>
    <m/>
    <m/>
    <m/>
    <m/>
    <m/>
    <m/>
    <m/>
    <m/>
    <m/>
    <x v="1"/>
    <m/>
  </r>
  <r>
    <n v="1140938471"/>
    <x v="0"/>
    <d v="2022-04-20T00:00:00"/>
    <d v="2022-10-18T00:00:00"/>
    <m/>
    <e v="#N/A"/>
    <m/>
    <x v="0"/>
    <x v="5"/>
    <x v="5"/>
    <s v="RC"/>
    <s v="SARA"/>
    <s v="VICTORIA"/>
    <s v="MARINEZ"/>
    <s v="CAICEDO"/>
    <s v="SARA VICTORIA MARINEZ CAICEDO"/>
    <d v="2020-06-09T00:00:00"/>
    <x v="2"/>
    <n v="6"/>
    <n v="17"/>
    <s v="2 AÑOS 6 MESES 1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n v="3026099814"/>
    <n v="3165143754"/>
    <x v="0"/>
    <s v="NO SE AUTORECONOCE EN NINGUNO DE LOS ANTERIORES"/>
    <x v="1"/>
    <x v="1"/>
    <s v="NO_"/>
    <s v="NO_"/>
    <s v="o. Ingresos iguales o inferiores a 1.5 Smlv"/>
    <m/>
    <s v="MADRE"/>
    <s v="CC"/>
    <n v="1023033043"/>
    <s v="ANGIE"/>
    <s v="MELSSA"/>
    <s v="CAICEDO"/>
    <s v="MARTINEZ"/>
    <d v="1999-01-22T00:00:00"/>
    <s v="COLOMBIA"/>
    <s v="BOGOTÁ"/>
    <s v="BOGOTÁ"/>
    <s v="CC"/>
    <n v="1023025659"/>
    <s v="LUIS"/>
    <s v="FERNANDO"/>
    <s v="MARTINEZ"/>
    <s v="NIÑO"/>
    <d v="1997-07-23T00:00:00"/>
    <n v="25"/>
    <s v="COLOMBIA"/>
    <s v="BOGOTÁ"/>
    <s v="BOGOTÁ"/>
    <s v="CC"/>
    <n v="1023033043"/>
    <s v="ANGIE"/>
    <s v="MELISSA"/>
    <s v="CAICEDO"/>
    <s v="MARTINEZ"/>
    <d v="1999-01-22T00:00:00"/>
    <n v="23"/>
    <s v="COLOMBIA"/>
    <s v="BOGOTÁ"/>
    <s v="BOGOTÁ"/>
    <x v="0"/>
    <x v="0"/>
    <x v="0"/>
    <d v="2022-04-08T00:00:00"/>
    <s v="SI_"/>
    <x v="2"/>
    <m/>
    <s v="NO_"/>
    <m/>
    <m/>
    <m/>
    <n v="3220"/>
    <m/>
    <s v="SI_"/>
    <n v="6"/>
    <m/>
    <m/>
    <x v="1"/>
    <m/>
  </r>
  <r>
    <n v="1023045752"/>
    <x v="0"/>
    <d v="2022-03-03T00:00:00"/>
    <d v="2022-04-20T00:00:00"/>
    <e v="#REF!"/>
    <e v="#N/A"/>
    <m/>
    <x v="0"/>
    <x v="2"/>
    <x v="2"/>
    <s v="RC"/>
    <s v="SAHILY"/>
    <s v="GABRIELA "/>
    <s v="SABOGAL"/>
    <s v="MARTINEZ"/>
    <s v="SAHILY GABRIELA  SABOGAL MARTINEZ"/>
    <d v="2020-10-21T00:00:00"/>
    <x v="2"/>
    <n v="2"/>
    <n v="5"/>
    <s v="2 AÑOS 2 MESES 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BIS ESTE #102 SUR 28"/>
    <n v="3137588497"/>
    <m/>
    <x v="0"/>
    <s v="NO SE AUTORECONOCE EN NINGUNO DE LOS ANTERIORES"/>
    <x v="0"/>
    <x v="10"/>
    <s v="NO_"/>
    <s v="NO_"/>
    <s v="a. Pertenecientes a hogares con puntaje SISBEN"/>
    <m/>
    <s v="MADRE"/>
    <s v="CC"/>
    <n v="1000686497"/>
    <s v="DANNA"/>
    <s v="VALENTINA"/>
    <s v="MARTINEZ"/>
    <s v="RONCANCIO"/>
    <d v="1980-09-21T00:00:00"/>
    <s v="COLOMBIA"/>
    <s v="BOGOTÁ"/>
    <s v="BOGOTÁ"/>
    <m/>
    <m/>
    <m/>
    <m/>
    <m/>
    <m/>
    <m/>
    <s v=""/>
    <m/>
    <m/>
    <m/>
    <s v="CC"/>
    <n v="1000686497"/>
    <s v="DANNA"/>
    <s v="VALENTINA"/>
    <s v="MARTINEZ"/>
    <s v="RONCANCIO"/>
    <d v="1980-09-21T00:00:00"/>
    <n v="42"/>
    <s v="COLOMBIA"/>
    <s v="BOGOTÁ"/>
    <s v="BOGOTÁ"/>
    <x v="1"/>
    <x v="1"/>
    <x v="0"/>
    <d v="2022-03-04T00:00:00"/>
    <s v="NO_"/>
    <x v="2"/>
    <n v="2"/>
    <s v="SI_"/>
    <s v="NO"/>
    <m/>
    <m/>
    <n v="2550"/>
    <n v="49"/>
    <s v="NO_"/>
    <n v="6"/>
    <n v="6"/>
    <m/>
    <x v="1"/>
    <m/>
  </r>
  <r>
    <n v="1243859055"/>
    <x v="0"/>
    <d v="2022-03-03T00:00:00"/>
    <d v="2022-07-25T00:00:00"/>
    <e v="#REF!"/>
    <e v="#N/A"/>
    <m/>
    <x v="0"/>
    <x v="5"/>
    <x v="5"/>
    <s v="RC"/>
    <s v="EMILY"/>
    <s v="MARIANA"/>
    <s v="ROCHA"/>
    <s v="ROZO"/>
    <s v="EMILY MARIANA ROCHA ROZO"/>
    <d v="2020-06-21T00:00:00"/>
    <x v="2"/>
    <n v="6"/>
    <n v="5"/>
    <s v="2 AÑOS 6 MESES 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8 ESTE #108 SUR 29"/>
    <n v="3124866145"/>
    <m/>
    <x v="0"/>
    <s v="NO SE AUTORECONOCE EN NINGUNO DE LOS ANTERIORES"/>
    <x v="0"/>
    <x v="4"/>
    <s v="NO_"/>
    <s v="NO_"/>
    <s v="a. Pertenecientes a hogares con puntaje SISBEN"/>
    <m/>
    <s v="MADRE"/>
    <s v="CC"/>
    <n v="1000929565"/>
    <s v="MICHEL"/>
    <s v="DAYANNA"/>
    <s v="ROZO"/>
    <s v="GARRIDO"/>
    <d v="1997-06-27T00:00:00"/>
    <s v="COLOMBIA"/>
    <s v="BOGOTÁ"/>
    <s v="BOGOTÁ"/>
    <s v="CC"/>
    <n v="1023027959"/>
    <s v="JORDAN"/>
    <s v="CAMILO"/>
    <s v="ROCHA"/>
    <s v="RUBIO"/>
    <d v="1998-05-28T00:00:00"/>
    <n v="24"/>
    <s v="COLOMBIA"/>
    <s v="BOGOTÁ"/>
    <s v="BOGOTÁ"/>
    <s v="CC"/>
    <n v="1000929565"/>
    <s v="MICHEL"/>
    <s v="DAYANNA"/>
    <s v="ROZO"/>
    <s v="GARRIDO"/>
    <d v="1997-06-27T00:00:00"/>
    <n v="25"/>
    <s v="COLOMBIA"/>
    <s v="BOGOTÁ"/>
    <s v="BOGOTÁ"/>
    <x v="1"/>
    <x v="1"/>
    <x v="1"/>
    <d v="2022-03-04T00:00:00"/>
    <s v="NO_"/>
    <x v="1"/>
    <m/>
    <s v="SI_"/>
    <s v="NO"/>
    <m/>
    <n v="35"/>
    <n v="2210"/>
    <n v="45"/>
    <s v="NO_"/>
    <n v="6"/>
    <n v="6"/>
    <m/>
    <x v="1"/>
    <m/>
  </r>
  <r>
    <n v="1023045915"/>
    <x v="1"/>
    <d v="2022-03-03T00:00:00"/>
    <m/>
    <m/>
    <m/>
    <m/>
    <x v="0"/>
    <x v="5"/>
    <x v="5"/>
    <s v="RC"/>
    <s v="DEYSI"/>
    <s v="DALLANA"/>
    <s v="MIRAÑA"/>
    <s v="CRUZ"/>
    <s v="DEYSI DALLANA MIRAÑA CRUZ"/>
    <d v="2020-11-09T00:00:00"/>
    <x v="2"/>
    <n v="1"/>
    <n v="17"/>
    <s v="2 AÑOS 1 MESES 1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47"/>
    <m/>
    <s v="ZONA SIN LEGALIZAR"/>
    <n v="3132411332"/>
    <m/>
    <x v="0"/>
    <s v="INDIGENA"/>
    <x v="0"/>
    <x v="17"/>
    <s v="NO_"/>
    <s v="NO_"/>
    <s v="a. Pertenecientes a hogares con puntaje SISBEN"/>
    <m/>
    <s v="MADRE"/>
    <s v="CC"/>
    <n v="26641347"/>
    <s v="GLADIS"/>
    <m/>
    <s v="CRUZ"/>
    <s v="NAIDAINAMA"/>
    <d v="1978-03-30T00:00:00"/>
    <s v="COLOMBIA"/>
    <s v="AMAZONAS"/>
    <s v="PUERTO "/>
    <m/>
    <m/>
    <m/>
    <m/>
    <m/>
    <m/>
    <m/>
    <s v=""/>
    <m/>
    <m/>
    <m/>
    <s v="CC"/>
    <n v="26641347"/>
    <s v="GLADIS"/>
    <m/>
    <s v="CRUZ"/>
    <s v="NAIDAINAMA"/>
    <d v="1978-03-30T00:00:00"/>
    <n v="44"/>
    <s v="COLOMBIA"/>
    <s v="AMAZONAS"/>
    <s v="PUERTO "/>
    <x v="0"/>
    <x v="2"/>
    <x v="0"/>
    <d v="2022-03-04T00:00:00"/>
    <s v="SI_"/>
    <x v="2"/>
    <n v="2"/>
    <s v="NO_"/>
    <s v="NO"/>
    <m/>
    <m/>
    <n v="3200"/>
    <n v="52"/>
    <s v="NO_"/>
    <n v="6"/>
    <n v="6"/>
    <m/>
    <x v="1"/>
    <m/>
  </r>
  <r>
    <n v="1023046429"/>
    <x v="1"/>
    <d v="2022-03-03T00:00:00"/>
    <m/>
    <m/>
    <m/>
    <m/>
    <x v="0"/>
    <x v="5"/>
    <x v="5"/>
    <s v="RC"/>
    <s v="JEREMY"/>
    <s v="JOSE"/>
    <s v="GARZON"/>
    <s v="GARCIA"/>
    <s v="JEREMY JOSE GARZON GARCIA"/>
    <d v="2021-02-25T00:00:00"/>
    <x v="3"/>
    <n v="10"/>
    <n v="1"/>
    <s v="1 AÑOS 10 MESES 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L 105 SUR 7 H ESTE 43"/>
    <n v="3183045646"/>
    <m/>
    <x v="0"/>
    <s v="NO SE AUTORECONOCE EN NINGUNO DE LOS ANTERIORES"/>
    <x v="1"/>
    <x v="1"/>
    <s v="NO_"/>
    <s v="NO_"/>
    <s v="o. Ingresos iguales o inferiores a 1.5 Smlv"/>
    <m/>
    <s v="MADRE"/>
    <s v="CC"/>
    <n v="1023878352"/>
    <s v="YENIT"/>
    <s v="CAROLINA"/>
    <s v="GARCIA"/>
    <s v="ALMANZA"/>
    <d v="1988-06-18T00:00:00"/>
    <s v="COLOMBIA"/>
    <s v="BOGOTÁ"/>
    <s v="BOGOTÁ"/>
    <s v="CC"/>
    <n v="80741786"/>
    <s v="JOSE"/>
    <s v="GERMAN"/>
    <s v="GARZON"/>
    <s v="ALDANA"/>
    <d v="1982-09-26T00:00:00"/>
    <n v="40"/>
    <s v="COLOMBIA"/>
    <s v="BOGOTÁ"/>
    <s v="BOGOTÁ"/>
    <s v="CC"/>
    <n v="1023878352"/>
    <s v="YENIT"/>
    <s v="CAROLINA"/>
    <s v="GARCIA"/>
    <s v="ALMANZA"/>
    <d v="1988-06-18T00:00:00"/>
    <n v="34"/>
    <s v="COLOMBIA"/>
    <s v="BOGOTÁ"/>
    <s v="BOGOTÁ"/>
    <x v="0"/>
    <x v="6"/>
    <x v="0"/>
    <d v="2022-03-04T00:00:00"/>
    <s v="SI_"/>
    <x v="1"/>
    <m/>
    <s v="SI_"/>
    <s v="NO"/>
    <m/>
    <n v="40"/>
    <n v="2505"/>
    <n v="45"/>
    <s v="SI_"/>
    <n v="6"/>
    <m/>
    <m/>
    <x v="1"/>
    <m/>
  </r>
  <r>
    <n v="1010252069"/>
    <x v="1"/>
    <d v="2022-03-03T00:00:00"/>
    <m/>
    <m/>
    <m/>
    <m/>
    <x v="0"/>
    <x v="4"/>
    <x v="4"/>
    <s v="RC"/>
    <s v="GREYSI"/>
    <s v="CELESTE "/>
    <s v="GUGUMA"/>
    <s v="LOPEZ"/>
    <s v="GREYSI CELESTE  GUGUMA LOPEZ"/>
    <d v="2021-06-08T00:00:00"/>
    <x v="3"/>
    <n v="6"/>
    <n v="18"/>
    <s v="1 AÑOS 6 MESES 1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47"/>
    <s v="POLIGONO 195 EL REFUGIO LA ESMERALDA"/>
    <s v="ZONA SIN LEGALIZAR"/>
    <n v="3154171024"/>
    <m/>
    <x v="0"/>
    <s v="INDIGENA"/>
    <x v="1"/>
    <x v="1"/>
    <s v="NO_"/>
    <s v="NO_"/>
    <s v="o. Ingresos iguales o inferiores a 1.5 Smlv"/>
    <m/>
    <s v="MADRE"/>
    <s v="CC"/>
    <n v="1117552683"/>
    <s v="SALLI"/>
    <s v="DIANA"/>
    <s v="LOPEZ"/>
    <s v="KIRIYATEQUE"/>
    <d v="1999-02-17T00:00:00"/>
    <s v="COLOMBIA"/>
    <s v="AMAZONAS"/>
    <s v="PUERTO "/>
    <m/>
    <m/>
    <m/>
    <m/>
    <m/>
    <m/>
    <m/>
    <s v=""/>
    <m/>
    <m/>
    <m/>
    <s v="CC"/>
    <n v="1117552683"/>
    <s v="SALLI"/>
    <s v="DIANA"/>
    <s v="LOPEZ"/>
    <s v="KIRIYATEQUE"/>
    <d v="1999-02-17T00:00:00"/>
    <n v="23"/>
    <s v="COLOMBIA"/>
    <s v="AMAZONAS"/>
    <s v="PUERTO "/>
    <x v="1"/>
    <x v="18"/>
    <x v="0"/>
    <d v="2022-03-04T00:00:00"/>
    <s v="SI_"/>
    <x v="2"/>
    <n v="2"/>
    <s v="NO_"/>
    <s v="NO"/>
    <m/>
    <n v="39"/>
    <n v="2720"/>
    <n v="49"/>
    <s v="SI_"/>
    <n v="6"/>
    <m/>
    <m/>
    <x v="1"/>
    <m/>
  </r>
  <r>
    <n v="1023047059"/>
    <x v="0"/>
    <d v="2022-03-03T00:00:00"/>
    <d v="2022-10-03T00:00:00"/>
    <e v="#REF!"/>
    <e v="#N/A"/>
    <s v="TRIANGULO"/>
    <x v="0"/>
    <x v="3"/>
    <x v="3"/>
    <s v="RC"/>
    <s v="MATHIAS"/>
    <s v="ALEJANDRO "/>
    <s v="NUÑEZ"/>
    <s v="SECO"/>
    <s v="MATHIAS ALEJANDRO  NUÑEZ SECO"/>
    <d v="2021-08-05T00:00:00"/>
    <x v="3"/>
    <n v="4"/>
    <n v="21"/>
    <s v="1 AÑOS 4 MESES 2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KR 7 ESTE #89 C SUR-57"/>
    <n v="3165797904"/>
    <n v="3103272908"/>
    <x v="0"/>
    <s v="NO SE AUTORECONOCE EN NINGUNO DE LOS ANTERIORES"/>
    <x v="1"/>
    <x v="1"/>
    <s v="NO_"/>
    <s v="NO_"/>
    <s v="o. Ingresos iguales o inferiores a 1.5 Smlv"/>
    <m/>
    <s v="MADRE"/>
    <s v="SIN DOCUMENTO"/>
    <m/>
    <s v="NELSYTH "/>
    <s v="ROSANNY"/>
    <s v="SECO"/>
    <s v="CASTILLO"/>
    <d v="1994-07-08T00:00:00"/>
    <s v="VENEZUELA"/>
    <s v="EXTERIOR"/>
    <s v="EXTERIOR"/>
    <s v="SIN DOCUMENTO"/>
    <m/>
    <s v="YOHANGEL"/>
    <s v="ANTONIO"/>
    <s v="NUÑEZ"/>
    <s v="CASTELLANO"/>
    <d v="1992-10-08T00:00:00"/>
    <n v="30"/>
    <s v="VENEZUELA"/>
    <s v="EXTERIOR"/>
    <s v="EXTERIOR"/>
    <s v="SIN DOCUMENTO"/>
    <m/>
    <s v="NELSYTH "/>
    <s v="ROSANNY"/>
    <s v="SECO"/>
    <s v="CASTILLO"/>
    <d v="1994-07-08T00:00:00"/>
    <n v="28"/>
    <s v="VENEZUELA"/>
    <s v="EXTERIOR"/>
    <s v="EXTERIOR"/>
    <x v="1"/>
    <x v="1"/>
    <x v="0"/>
    <d v="2022-03-04T00:00:00"/>
    <s v="SI_"/>
    <x v="2"/>
    <n v="3"/>
    <s v="NO_"/>
    <s v="NO"/>
    <m/>
    <m/>
    <n v="2470"/>
    <n v="45"/>
    <s v="SI_"/>
    <n v="6"/>
    <m/>
    <m/>
    <x v="1"/>
    <m/>
  </r>
  <r>
    <n v="1243858756"/>
    <x v="1"/>
    <d v="2022-03-03T00:00:00"/>
    <m/>
    <m/>
    <m/>
    <m/>
    <x v="0"/>
    <x v="5"/>
    <x v="5"/>
    <s v="RC"/>
    <s v="SAMARA "/>
    <m/>
    <s v="QUESADA"/>
    <s v="ESQUIVEL"/>
    <s v="SAMARA   QUESADA ESQUIVEL"/>
    <d v="2020-06-10T00:00:00"/>
    <x v="2"/>
    <n v="6"/>
    <n v="16"/>
    <s v="2 AÑOS 6 MESES 1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KR 7 B ESTE #97 F SUR 52"/>
    <n v="3222246726"/>
    <m/>
    <x v="0"/>
    <s v="NO SE AUTORECONOCE EN NINGUNO DE LOS ANTERIORES"/>
    <x v="0"/>
    <x v="12"/>
    <s v="NO_"/>
    <s v="NO_"/>
    <s v="a. Pertenecientes a hogares con puntaje SISBEN"/>
    <m/>
    <s v="HERMANO(A)"/>
    <s v="CC"/>
    <n v="28867562"/>
    <s v="MARIA "/>
    <s v="BETTY"/>
    <s v="ESQUIVEL"/>
    <s v="TIQUE"/>
    <d v="1968-12-26T00:00:00"/>
    <s v="COLOMBIA"/>
    <s v="TOLIMA"/>
    <s v="ORTEGA"/>
    <m/>
    <m/>
    <m/>
    <m/>
    <m/>
    <m/>
    <m/>
    <s v=""/>
    <m/>
    <m/>
    <m/>
    <s v="CC"/>
    <n v="1023881250"/>
    <s v="LEIDY"/>
    <s v="VIVIANA"/>
    <s v="ESQUIVEL"/>
    <s v="TIQUE"/>
    <d v="1988-12-26T00:00:00"/>
    <n v="34"/>
    <s v="COLOMBIA"/>
    <s v="TOLIMA"/>
    <s v="ORTEGA"/>
    <x v="0"/>
    <x v="5"/>
    <x v="0"/>
    <d v="2022-03-04T00:00:00"/>
    <s v="SI_"/>
    <x v="1"/>
    <m/>
    <s v="NO_"/>
    <s v="NO"/>
    <m/>
    <n v="40"/>
    <n v="3180"/>
    <n v="50"/>
    <s v="SI_"/>
    <n v="6"/>
    <n v="6"/>
    <m/>
    <x v="1"/>
    <m/>
  </r>
  <r>
    <n v="1243859520"/>
    <x v="1"/>
    <d v="2022-03-03T00:00:00"/>
    <m/>
    <m/>
    <m/>
    <m/>
    <x v="0"/>
    <x v="5"/>
    <x v="5"/>
    <s v="RC"/>
    <s v="SAID"/>
    <s v="JOZEF"/>
    <s v="RODRIGUEZ"/>
    <s v="CORONADO"/>
    <s v="SAID JOZEF RODRIGUEZ CORONADO"/>
    <d v="2020-09-08T00:00:00"/>
    <x v="2"/>
    <n v="3"/>
    <n v="18"/>
    <s v="2 AÑOS 3 MESES 1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L 113 SUR 7H ESTE 21 01"/>
    <n v="3023668525"/>
    <m/>
    <x v="0"/>
    <s v="NO SE AUTORECONOCE EN NINGUNO DE LOS ANTERIORES"/>
    <x v="0"/>
    <x v="12"/>
    <s v="NO_"/>
    <s v="NO_"/>
    <s v="a. Pertenecientes a hogares con puntaje SISBEN"/>
    <m/>
    <s v="MADRE"/>
    <s v="CC"/>
    <n v="1124069095"/>
    <s v="YERLIS"/>
    <s v="YANETH"/>
    <s v="CORONADO"/>
    <s v="DIAZ"/>
    <d v="1997-04-12T00:00:00"/>
    <s v="COLOMBIA"/>
    <s v="LA_GUAJIRA"/>
    <s v="MAICAO"/>
    <s v="CC"/>
    <n v="1077446262"/>
    <s v="RUDYS"/>
    <s v="ALEYBER"/>
    <s v="RODRIGUEZ"/>
    <s v="MOLLA"/>
    <d v="1993-01-04T00:00:00"/>
    <n v="29"/>
    <s v="COLOMBIA"/>
    <s v="CHOCÓ"/>
    <s v="QUIBDÓ"/>
    <s v="CC"/>
    <n v="1124069095"/>
    <s v="YERLIS"/>
    <s v="YANETH"/>
    <s v="CORONADO"/>
    <s v="DIAZ"/>
    <d v="1997-04-12T00:00:00"/>
    <n v="25"/>
    <s v="COLOMBIA"/>
    <s v="LA_GUAJIRA"/>
    <s v="MAICAO"/>
    <x v="1"/>
    <x v="3"/>
    <x v="1"/>
    <d v="2022-03-04T00:00:00"/>
    <s v="NO_"/>
    <x v="1"/>
    <m/>
    <s v="NO_"/>
    <m/>
    <m/>
    <n v="37"/>
    <n v="2450"/>
    <n v="48"/>
    <s v="NO_"/>
    <n v="6"/>
    <n v="6"/>
    <m/>
    <x v="1"/>
    <m/>
  </r>
  <r>
    <n v="1010250157"/>
    <x v="1"/>
    <d v="2022-11-01T00:00:00"/>
    <m/>
    <s v="THIAGO DAVID CLAVIJO RUEDA "/>
    <m/>
    <m/>
    <x v="0"/>
    <x v="3"/>
    <x v="3"/>
    <s v="RC"/>
    <s v="ASHLY"/>
    <s v="NOHAMI"/>
    <s v="VELEZ"/>
    <s v="VELANDIA"/>
    <s v="ASHLY NOHAMI VELEZ VELANDIA"/>
    <d v="2019-05-01T00:00:00"/>
    <x v="10"/>
    <n v="7"/>
    <n v="25"/>
    <s v="3 AÑOS 7 MESES 2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LA ESMERALDA"/>
    <n v="3133074336"/>
    <m/>
    <x v="0"/>
    <s v="NO SE AUTORECONOCE EN NINGUNO DE LOS ANTERIORES"/>
    <x v="0"/>
    <x v="19"/>
    <s v="NO_"/>
    <s v="NO_"/>
    <s v="a. Pertenecientes a hogares con puntaje SISBEN"/>
    <m/>
    <s v="ABUELO(A)"/>
    <s v="CC"/>
    <n v="53129420"/>
    <s v="YURY"/>
    <s v="ANDREA"/>
    <s v="VELANDIA "/>
    <s v="IPIA"/>
    <d v="1984-10-23T00:00:00"/>
    <s v="COLOMBIA"/>
    <s v="BOGOTÁ"/>
    <s v="BOGOTÁ"/>
    <m/>
    <m/>
    <m/>
    <m/>
    <m/>
    <m/>
    <m/>
    <s v=""/>
    <m/>
    <m/>
    <m/>
    <s v="CC"/>
    <n v="1007297548"/>
    <s v="SARA"/>
    <s v="DANIELA"/>
    <s v="VELANDIA"/>
    <s v="IPIA"/>
    <d v="2000-03-28T00:00:00"/>
    <n v="22"/>
    <s v="COLOMBIA"/>
    <s v="BOGOTÁ"/>
    <s v="BOGOTÁ"/>
    <x v="1"/>
    <x v="9"/>
    <x v="0"/>
    <m/>
    <s v="SI_"/>
    <x v="2"/>
    <n v="1"/>
    <s v="NO_"/>
    <m/>
    <m/>
    <m/>
    <m/>
    <m/>
    <m/>
    <n v="6"/>
    <n v="1"/>
    <m/>
    <x v="3"/>
    <m/>
  </r>
  <r>
    <n v="1243860435"/>
    <x v="0"/>
    <d v="2022-03-03T00:00:00"/>
    <d v="2022-10-26T00:00:00"/>
    <m/>
    <e v="#N/A"/>
    <m/>
    <x v="0"/>
    <x v="3"/>
    <x v="3"/>
    <s v="RC"/>
    <s v="THIAGO"/>
    <s v="DAVID"/>
    <s v="CLAVIJO"/>
    <s v="RUEDA"/>
    <s v="THIAGO DAVID CLAVIJO RUEDA"/>
    <d v="2021-07-11T00:00:00"/>
    <x v="3"/>
    <n v="5"/>
    <n v="15"/>
    <s v="1 AÑOS 5 MESES 1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L 104 SUR 7 D ESTE 36"/>
    <n v="3115428686"/>
    <m/>
    <x v="0"/>
    <s v="NO SE AUTORECONOCE EN NINGUNO DE LOS ANTERIORES"/>
    <x v="1"/>
    <x v="1"/>
    <s v="NO_"/>
    <s v="NO_"/>
    <s v="o. Ingresos iguales o inferiores a 1.5 Smlv"/>
    <m/>
    <s v="MADRE"/>
    <s v="CC"/>
    <n v="1022977986"/>
    <s v="YENI"/>
    <m/>
    <s v="RUEDA"/>
    <s v="BUSTOS"/>
    <d v="1992-07-02T00:00:00"/>
    <s v="COLOMBIA"/>
    <s v="BOGOTÁ"/>
    <s v="BOGOTÁ"/>
    <s v="CC"/>
    <n v="1022964365"/>
    <s v="GEORGE"/>
    <s v="ALBERTO"/>
    <s v="CLAVIJO"/>
    <s v="ARANGO"/>
    <d v="1990-11-18T00:00:00"/>
    <n v="32"/>
    <s v="COLOMBIA"/>
    <s v="BOGOTÁ"/>
    <s v="BOGOTÁ"/>
    <s v="CC"/>
    <n v="1022977986"/>
    <s v="YENI"/>
    <m/>
    <s v="RUEDA"/>
    <s v="BUSTOS"/>
    <d v="1992-07-02T00:00:00"/>
    <n v="30"/>
    <s v="COLOMBIA"/>
    <s v="BOGOTÁ"/>
    <s v="BOGOTÁ"/>
    <x v="0"/>
    <x v="0"/>
    <x v="0"/>
    <d v="2022-03-04T00:00:00"/>
    <s v="SI_"/>
    <x v="2"/>
    <n v="2"/>
    <s v="NO_"/>
    <m/>
    <m/>
    <m/>
    <n v="1340"/>
    <n v="39"/>
    <s v="NO_"/>
    <n v="6"/>
    <n v="6"/>
    <m/>
    <x v="1"/>
    <m/>
  </r>
  <r>
    <n v="1023047348"/>
    <x v="1"/>
    <d v="2022-03-03T00:00:00"/>
    <m/>
    <m/>
    <m/>
    <m/>
    <x v="0"/>
    <x v="5"/>
    <x v="5"/>
    <s v="RC"/>
    <s v="NAHOMY"/>
    <s v="VALERIA"/>
    <s v="CASTRO"/>
    <s v="TORBELLO"/>
    <s v="NAHOMY VALERIA CASTRO TORBELLO"/>
    <d v="2021-09-17T00:00:00"/>
    <x v="3"/>
    <n v="3"/>
    <n v="9"/>
    <s v="1 AÑOS 3 MESES 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KR 8 D ESTE #108 SUR 55"/>
    <n v="3204117353"/>
    <n v="3227106697"/>
    <x v="0"/>
    <s v="NO SE AUTORECONOCE EN NINGUNO DE LOS ANTERIORES"/>
    <x v="1"/>
    <x v="1"/>
    <s v="NO_"/>
    <s v="NO_"/>
    <s v="o. Ingresos iguales o inferiores a 1.5 Smlv"/>
    <m/>
    <s v="TIO(A)"/>
    <s v="SIN DOCUMENTO"/>
    <m/>
    <s v="YESSIMAR"/>
    <s v="DAYANA"/>
    <s v="TORBELLO"/>
    <s v="TORBELLO"/>
    <d v="1994-11-03T00:00:00"/>
    <s v="VENEZUELA"/>
    <s v="EXTERIOR"/>
    <s v="EXTERIOR"/>
    <s v="SIN DOCUMENTO"/>
    <m/>
    <s v="GERARD"/>
    <s v="FERNANDO"/>
    <s v="CASTRO"/>
    <s v="BRITO"/>
    <d v="1996-07-07T00:00:00"/>
    <n v="26"/>
    <s v="VENEZUELA"/>
    <s v="EXTERIOR"/>
    <s v="EXTERIOR"/>
    <s v="SIN DOCUMENTO"/>
    <m/>
    <s v="YESSIMAR"/>
    <s v="DAYANA"/>
    <s v="TORBELLO"/>
    <s v="TORBELLO"/>
    <d v="1994-11-03T00:00:00"/>
    <n v="28"/>
    <s v="VENEZUELA"/>
    <s v="EXTERIOR"/>
    <s v="EXTERIOR"/>
    <x v="1"/>
    <x v="1"/>
    <x v="0"/>
    <d v="2022-03-04T00:00:00"/>
    <s v="SI_"/>
    <x v="1"/>
    <m/>
    <s v="NO_"/>
    <m/>
    <m/>
    <m/>
    <n v="2820"/>
    <n v="49"/>
    <s v="SI_"/>
    <m/>
    <m/>
    <m/>
    <x v="1"/>
    <m/>
  </r>
  <r>
    <n v="1245079481"/>
    <x v="0"/>
    <d v="2022-03-03T00:00:00"/>
    <d v="2022-09-20T00:00:00"/>
    <e v="#REF!"/>
    <e v="#N/A"/>
    <m/>
    <x v="0"/>
    <x v="3"/>
    <x v="3"/>
    <s v="RC"/>
    <s v="ASHLLY"/>
    <s v="AZUMY"/>
    <s v="AYALA"/>
    <s v="MATAPI"/>
    <s v="ASHLLY AZUMY AYALA MATAPI"/>
    <d v="2021-12-18T00:00:00"/>
    <x v="3"/>
    <n v="0"/>
    <n v="8"/>
    <s v="1 AÑOS 0 MESES 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47"/>
    <s v="POLIGONO 195 EL REFUGIO LA ESMERALDA"/>
    <s v="LA INVASIÓN"/>
    <n v="3232105058"/>
    <m/>
    <x v="0"/>
    <s v="NO SE AUTORECONOCE EN NINGUNO DE LOS ANTERIORES"/>
    <x v="1"/>
    <x v="1"/>
    <s v="NO_"/>
    <s v="NO_"/>
    <s v="o. Ingresos iguales o inferiores a 1.5 Smlv"/>
    <m/>
    <s v="ABUELO(A)"/>
    <s v="CC"/>
    <n v="1121216291"/>
    <s v="MAGDALENA"/>
    <m/>
    <s v="MATAPI"/>
    <s v="YUCUNA"/>
    <d v="1986-05-26T00:00:00"/>
    <s v="COLOMBIA"/>
    <s v="AMAZONAS"/>
    <s v="PUERTO "/>
    <m/>
    <m/>
    <m/>
    <m/>
    <m/>
    <m/>
    <m/>
    <s v=""/>
    <m/>
    <m/>
    <m/>
    <s v="CC"/>
    <n v="1123180273"/>
    <s v="YOHANA"/>
    <m/>
    <s v="AYALA"/>
    <s v="MATAPI"/>
    <d v="2003-04-13T00:00:00"/>
    <n v="19"/>
    <s v="COLOMBIA"/>
    <s v="AMAZONAS"/>
    <s v="PUERTO "/>
    <x v="0"/>
    <x v="6"/>
    <x v="0"/>
    <d v="2022-03-04T00:00:00"/>
    <s v="SI_"/>
    <x v="1"/>
    <m/>
    <s v="NO_"/>
    <m/>
    <m/>
    <n v="39"/>
    <n v="3930"/>
    <n v="52"/>
    <s v="SI_"/>
    <m/>
    <m/>
    <m/>
    <x v="1"/>
    <m/>
  </r>
  <r>
    <n v="1021696891"/>
    <x v="0"/>
    <d v="2022-08-12T00:00:00"/>
    <d v="2022-09-01T00:00:00"/>
    <e v="#REF!"/>
    <e v="#N/A"/>
    <s v="canta rana"/>
    <x v="0"/>
    <x v="2"/>
    <x v="2"/>
    <s v="RC"/>
    <s v="MIA"/>
    <s v="ISABELLA"/>
    <s v="RONDON"/>
    <s v="LARA"/>
    <s v="MIA ISABELLA RONDON LARA"/>
    <d v="2022-01-11T00:00:00"/>
    <x v="1"/>
    <n v="11"/>
    <n v="15"/>
    <s v="0 AÑOS 11 MESES 1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n v="3212558902"/>
    <m/>
    <x v="2"/>
    <s v="NO SE AUTORECONOCE EN NINGUNO DE LOS ANTERIORES"/>
    <x v="1"/>
    <x v="1"/>
    <s v="NO_"/>
    <s v="NO_"/>
    <m/>
    <m/>
    <s v="MADRE"/>
    <s v="CC"/>
    <n v="1002681506"/>
    <s v="DORIS "/>
    <s v="VIVIANA"/>
    <s v="LARA"/>
    <s v="ALFONSO"/>
    <d v="2002-01-26T00:00:00"/>
    <s v="COLOMBIA"/>
    <s v="BOYACÁ"/>
    <m/>
    <s v="CC"/>
    <n v="1056572782"/>
    <s v="BUENAVENTURA"/>
    <m/>
    <s v="RONDON"/>
    <s v="GALVIS"/>
    <d v="1989-10-12T00:00:00"/>
    <n v="33"/>
    <s v="COLOMBIA"/>
    <s v="BOYACÁ"/>
    <m/>
    <s v="CC"/>
    <n v="1001345377"/>
    <s v="NATALIA"/>
    <s v="ROCIO "/>
    <s v="SANTOS "/>
    <s v="NICO"/>
    <d v="2002-01-26T00:00:00"/>
    <n v="20"/>
    <s v="COLOMBIA"/>
    <s v="BOGOTÁ"/>
    <s v="BOGOTÁ"/>
    <x v="1"/>
    <x v="2"/>
    <x v="0"/>
    <d v="2022-08-12T00:00:00"/>
    <s v="SI_"/>
    <x v="2"/>
    <m/>
    <m/>
    <m/>
    <m/>
    <m/>
    <m/>
    <m/>
    <m/>
    <m/>
    <m/>
    <m/>
    <x v="2"/>
    <m/>
  </r>
  <r>
    <n v="1023047785"/>
    <x v="0"/>
    <d v="2022-03-03T00:00:00"/>
    <d v="2022-08-12T00:00:00"/>
    <e v="#REF!"/>
    <e v="#N/A"/>
    <m/>
    <x v="0"/>
    <x v="2"/>
    <x v="2"/>
    <s v="RC"/>
    <s v="ANTHONY"/>
    <s v="DAMIAN"/>
    <s v="ORTIZ"/>
    <s v="SANTOS"/>
    <s v="ANTHONY DAMIAN ORTIZ SANTOS"/>
    <d v="2022-01-24T00:00:00"/>
    <x v="1"/>
    <n v="11"/>
    <n v="2"/>
    <s v="0 AÑOS 11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KR 8D ESTE 112 33 SUR"/>
    <n v="3142231635"/>
    <n v="3138416325"/>
    <x v="0"/>
    <s v="NO SE AUTORECONOCE EN NINGUNO DE LOS ANTERIORES"/>
    <x v="0"/>
    <x v="1"/>
    <s v="NO_"/>
    <s v="NO_"/>
    <s v="o. Ingresos iguales o inferiores a 1.5 Smlv"/>
    <m/>
    <s v="MADRE"/>
    <s v="CC"/>
    <n v="1001345377"/>
    <s v="NATALIA"/>
    <s v="ROCIO "/>
    <s v="SANTOS "/>
    <s v="NICO"/>
    <d v="2001-08-11T00:00:00"/>
    <s v="COLOMBIA"/>
    <s v="BOGOTÁ"/>
    <s v="BOGOTÁ"/>
    <s v="CC"/>
    <n v="80118766"/>
    <s v="FREDY"/>
    <s v="ALONSO"/>
    <s v="ORTIZ"/>
    <s v="GARCIA"/>
    <d v="1983-01-07T00:00:00"/>
    <n v="39"/>
    <s v="COLOMBIA"/>
    <s v="BOGOTÁ"/>
    <s v="BOGOTÁ"/>
    <s v="CC"/>
    <n v="1001345377"/>
    <s v="NATALIA"/>
    <s v="ROCIO "/>
    <s v="SANTOS "/>
    <s v="NICO"/>
    <d v="2001-08-11T00:00:00"/>
    <n v="21"/>
    <s v="COLOMBIA"/>
    <s v="BOGOTÁ"/>
    <s v="BOGOTÁ"/>
    <x v="1"/>
    <x v="1"/>
    <x v="0"/>
    <d v="2022-03-04T00:00:00"/>
    <s v="SI_"/>
    <x v="1"/>
    <m/>
    <s v="NO_"/>
    <m/>
    <m/>
    <n v="39"/>
    <n v="3118"/>
    <n v="51"/>
    <s v="SI_"/>
    <m/>
    <m/>
    <m/>
    <x v="2"/>
    <m/>
  </r>
  <r>
    <n v="1026310144"/>
    <x v="1"/>
    <d v="2022-03-03T00:00:00"/>
    <m/>
    <m/>
    <m/>
    <m/>
    <x v="0"/>
    <x v="3"/>
    <x v="3"/>
    <s v="RC"/>
    <s v="ABRICBANDAUU"/>
    <s v="JHONDIRVINSON"/>
    <s v="ACACHUCURA"/>
    <s v="ASTROIDA"/>
    <s v="ABRICBANDAUU JHONDIRVINSON ACACHUCURA ASTROIDA"/>
    <d v="2021-09-25T00:00:00"/>
    <x v="3"/>
    <n v="3"/>
    <n v="1"/>
    <s v="1 AÑOS 3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7"/>
    <s v="POLIGONO 195 EL REFUGIO LA ESMERALDA"/>
    <s v="LA INVASIÓN"/>
    <n v="3143338011"/>
    <m/>
    <x v="0"/>
    <s v="NO SE AUTORECONOCE EN NINGUNO DE LOS ANTERIORES"/>
    <x v="1"/>
    <x v="1"/>
    <s v="NO_"/>
    <s v="NO_"/>
    <s v="o. Ingresos iguales o inferiores a 1.5 Smlv"/>
    <m/>
    <s v="MADRE"/>
    <s v="CC"/>
    <n v="1007325623"/>
    <s v="AXDAVIA"/>
    <s v="PRISCILA"/>
    <s v="ASTROINA"/>
    <s v="ABAIBIRA"/>
    <d v="1994-02-05T00:00:00"/>
    <s v="COLOMBIA"/>
    <s v="SANTANDER"/>
    <s v="TEORAMA"/>
    <m/>
    <m/>
    <m/>
    <m/>
    <m/>
    <m/>
    <m/>
    <s v=""/>
    <m/>
    <m/>
    <m/>
    <s v="CC"/>
    <n v="1007325623"/>
    <s v="axdavia"/>
    <s v="priscila "/>
    <s v="ASTROINA"/>
    <s v="ABAIBIRA"/>
    <d v="1994-02-05T00:00:00"/>
    <n v="28"/>
    <s v="COLOMBIA"/>
    <s v="SANTANDER"/>
    <s v="TEORAMA"/>
    <x v="1"/>
    <x v="1"/>
    <x v="0"/>
    <d v="2022-03-04T00:00:00"/>
    <s v="SI_"/>
    <x v="1"/>
    <m/>
    <s v="NO_"/>
    <m/>
    <m/>
    <n v="40"/>
    <n v="3070"/>
    <n v="51"/>
    <s v="SI_"/>
    <m/>
    <m/>
    <m/>
    <x v="1"/>
    <m/>
  </r>
  <r>
    <n v="1010252443"/>
    <x v="0"/>
    <d v="2022-05-02T00:00:00"/>
    <d v="2022-07-25T00:00:00"/>
    <e v="#REF!"/>
    <e v="#N/A"/>
    <m/>
    <x v="0"/>
    <x v="2"/>
    <x v="2"/>
    <s v="RC"/>
    <s v="HELEIN"/>
    <s v="NAYARA ÑUAICO"/>
    <s v="FIAGAMA"/>
    <s v="TOYQUEMY"/>
    <s v="HELEIN NAYARA ÑUAICO FIAGAMA TOYQUEMY"/>
    <d v="2022-01-17T00:00:00"/>
    <x v="1"/>
    <n v="11"/>
    <n v="9"/>
    <s v="0 AÑOS 11 MESES 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1"/>
    <m/>
    <s v="INVASION "/>
    <n v="3124426119"/>
    <m/>
    <x v="0"/>
    <s v="INDIGENA"/>
    <x v="1"/>
    <x v="1"/>
    <s v="NO_"/>
    <s v="NO_"/>
    <s v="o. Ingresos iguales o inferiores a 1.5 Smlv"/>
    <m/>
    <s v="ABUELO(A)"/>
    <s v="CC"/>
    <n v="40145152"/>
    <s v="MARIA"/>
    <s v="LILIA"/>
    <s v="HERNANDEZ"/>
    <s v="HERNANDEZ"/>
    <d v="1961-10-06T00:00:00"/>
    <s v="COLOMBIA"/>
    <s v="AMAZONAS"/>
    <s v="PUERTO "/>
    <s v="CC"/>
    <n v="1003565321"/>
    <s v="JHON"/>
    <s v="ANDERSON"/>
    <s v="FIAGAMA"/>
    <s v="HERNANDEZ"/>
    <d v="2001-02-04T00:00:00"/>
    <n v="21"/>
    <s v="COLOMBIA"/>
    <s v="CUNDINAMARCA"/>
    <s v="COTA"/>
    <s v="CC"/>
    <n v="1121220063"/>
    <s v="CARIDAD"/>
    <m/>
    <s v="TOYQUEMUY"/>
    <s v="PAAD"/>
    <d v="1998-06-16T00:00:00"/>
    <n v="24"/>
    <s v="COLOMBIA"/>
    <s v="AMAZONAS"/>
    <s v="LA CHORRERA"/>
    <x v="1"/>
    <x v="1"/>
    <x v="0"/>
    <d v="2022-05-02T00:00:00"/>
    <s v="SI_"/>
    <x v="1"/>
    <m/>
    <s v="NO_"/>
    <m/>
    <m/>
    <n v="40"/>
    <n v="3085"/>
    <n v="50"/>
    <s v="SI_"/>
    <m/>
    <m/>
    <m/>
    <x v="2"/>
    <m/>
  </r>
  <r>
    <n v="1023047678"/>
    <x v="0"/>
    <d v="2022-03-03T00:00:00"/>
    <d v="2022-05-02T00:00:00"/>
    <e v="#REF!"/>
    <e v="#N/A"/>
    <m/>
    <x v="0"/>
    <x v="6"/>
    <x v="6"/>
    <s v="RC"/>
    <s v="ASLY"/>
    <s v="SARAI"/>
    <s v="SOSA"/>
    <s v="MEJIA"/>
    <s v="ASLY SARAI SOSA MEJIA"/>
    <d v="2021-12-10T00:00:00"/>
    <x v="3"/>
    <n v="0"/>
    <n v="16"/>
    <s v="1 AÑOS 0 MESES 1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L 107 SUR #6 G ESTE 19"/>
    <n v="3143161624"/>
    <m/>
    <x v="0"/>
    <s v="NO SE AUTORECONOCE EN NINGUNO DE LOS ANTERIORES"/>
    <x v="0"/>
    <x v="6"/>
    <s v="NO_"/>
    <s v="NO_"/>
    <s v="o. Ingresos iguales o inferiores a 1.5 Smlv"/>
    <m/>
    <s v="MADRE"/>
    <s v="CC"/>
    <n v="1000990928"/>
    <s v="DIANA"/>
    <s v="SOFIA"/>
    <s v="MEJIA "/>
    <s v="CUBIDES"/>
    <d v="2003-03-03T00:00:00"/>
    <s v="COLOMBIA"/>
    <s v="BOGOTÁ"/>
    <s v="BOGOTÁ"/>
    <s v="CC"/>
    <n v="10499518"/>
    <s v="CARLOS"/>
    <s v="ANDRES"/>
    <s v="PAZU"/>
    <m/>
    <d v="1983-11-14T00:00:00"/>
    <n v="39"/>
    <s v="COLOMBIA"/>
    <s v="CAUCA"/>
    <s v=" DE QUILICHAO"/>
    <m/>
    <m/>
    <m/>
    <m/>
    <m/>
    <m/>
    <m/>
    <s v=""/>
    <m/>
    <m/>
    <m/>
    <x v="1"/>
    <x v="2"/>
    <x v="0"/>
    <d v="2022-03-04T00:00:00"/>
    <s v="SI_"/>
    <x v="2"/>
    <n v="2"/>
    <s v="NO_"/>
    <m/>
    <m/>
    <m/>
    <n v="3295"/>
    <n v="53"/>
    <s v="SI_"/>
    <m/>
    <m/>
    <m/>
    <x v="1"/>
    <m/>
  </r>
  <r>
    <n v="1023045732"/>
    <x v="0"/>
    <d v="2022-03-03T00:00:00"/>
    <d v="2022-03-22T00:00:00"/>
    <e v="#REF!"/>
    <e v="#N/A"/>
    <m/>
    <x v="0"/>
    <x v="2"/>
    <x v="2"/>
    <s v="RC"/>
    <s v="ANNY"/>
    <s v="DAYAN"/>
    <s v="OSPINA"/>
    <s v="CALDERON"/>
    <s v="ANNY DAYAN OSPINA CALDERON"/>
    <d v="2020-10-04T00:00:00"/>
    <x v="2"/>
    <n v="2"/>
    <n v="22"/>
    <s v="2 AÑOS 2 MESES 2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L 105 SUR 7 B ESTE 22"/>
    <n v="3214886391"/>
    <m/>
    <x v="0"/>
    <s v="NO SE AUTORECONOCE EN NINGUNO DE LOS ANTERIORES"/>
    <x v="1"/>
    <x v="1"/>
    <s v="NO_"/>
    <s v="NO_"/>
    <s v="o. Ingresos iguales o inferiores a 1.5 Smlv"/>
    <m/>
    <s v="MADRE"/>
    <s v="CC"/>
    <n v="1010225668"/>
    <s v="LEIDY "/>
    <s v="TATIANA"/>
    <s v="CALDERON "/>
    <s v="ROJAS"/>
    <d v="1995-12-04T00:00:00"/>
    <s v="COLOMBIA"/>
    <s v="BOGOTÁ"/>
    <s v="BOGOTÁ"/>
    <m/>
    <m/>
    <m/>
    <m/>
    <m/>
    <m/>
    <m/>
    <s v=""/>
    <m/>
    <m/>
    <m/>
    <s v="CC"/>
    <n v="1010225668"/>
    <s v="LEIDY "/>
    <s v="TATIANA"/>
    <s v="CALDERON "/>
    <s v="ROJAS"/>
    <d v="1995-12-04T00:00:00"/>
    <n v="27"/>
    <s v="COLOMBIA"/>
    <s v="BOGOTÁ"/>
    <s v="BOGOTÁ"/>
    <x v="0"/>
    <x v="0"/>
    <x v="0"/>
    <d v="2022-03-04T00:00:00"/>
    <s v="SI_"/>
    <x v="2"/>
    <n v="1"/>
    <m/>
    <m/>
    <m/>
    <n v="40"/>
    <n v="3110"/>
    <n v="50"/>
    <s v="NO_"/>
    <n v="6"/>
    <n v="6"/>
    <m/>
    <x v="1"/>
    <m/>
  </r>
  <r>
    <n v="1150190022"/>
    <x v="1"/>
    <d v="2022-03-03T00:00:00"/>
    <m/>
    <m/>
    <m/>
    <m/>
    <x v="0"/>
    <x v="5"/>
    <x v="5"/>
    <s v="RC"/>
    <s v="ANTHONELLA"/>
    <m/>
    <s v="MARTINEZ"/>
    <s v="LOPEZ"/>
    <s v="ANTHONELLA  MARTINEZ LOPEZ"/>
    <d v="2021-01-04T00:00:00"/>
    <x v="3"/>
    <n v="11"/>
    <n v="22"/>
    <s v="1 AÑOS 11 MESES 2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m/>
    <m/>
    <x v="0"/>
    <s v="NO SE AUTORECONOCE EN NINGUNO DE LOS ANTERIORES"/>
    <x v="0"/>
    <x v="4"/>
    <s v="NO_"/>
    <s v="NO_"/>
    <s v="a. Pertenecientes a hogares con puntaje SISBEN"/>
    <m/>
    <s v="MADRE"/>
    <s v="CC"/>
    <n v="1023030981"/>
    <s v="KAREN"/>
    <s v="DAILLANA"/>
    <s v="LOPEZ"/>
    <s v="TRIANA"/>
    <d v="1998-10-16T00:00:00"/>
    <s v="COLOMBIA"/>
    <s v="BOGOTÁ"/>
    <s v="BOGOTÁ"/>
    <s v="CC"/>
    <n v="1031129114"/>
    <s v="CARLOS"/>
    <s v="EDUARDO"/>
    <s v="MARTINEZ"/>
    <s v="MADROÑERO"/>
    <d v="1990-08-26T00:00:00"/>
    <n v="32"/>
    <s v="COLOMBIA"/>
    <s v="BOGOTÁ"/>
    <s v="BOGOTÁ"/>
    <s v="CC"/>
    <n v="1023030981"/>
    <s v="KAREN"/>
    <s v="DAILLANA"/>
    <s v="LOPEZ"/>
    <s v="TRIANA"/>
    <d v="1998-10-16T00:00:00"/>
    <n v="24"/>
    <s v="COLOMBIA"/>
    <s v="BOGOTÁ"/>
    <s v="BOGOTÁ"/>
    <x v="0"/>
    <x v="3"/>
    <x v="0"/>
    <d v="2022-03-04T00:00:00"/>
    <s v="SI_"/>
    <x v="2"/>
    <n v="2"/>
    <s v="NO_"/>
    <m/>
    <m/>
    <n v="39"/>
    <n v="3120"/>
    <n v="50"/>
    <s v="SI_"/>
    <m/>
    <m/>
    <n v="18"/>
    <x v="1"/>
    <m/>
  </r>
  <r>
    <n v="1048945559"/>
    <x v="1"/>
    <d v="2022-11-15T00:00:00"/>
    <m/>
    <m/>
    <m/>
    <m/>
    <x v="0"/>
    <x v="5"/>
    <x v="5"/>
    <s v="RC"/>
    <s v="ELIANNYS"/>
    <s v="ALEJANDRA"/>
    <s v="CARREÑO"/>
    <s v="MOSQUERA"/>
    <s v="ELIANNYS ALEJANDRA CARREÑO MOSQUERA"/>
    <d v="2021-08-14T00:00:00"/>
    <x v="3"/>
    <n v="4"/>
    <n v="12"/>
    <s v="1 AÑOS 4 MESES 1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08E107SUR"/>
    <n v="3209981860"/>
    <n v="318680092"/>
    <x v="0"/>
    <s v="NO SE AUTORECONOCE EN NINGUNO DE LOS ANTERIORES"/>
    <x v="0"/>
    <x v="19"/>
    <s v="NO_"/>
    <s v="NO_"/>
    <s v="o. Ingresos iguales o inferiores a 1.5 Smlv"/>
    <m/>
    <s v="ABUELO(A)"/>
    <s v="SIN DOCUMENTO"/>
    <m/>
    <s v="ELIZABETH"/>
    <s v="COROMOTO"/>
    <s v="DIAZ"/>
    <s v="BAPTISTA"/>
    <d v="1984-04-02T00:00:00"/>
    <s v="VENEZUELA"/>
    <s v="EXTERIOR"/>
    <s v="EXTERIOR"/>
    <m/>
    <m/>
    <m/>
    <m/>
    <m/>
    <m/>
    <m/>
    <s v=""/>
    <m/>
    <m/>
    <m/>
    <s v="SIN DOCUMENTO"/>
    <m/>
    <s v="JHONETSIS"/>
    <s v="ELIMAR"/>
    <s v="MOSQUERA"/>
    <s v="DIAZ"/>
    <d v="2004-11-08T00:00:00"/>
    <n v="18"/>
    <s v="VENEZUELA"/>
    <s v="EXTERIOR"/>
    <s v="EXTERIOR"/>
    <x v="1"/>
    <x v="1"/>
    <x v="0"/>
    <d v="2022-11-16T00:00:00"/>
    <s v="NO_"/>
    <x v="2"/>
    <m/>
    <s v="SI_"/>
    <m/>
    <m/>
    <m/>
    <n v="2385"/>
    <m/>
    <m/>
    <n v="6"/>
    <n v="6"/>
    <n v="35"/>
    <x v="1"/>
    <m/>
  </r>
  <r>
    <n v="1023046408"/>
    <x v="0"/>
    <d v="2022-03-03T00:00:00"/>
    <d v="2022-11-15T00:00:00"/>
    <m/>
    <m/>
    <m/>
    <x v="0"/>
    <x v="5"/>
    <x v="5"/>
    <s v="RC"/>
    <s v="JUAN"/>
    <s v="ESTEBAN"/>
    <s v="SERRANO"/>
    <s v="RESTREPO"/>
    <s v="JUAN ESTEBAN SERRANO RESTREPO"/>
    <d v="2021-01-07T00:00:00"/>
    <x v="3"/>
    <n v="11"/>
    <n v="19"/>
    <s v="1 AÑOS 11 MESES 1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7"/>
    <s v="POLIGONO 195 EL REFUGIO LA ESMERALDA"/>
    <s v="LA INVASIÓN"/>
    <n v="3155323384"/>
    <m/>
    <x v="0"/>
    <s v="NO SE AUTORECONOCE EN NINGUNO DE LOS ANTERIORES"/>
    <x v="0"/>
    <x v="11"/>
    <s v="NO_"/>
    <s v="NO_"/>
    <s v="a. Pertenecientes a hogares con puntaje SISBEN"/>
    <m/>
    <s v="MADRE"/>
    <s v="CC"/>
    <n v="1123059485"/>
    <s v="DENNIS"/>
    <m/>
    <s v="SERRANO"/>
    <s v="RESTREPO"/>
    <d v="1995-10-22T00:00:00"/>
    <s v="COLOMBIA"/>
    <s v="META"/>
    <s v="EL CASTILLO"/>
    <m/>
    <m/>
    <m/>
    <m/>
    <m/>
    <m/>
    <m/>
    <s v=""/>
    <m/>
    <m/>
    <m/>
    <s v="CC"/>
    <n v="1123059485"/>
    <s v="DENNIS"/>
    <m/>
    <s v="SERRANO"/>
    <s v="RESTREPO"/>
    <d v="1995-10-22T00:00:00"/>
    <n v="27"/>
    <s v="COLOMBIA"/>
    <s v="META"/>
    <s v="EL CASTILLO"/>
    <x v="1"/>
    <x v="1"/>
    <x v="0"/>
    <d v="2022-03-04T00:00:00"/>
    <s v="SI_"/>
    <x v="1"/>
    <m/>
    <s v="NO_"/>
    <m/>
    <m/>
    <n v="39"/>
    <n v="2625"/>
    <n v="49"/>
    <s v="NO_"/>
    <m/>
    <m/>
    <m/>
    <x v="1"/>
    <m/>
  </r>
  <r>
    <n v="1023046982"/>
    <x v="0"/>
    <d v="2022-03-03T00:00:00"/>
    <d v="2022-06-13T00:00:00"/>
    <e v="#REF!"/>
    <e v="#N/A"/>
    <m/>
    <x v="0"/>
    <x v="3"/>
    <x v="3"/>
    <s v="RC"/>
    <s v="DANIEL "/>
    <s v="MATIAS"/>
    <s v="MEJIA "/>
    <s v="CUBIDES"/>
    <s v="DANIEL  MATIAS MEJIA  CUBIDES"/>
    <d v="2021-07-24T00:00:00"/>
    <x v="3"/>
    <n v="5"/>
    <n v="2"/>
    <s v="1 AÑOS 5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L 107 SUR#6 G ESTE 19"/>
    <n v="3103040554"/>
    <m/>
    <x v="0"/>
    <s v="NO SE AUTORECONOCE EN NINGUNO DE LOS ANTERIORES"/>
    <x v="0"/>
    <x v="6"/>
    <s v="NO_"/>
    <s v="NO_"/>
    <s v="a. Pertenecientes a hogares con puntaje SISBEN"/>
    <m/>
    <s v="MADRE"/>
    <s v="CC"/>
    <n v="1000990928"/>
    <s v="DIANA"/>
    <s v="SOFIA"/>
    <s v="MEJIA "/>
    <s v="CUBIDES"/>
    <d v="2003-03-03T00:00:00"/>
    <s v="COLOMBIA"/>
    <s v="BOGOTÁ"/>
    <s v="BOGOTÁ"/>
    <m/>
    <m/>
    <m/>
    <m/>
    <m/>
    <m/>
    <m/>
    <s v=""/>
    <m/>
    <m/>
    <m/>
    <s v="CC"/>
    <n v="1000989433"/>
    <s v="TATIANA"/>
    <m/>
    <s v="MEJIA"/>
    <s v="CUBIDES"/>
    <m/>
    <s v=""/>
    <s v="COLOMBIA"/>
    <s v="BOGOTÁ"/>
    <s v="BOGOTÁ"/>
    <x v="1"/>
    <x v="6"/>
    <x v="0"/>
    <d v="2022-03-04T00:00:00"/>
    <s v="SI_"/>
    <x v="1"/>
    <m/>
    <s v="NO_"/>
    <m/>
    <m/>
    <n v="40"/>
    <n v="3195"/>
    <n v="50"/>
    <s v="SI_"/>
    <n v="6"/>
    <m/>
    <m/>
    <x v="1"/>
    <m/>
  </r>
  <r>
    <n v="1023046899"/>
    <x v="0"/>
    <d v="2022-03-03T00:00:00"/>
    <d v="2022-04-07T00:00:00"/>
    <e v="#REF!"/>
    <e v="#N/A"/>
    <m/>
    <x v="0"/>
    <x v="3"/>
    <x v="3"/>
    <s v="RC"/>
    <s v="THOMAS"/>
    <s v="FELIPE"/>
    <s v="SUESCA"/>
    <s v="URREGO"/>
    <s v="THOMAS FELIPE SUESCA URREGO"/>
    <d v="2021-06-30T00:00:00"/>
    <x v="3"/>
    <n v="5"/>
    <n v="26"/>
    <s v="1 AÑOS 5 MESES 2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A ESTE # 91SUR -28"/>
    <n v="3007940213"/>
    <m/>
    <x v="0"/>
    <s v="NO SE AUTORECONOCE EN NINGUNO DE LOS ANTERIORES"/>
    <x v="0"/>
    <x v="8"/>
    <s v="NO_"/>
    <s v="NO_"/>
    <s v="a. Pertenecientes a hogares con puntaje SISBEN"/>
    <m/>
    <s v="MADRE"/>
    <s v="CC"/>
    <n v="1022996900"/>
    <s v="LEIDY "/>
    <s v="ANDREA"/>
    <s v="URREGO"/>
    <s v="LINARES"/>
    <d v="1994-07-14T00:00:00"/>
    <s v="COLOMBIA"/>
    <s v="BOGOTÁ"/>
    <s v="BOGOTÁ"/>
    <s v="CC"/>
    <n v="1022990427"/>
    <s v="CAMILO"/>
    <s v="ANDRES"/>
    <s v="SUESCA"/>
    <s v="GONZALEZ"/>
    <d v="1993-10-23T00:00:00"/>
    <n v="29"/>
    <s v="COLOMBIA"/>
    <s v="BOGOTÁ"/>
    <s v="BOGOTÁ"/>
    <s v="CC"/>
    <n v="1022996900"/>
    <s v="LEIDY"/>
    <s v="ANDREA"/>
    <s v="URREGO"/>
    <s v="LINARES"/>
    <d v="1994-07-14T00:00:00"/>
    <n v="28"/>
    <s v="COLOMBIA"/>
    <s v="BOGOTÁ"/>
    <s v="BOGOTÁ"/>
    <x v="0"/>
    <x v="3"/>
    <x v="0"/>
    <d v="2022-03-04T00:00:00"/>
    <s v="SI_"/>
    <x v="2"/>
    <n v="1"/>
    <s v="NO_"/>
    <m/>
    <m/>
    <n v="40"/>
    <n v="3100"/>
    <n v="50"/>
    <s v="SI_"/>
    <n v="6"/>
    <m/>
    <m/>
    <x v="1"/>
    <m/>
  </r>
  <r>
    <n v="1026603423"/>
    <x v="1"/>
    <d v="2022-03-03T00:00:00"/>
    <m/>
    <m/>
    <m/>
    <m/>
    <x v="0"/>
    <x v="5"/>
    <x v="5"/>
    <s v="RC"/>
    <s v="IAN"/>
    <s v="SMITH"/>
    <s v="PAZO"/>
    <s v="MEJIA"/>
    <s v="IAN SMITH PAZO MEJIA"/>
    <d v="2021-05-27T00:00:00"/>
    <x v="3"/>
    <n v="6"/>
    <n v="29"/>
    <s v="1 AÑOS 6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m/>
    <m/>
    <x v="2"/>
    <s v="NO SE AUTORECONOCE EN NINGUNO DE LOS ANTERIORES"/>
    <x v="2"/>
    <x v="1"/>
    <m/>
    <m/>
    <m/>
    <m/>
    <m/>
    <m/>
    <m/>
    <m/>
    <m/>
    <m/>
    <m/>
    <m/>
    <m/>
    <m/>
    <m/>
    <m/>
    <m/>
    <m/>
    <m/>
    <m/>
    <m/>
    <m/>
    <s v=""/>
    <m/>
    <m/>
    <m/>
    <m/>
    <m/>
    <m/>
    <m/>
    <m/>
    <m/>
    <m/>
    <s v=""/>
    <m/>
    <s v="BOGOTÁ"/>
    <m/>
    <x v="1"/>
    <x v="2"/>
    <x v="2"/>
    <m/>
    <m/>
    <x v="0"/>
    <m/>
    <m/>
    <m/>
    <m/>
    <m/>
    <m/>
    <m/>
    <m/>
    <m/>
    <m/>
    <m/>
    <x v="1"/>
    <m/>
  </r>
  <r>
    <n v="1243859909"/>
    <x v="0"/>
    <d v="2022-03-03T00:00:00"/>
    <d v="2022-04-25T00:00:00"/>
    <e v="#REF!"/>
    <e v="#N/A"/>
    <m/>
    <x v="0"/>
    <x v="2"/>
    <x v="2"/>
    <s v="RC"/>
    <s v="NEYTHAN "/>
    <s v="ANDRES"/>
    <s v="CALDERON"/>
    <s v="JIMENEZ"/>
    <s v="NEYTHAN  ANDRES CALDERON JIMENEZ"/>
    <d v="2020-09-25T00:00:00"/>
    <x v="2"/>
    <n v="3"/>
    <n v="1"/>
    <s v="2 AÑOS 3 MESES 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CL 113 SUR 8 A60 ESTE"/>
    <n v="3213370841"/>
    <m/>
    <x v="0"/>
    <s v="NO SE AUTORECONOCE EN NINGUNO DE LOS ANTERIORES"/>
    <x v="1"/>
    <x v="1"/>
    <s v="NO_"/>
    <s v="NO_"/>
    <s v="o. Ingresos iguales o inferiores a 1.5 Smlv"/>
    <m/>
    <s v="MADRE"/>
    <s v="CC"/>
    <n v="1033754070"/>
    <s v="SORANGI"/>
    <s v="PATRICIA"/>
    <s v="JIMENEZ"/>
    <s v="MANGA"/>
    <d v="1993-04-08T00:00:00"/>
    <s v="COLOMBIA"/>
    <s v="BOGOTÁ"/>
    <s v="BOGOTÁ"/>
    <s v="CC"/>
    <n v="1022980103"/>
    <s v="ANDRES"/>
    <s v="FELIPE"/>
    <s v="CALDERON"/>
    <s v="VASQUEZ"/>
    <d v="1992-09-18T00:00:00"/>
    <n v="30"/>
    <s v="COLOMBIA"/>
    <s v="BOGOTÁ"/>
    <s v="BOGOTÁ"/>
    <s v="CC"/>
    <n v="1033754070"/>
    <s v="SORANGI"/>
    <s v="PATRICIA"/>
    <s v="JIMENEZ"/>
    <s v="MANGA"/>
    <d v="1993-04-08T00:00:00"/>
    <n v="29"/>
    <s v="COLOMBIA"/>
    <s v="BOGOTÁ"/>
    <s v="BOGOTÁ"/>
    <x v="0"/>
    <x v="6"/>
    <x v="0"/>
    <d v="2022-03-10T00:00:00"/>
    <s v="SI_"/>
    <x v="1"/>
    <m/>
    <s v="NO_"/>
    <m/>
    <m/>
    <n v="37.4"/>
    <n v="1900"/>
    <n v="41"/>
    <s v="NO_"/>
    <n v="6"/>
    <m/>
    <m/>
    <x v="1"/>
    <m/>
  </r>
  <r>
    <n v="1023045870"/>
    <x v="1"/>
    <d v="2022-03-03T00:00:00"/>
    <m/>
    <m/>
    <m/>
    <m/>
    <x v="0"/>
    <x v="5"/>
    <x v="5"/>
    <s v="RC"/>
    <s v="IAN"/>
    <s v="SAMUEL"/>
    <s v="GARAVITO"/>
    <s v="SANCHEZ"/>
    <s v="IAN SAMUEL GARAVITO SANCHEZ"/>
    <d v="2020-10-28T00:00:00"/>
    <x v="2"/>
    <n v="1"/>
    <n v="28"/>
    <s v="2 AÑOS 1 MESES 2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0"/>
    <m/>
    <s v="CL 112 SUR #8 A ESTE 64"/>
    <n v="3209353587"/>
    <m/>
    <x v="0"/>
    <s v="NO SE AUTORECONOCE EN NINGUNO DE LOS ANTERIORES"/>
    <x v="0"/>
    <x v="19"/>
    <s v="NO_"/>
    <s v="NO_"/>
    <s v="a. Pertenecientes a hogares con puntaje SISBEN"/>
    <m/>
    <s v="MADRE"/>
    <s v="CC"/>
    <n v="53134270"/>
    <s v="NATHALY"/>
    <m/>
    <s v="SANCHEZ"/>
    <s v="OLARTE"/>
    <d v="1985-06-27T00:00:00"/>
    <s v="COLOMBIA"/>
    <s v="BOGOTÁ"/>
    <s v="BOGOTÁ"/>
    <s v="CC"/>
    <n v="1051286094"/>
    <s v="WILLIAN"/>
    <s v="ROBERTO"/>
    <s v="GARAVITO"/>
    <s v="GARCIA"/>
    <d v="1985-12-12T00:00:00"/>
    <n v="37"/>
    <s v="COLOMBIA"/>
    <s v="BOYACÁ"/>
    <s v="CHITARAQUE"/>
    <s v="CC"/>
    <n v="53134270"/>
    <s v="NATHALY"/>
    <m/>
    <s v="SANCHEZ"/>
    <s v="OLARTE"/>
    <d v="1985-06-27T00:00:00"/>
    <n v="37"/>
    <s v="COLOMBIA"/>
    <s v="BOGOTÁ"/>
    <s v="BOGOTÁ"/>
    <x v="1"/>
    <x v="2"/>
    <x v="0"/>
    <d v="2022-03-10T00:00:00"/>
    <s v="SI_"/>
    <x v="2"/>
    <n v="1"/>
    <s v="NO_"/>
    <m/>
    <m/>
    <m/>
    <n v="2840"/>
    <m/>
    <s v="NO_"/>
    <n v="6"/>
    <m/>
    <m/>
    <x v="1"/>
    <m/>
  </r>
  <r>
    <n v="1243860042"/>
    <x v="0"/>
    <d v="2022-03-03T00:00:00"/>
    <d v="2022-03-17T00:00:00"/>
    <e v="#REF!"/>
    <e v="#N/A"/>
    <m/>
    <x v="0"/>
    <x v="2"/>
    <x v="2"/>
    <s v="RC"/>
    <s v="IAN"/>
    <s v="FELIPE"/>
    <s v="LADINO"/>
    <s v="FERRUCHO"/>
    <s v="IAN FELIPE LADINO FERRUCHO"/>
    <d v="2021-02-09T00:00:00"/>
    <x v="3"/>
    <n v="10"/>
    <n v="17"/>
    <s v="1 AÑOS 10 MESES 1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7"/>
    <m/>
    <s v="ZONA SIN LEGALIZAR"/>
    <n v="3115698613"/>
    <m/>
    <x v="0"/>
    <s v="NO SE AUTORECONOCE EN NINGUNO DE LOS ANTERIORES"/>
    <x v="0"/>
    <x v="6"/>
    <s v="NO_"/>
    <s v="NO_"/>
    <s v="a. Pertenecientes a hogares con puntaje SISBEN"/>
    <m/>
    <s v="MADRE"/>
    <s v="CC"/>
    <n v="1023004618"/>
    <s v="LINA "/>
    <s v="MARIA"/>
    <s v="FERRUCHO"/>
    <s v="ZABALETA"/>
    <d v="1995-04-08T00:00:00"/>
    <s v="COLOMBIA"/>
    <s v="BOGOTÁ"/>
    <s v="BOGOTÁ"/>
    <m/>
    <m/>
    <m/>
    <m/>
    <m/>
    <m/>
    <m/>
    <s v=""/>
    <m/>
    <m/>
    <m/>
    <s v="CC"/>
    <n v="1023004618"/>
    <s v="LINA "/>
    <s v="MARIA"/>
    <s v="FERRUCHO"/>
    <s v="ZABALETA"/>
    <d v="1995-04-08T00:00:00"/>
    <n v="27"/>
    <s v="COLOMBIA"/>
    <s v="BOGOTÁ"/>
    <s v="BOGOTÁ"/>
    <x v="1"/>
    <x v="1"/>
    <x v="0"/>
    <d v="2022-03-10T00:00:00"/>
    <s v="SI_"/>
    <x v="2"/>
    <n v="1"/>
    <s v="NO_"/>
    <m/>
    <m/>
    <n v="40"/>
    <n v="2910"/>
    <n v="51"/>
    <s v="NO_"/>
    <n v="6"/>
    <m/>
    <m/>
    <x v="1"/>
    <m/>
  </r>
  <r>
    <n v="1013156278"/>
    <x v="0"/>
    <d v="2022-03-03T00:00:00"/>
    <d v="2022-06-13T00:00:00"/>
    <e v="#REF!"/>
    <e v="#N/A"/>
    <m/>
    <x v="0"/>
    <x v="5"/>
    <x v="5"/>
    <s v="RC"/>
    <s v="DANNA "/>
    <s v="VICTORIA"/>
    <s v="BELTRAN"/>
    <s v="CARDOZO"/>
    <s v="DANNA  VICTORIA BELTRAN CARDOZO"/>
    <d v="2020-06-19T00:00:00"/>
    <x v="2"/>
    <n v="6"/>
    <n v="7"/>
    <s v="2 AÑOS 6 MESES 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7"/>
    <m/>
    <s v="ZONA SIN LEGALIZAR"/>
    <n v="3222318656"/>
    <n v="3243437918"/>
    <x v="0"/>
    <s v="NO SE AUTORECONOCE EN NINGUNO DE LOS ANTERIORES"/>
    <x v="1"/>
    <x v="1"/>
    <s v="NO_"/>
    <s v="NO_"/>
    <s v="o. Ingresos iguales o inferiores a 1.5 Smlv"/>
    <m/>
    <s v="MADRE"/>
    <s v="CC"/>
    <n v="53093070"/>
    <s v="MARIA "/>
    <s v="ISABEL"/>
    <s v="CARDOZO"/>
    <s v="ARROYO"/>
    <d v="1985-01-11T00:00:00"/>
    <s v="COLOMBIA"/>
    <s v="BOGOTÁ"/>
    <s v="BOGOTÁ"/>
    <m/>
    <m/>
    <m/>
    <m/>
    <m/>
    <m/>
    <m/>
    <s v=""/>
    <m/>
    <m/>
    <m/>
    <s v="CC"/>
    <n v="53093070"/>
    <s v="MARIA "/>
    <s v="ISABEL"/>
    <s v="CARDOZO"/>
    <s v="ARROYO"/>
    <d v="1985-01-11T00:00:00"/>
    <n v="37"/>
    <s v="COLOMBIA"/>
    <s v="BOGOTÁ"/>
    <s v="BOGOTÁ"/>
    <x v="1"/>
    <x v="1"/>
    <x v="0"/>
    <d v="2022-03-10T00:00:00"/>
    <s v="SI_"/>
    <x v="2"/>
    <n v="1"/>
    <s v="NO_"/>
    <m/>
    <m/>
    <n v="38"/>
    <n v="2615"/>
    <n v="47"/>
    <s v="NO_"/>
    <n v="6"/>
    <m/>
    <m/>
    <x v="1"/>
    <m/>
  </r>
  <r>
    <n v="1023047163"/>
    <x v="1"/>
    <d v="2022-03-03T00:00:00"/>
    <m/>
    <m/>
    <m/>
    <m/>
    <x v="0"/>
    <x v="3"/>
    <x v="3"/>
    <s v="RC"/>
    <s v="EMILY"/>
    <s v="SHARIK"/>
    <s v="RODRIGUEZ"/>
    <s v="LOPEZ"/>
    <s v="EMILY SHARIK RODRIGUEZ LOPEZ"/>
    <d v="2021-08-24T00:00:00"/>
    <x v="3"/>
    <n v="4"/>
    <n v="2"/>
    <s v="1 AÑOS 4 MESES 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7"/>
    <m/>
    <s v="ZONA SIN LEGALIZAR"/>
    <n v="3105650010"/>
    <n v="3224765326"/>
    <x v="0"/>
    <s v="NO SE AUTORECONOCE EN NINGUNO DE LOS ANTERIORES"/>
    <x v="1"/>
    <x v="20"/>
    <s v="NO_"/>
    <s v="NO_"/>
    <s v="a. Pertenecientes a hogares con puntaje SISBEN"/>
    <m/>
    <s v="MADRE"/>
    <s v="CC"/>
    <n v="1140914"/>
    <s v="HEIDY"/>
    <s v="LORENA"/>
    <s v="LOPEZ"/>
    <s v="SOLER"/>
    <d v="2001-07-24T00:00:00"/>
    <s v="COLOMBIA"/>
    <s v="BOGOTÁ"/>
    <s v="BOGOTÁ"/>
    <s v="CC"/>
    <n v="1001113739"/>
    <s v="ESTIBEN"/>
    <s v="YOVANNY"/>
    <s v="RODRIGUEZ"/>
    <s v="RODRIGUEZ"/>
    <d v="2000-08-26T00:00:00"/>
    <n v="22"/>
    <s v="COLOMBIA"/>
    <s v="BOGOTÁ"/>
    <s v="BOGOTÁ"/>
    <s v="CC"/>
    <n v="1140914948"/>
    <s v="HEIDY"/>
    <s v="LORENA"/>
    <s v="LOPEZ"/>
    <s v="SOLER"/>
    <d v="2001-07-24T00:00:00"/>
    <n v="21"/>
    <s v="COLOMBIA"/>
    <s v="BOGOTÁ"/>
    <s v="BOGOTÁ"/>
    <x v="1"/>
    <x v="1"/>
    <x v="0"/>
    <d v="2022-03-10T00:00:00"/>
    <s v="SI_"/>
    <x v="2"/>
    <n v="1"/>
    <s v="NO_"/>
    <m/>
    <m/>
    <n v="40"/>
    <n v="3220"/>
    <n v="50"/>
    <s v="NO_"/>
    <n v="6"/>
    <m/>
    <m/>
    <x v="1"/>
    <m/>
  </r>
  <r>
    <n v="1245078348"/>
    <x v="1"/>
    <d v="2022-12-01T00:00:00"/>
    <m/>
    <m/>
    <m/>
    <m/>
    <x v="0"/>
    <x v="5"/>
    <x v="5"/>
    <s v="RC"/>
    <s v="JOSE"/>
    <m/>
    <s v="PARRADO"/>
    <s v="BARRIOS"/>
    <s v="JOSE  PARRADO BARRIOS"/>
    <d v="2020-12-20T00:00:00"/>
    <x v="2"/>
    <n v="0"/>
    <n v="6"/>
    <s v="2 AÑOS 0 MESES 6 DIAS "/>
    <x v="2"/>
    <x v="1"/>
    <x v="0"/>
    <s v="BOGOTÁ"/>
    <s v="BOGOTÁ"/>
    <x v="1"/>
    <s v="SI_"/>
    <s v="SI_"/>
    <s v="MULTIPLE"/>
    <m/>
    <s v="NO_"/>
    <s v="SI_"/>
    <s v="NO_"/>
    <s v="SI_"/>
    <m/>
    <m/>
    <m/>
    <s v="COLOMBIA"/>
    <s v="BOGOTÁ"/>
    <x v="0"/>
    <s v="LOCALIDAD"/>
    <x v="0"/>
    <x v="51"/>
    <m/>
    <s v="CARRERA6ESTE97D-28SUR"/>
    <n v="3208806480"/>
    <n v="3052993198"/>
    <x v="0"/>
    <s v="NO SE AUTORECONOCE EN NINGUNO DE LOS ANTERIORES"/>
    <x v="1"/>
    <x v="1"/>
    <s v="NO_"/>
    <s v="NO_"/>
    <m/>
    <m/>
    <s v="MADRE"/>
    <s v="CC"/>
    <n v="1022923522"/>
    <s v="ANDREA"/>
    <s v="YULITZA"/>
    <s v="BARRIOS "/>
    <s v="BUITRAGO "/>
    <d v="1985-07-08T00:00:00"/>
    <s v="COLOMBIA"/>
    <s v="TOLIMA"/>
    <s v="CUNDAY"/>
    <s v="CC"/>
    <m/>
    <m/>
    <m/>
    <m/>
    <m/>
    <m/>
    <s v=""/>
    <m/>
    <m/>
    <m/>
    <s v="CC"/>
    <n v="1022923522"/>
    <s v="ANDREA"/>
    <s v="YULITZA"/>
    <s v="BARRIOS "/>
    <s v="BUITRAGO "/>
    <d v="1985-07-08T00:00:00"/>
    <n v="37"/>
    <s v="COLOMBIA"/>
    <s v="TOLIMA"/>
    <s v="CUNDAY"/>
    <x v="1"/>
    <x v="6"/>
    <x v="0"/>
    <d v="2022-11-29T00:00:00"/>
    <s v="SI_"/>
    <x v="2"/>
    <n v="2"/>
    <s v="SI_"/>
    <m/>
    <m/>
    <n v="26"/>
    <n v="905"/>
    <n v="34"/>
    <m/>
    <s v="NO_"/>
    <s v="NO_"/>
    <m/>
    <x v="1"/>
    <m/>
  </r>
  <r>
    <n v="1021696648"/>
    <x v="0"/>
    <d v="2022-09-05T00:00:00"/>
    <d v="2022-12-01T00:00:00"/>
    <m/>
    <m/>
    <m/>
    <x v="0"/>
    <x v="5"/>
    <x v="5"/>
    <s v="RC"/>
    <s v="EMILIANO"/>
    <m/>
    <s v="ORTEGA"/>
    <s v="ACOSTA"/>
    <s v="EMILIANO  ORTEGA ACOSTA"/>
    <d v="2021-06-25T00:00:00"/>
    <x v="3"/>
    <n v="6"/>
    <n v="1"/>
    <s v="1 AÑOS 6 MESES 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ZONA DE ACENTAMIENTO"/>
    <n v="3123240486"/>
    <n v="3144472383"/>
    <x v="0"/>
    <s v="NO SE AUTORECONOCE EN NINGUNO DE LOS ANTERIORES"/>
    <x v="0"/>
    <x v="17"/>
    <s v="NO_"/>
    <s v="NO_"/>
    <m/>
    <m/>
    <s v="OTRO"/>
    <s v="CC"/>
    <n v="1065246731"/>
    <s v="RUBEN"/>
    <s v="DARIO"/>
    <s v="ORTEGA"/>
    <s v="CASTRO"/>
    <d v="1998-09-25T00:00:00"/>
    <s v="COLOMBIA"/>
    <s v="BOGOTÁ"/>
    <s v="BOGOTÁ"/>
    <s v="CC"/>
    <n v="1065246731"/>
    <s v="RUBEN"/>
    <s v="DARIO"/>
    <s v="ORTEGA"/>
    <s v="CASTRO"/>
    <d v="1998-09-25T00:00:00"/>
    <n v="24"/>
    <s v="COLOMBIA"/>
    <s v="BOGOTÁ"/>
    <s v="BOGOTÁ"/>
    <m/>
    <m/>
    <m/>
    <m/>
    <m/>
    <m/>
    <m/>
    <s v=""/>
    <m/>
    <m/>
    <m/>
    <x v="1"/>
    <x v="1"/>
    <x v="0"/>
    <m/>
    <s v="NO_"/>
    <x v="0"/>
    <m/>
    <s v="NO_"/>
    <m/>
    <m/>
    <m/>
    <n v="1200"/>
    <m/>
    <s v="NO_"/>
    <n v="6"/>
    <m/>
    <m/>
    <x v="1"/>
    <m/>
  </r>
  <r>
    <n v="1023987959"/>
    <x v="0"/>
    <d v="2022-03-03T00:00:00"/>
    <d v="2022-09-01T00:00:00"/>
    <e v="#REF!"/>
    <e v="#N/A"/>
    <m/>
    <x v="0"/>
    <x v="5"/>
    <x v="5"/>
    <s v="RC"/>
    <s v="ENMANUEL"/>
    <s v="JOSE"/>
    <s v="YEPEZ"/>
    <s v="MENDOZA"/>
    <s v="ENMANUEL JOSE YEPEZ MENDOZA"/>
    <d v="2020-12-24T00:00:00"/>
    <x v="2"/>
    <n v="0"/>
    <n v="2"/>
    <s v="2 AÑOS 0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KR 7 A ESTE 97 D SUR 12"/>
    <n v="3225122478"/>
    <n v="3209831625"/>
    <x v="0"/>
    <s v="NO SE AUTORECONOCE EN NINGUNO DE LOS ANTERIORES"/>
    <x v="1"/>
    <x v="1"/>
    <s v="NO_"/>
    <s v="NO_"/>
    <s v="o. Ingresos iguales o inferiores a 1.5 Smlv"/>
    <m/>
    <s v="MADRE"/>
    <s v="SIN DOCUMENTO"/>
    <m/>
    <s v="WENYI"/>
    <s v="YERALDINE"/>
    <s v="MENDOZA"/>
    <s v="COLINA"/>
    <m/>
    <s v="VENEZUELA"/>
    <s v="EXTERIOR"/>
    <s v="EXTERIOR"/>
    <s v="SIN DOCUMENTO"/>
    <m/>
    <s v="JULIO"/>
    <s v="CESAR"/>
    <s v="YEPEZ"/>
    <s v="SUAREZ"/>
    <d v="1997-09-08T00:00:00"/>
    <n v="25"/>
    <s v="VENEZUELA"/>
    <s v="EXTERIOR"/>
    <s v="EXTERIOR"/>
    <s v="SIN DOCUMENTO"/>
    <m/>
    <s v="WENYI"/>
    <s v="YERALDINE"/>
    <s v="MENDOZA"/>
    <s v="COLINA"/>
    <m/>
    <s v=""/>
    <s v="VENEZUELA"/>
    <s v="EXTERIOR"/>
    <s v="EXTERIOR"/>
    <x v="1"/>
    <x v="1"/>
    <x v="0"/>
    <d v="2022-03-10T00:00:00"/>
    <s v="SI_"/>
    <x v="2"/>
    <n v="1"/>
    <s v="NO_"/>
    <m/>
    <m/>
    <n v="39"/>
    <n v="3500"/>
    <n v="51"/>
    <s v="NO_"/>
    <n v="6"/>
    <m/>
    <m/>
    <x v="1"/>
    <m/>
  </r>
  <r>
    <n v="1023048344"/>
    <x v="0"/>
    <d v="2022-05-10T00:00:00"/>
    <d v="2022-10-06T00:00:00"/>
    <e v="#REF!"/>
    <e v="#N/A"/>
    <s v="ALCANTUZ"/>
    <x v="0"/>
    <x v="2"/>
    <x v="2"/>
    <s v="RC"/>
    <s v="KEVIN"/>
    <s v="DANIEL"/>
    <s v="DUCUARA "/>
    <s v="MONTIEL"/>
    <s v="KEVIN DANIEL DUCUARA  MONTIEL"/>
    <d v="2022-04-11T00:00:00"/>
    <x v="1"/>
    <n v="8"/>
    <n v="15"/>
    <s v="0 AÑOS 8 MESES 1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2"/>
    <m/>
    <s v="CLL 111 A SUR 4B ESTE 01"/>
    <n v="3058365489"/>
    <n v="3005167830"/>
    <x v="0"/>
    <s v="NO SE AUTORECONOCE EN NINGUNO DE LOS ANTERIORES"/>
    <x v="1"/>
    <x v="1"/>
    <s v="NO_"/>
    <s v="SI_"/>
    <s v="f. Víctimas de hechos violentos asociados al conflicto armado, de acuerdo con las directrices establecidas en la Ley 1448 de 2011 y los Decretos ley 4633, 4634 y 4635 de 2011, así como la Sentencia T-025 de 2004 proferida por la Corte Constitucional y demás desarrollos jurisprudenciales en torno a la existencia de un estado de cosas inconstitucional; para lo cual se considerarán aquellos cuyo estado se encuentre incluido dentro del RUV."/>
    <s v="SI_"/>
    <s v="MADRE"/>
    <s v="CC"/>
    <n v="1006150505"/>
    <s v="DAYANA"/>
    <s v="YINETH"/>
    <s v="MONTIEL"/>
    <s v="BOCANEGRA"/>
    <d v="2003-09-12T00:00:00"/>
    <s v="COLOMBIA"/>
    <s v="TOLIMA"/>
    <s v="ORTEGA"/>
    <s v="CC"/>
    <n v="80878855"/>
    <s v="DANIEL"/>
    <m/>
    <s v="DUCUARA"/>
    <s v="GIRALDO"/>
    <d v="1985-04-29T00:00:00"/>
    <n v="37"/>
    <s v="COLOMBIA"/>
    <s v="BOGOTÁ"/>
    <s v="BOGOTÁ"/>
    <m/>
    <n v="1006150505"/>
    <s v="DAYANA"/>
    <s v="YINETH"/>
    <s v="MONTIEL"/>
    <s v="BOCANEGRA"/>
    <m/>
    <s v=""/>
    <s v="COLOMBIA"/>
    <s v="TOLIMA"/>
    <s v="ORTEGA"/>
    <x v="1"/>
    <x v="2"/>
    <x v="2"/>
    <s v="NO_"/>
    <m/>
    <x v="1"/>
    <m/>
    <m/>
    <m/>
    <m/>
    <m/>
    <m/>
    <m/>
    <m/>
    <m/>
    <m/>
    <m/>
    <x v="2"/>
    <m/>
  </r>
  <r>
    <n v="1006150505"/>
    <x v="0"/>
    <d v="2022-03-03T00:00:00"/>
    <d v="2022-05-09T00:00:00"/>
    <e v="#REF!"/>
    <e v="#N/A"/>
    <m/>
    <x v="0"/>
    <x v="0"/>
    <x v="0"/>
    <s v="CC"/>
    <s v="DAYANA"/>
    <s v="YINETH"/>
    <s v="ORTEGA"/>
    <s v="BOCANEGRA"/>
    <s v="DAYANA YINETH ORTEGA BOCANEGRA"/>
    <d v="2003-09-12T00:00:00"/>
    <x v="16"/>
    <n v="3"/>
    <n v="14"/>
    <s v="19 AÑOS 3 MESES 14 DIAS "/>
    <x v="0"/>
    <x v="0"/>
    <x v="0"/>
    <s v="TOLIMA"/>
    <s v="ORTEG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2"/>
    <m/>
    <s v="CALLE 111 A SUR 2 A 75"/>
    <n v="3058365489"/>
    <n v="3005167830"/>
    <x v="0"/>
    <s v="NO SE AUTORECONOCE EN NINGUNO DE LOS ANTERIORES"/>
    <x v="1"/>
    <x v="1"/>
    <s v="NO_"/>
    <s v="SI_"/>
    <s v="f. Víctimas de hechos violentos asociados al conflicto armado, de acuerdo con las directrices establecidas en la Ley 1448 de 2011 y los Decretos ley 4633, 4634 y 4635 de 2011, así como la Sentencia T-025 de 2004 proferida por la Corte Constitucional y demás desarrollos jurisprudenciales en torno a la existencia de un estado de cosas inconstitucional; para lo cual se considerarán aquellos cuyo estado se encuentre incluido dentro del RUV."/>
    <m/>
    <s v="CONYUGE"/>
    <s v="CC"/>
    <n v="80878855"/>
    <s v="DANIEL"/>
    <m/>
    <s v="DUCUARA"/>
    <s v="GIRALDO"/>
    <d v="1985-04-29T00:00:00"/>
    <s v="COLOMBIA"/>
    <s v="BOGOTÁ"/>
    <s v="BOGOTÁ"/>
    <s v="CC"/>
    <n v="80878855"/>
    <s v="DANIEL"/>
    <m/>
    <s v="DUCUARA"/>
    <s v="GIRALDO"/>
    <d v="1985-04-29T00:00:00"/>
    <n v="37"/>
    <s v="COLOMBIA"/>
    <s v="BOGOTÁ"/>
    <s v="BOGOTÁ"/>
    <s v="CC"/>
    <n v="1006150505"/>
    <s v="DAYANA"/>
    <s v="YINETH"/>
    <s v="MONTIEL "/>
    <s v="BOCANEGRA"/>
    <d v="2003-09-12T00:00:00"/>
    <n v="19"/>
    <s v="COLOMBIA"/>
    <s v="TOLIMA"/>
    <s v="ORTEGA"/>
    <x v="1"/>
    <x v="2"/>
    <x v="0"/>
    <d v="2022-03-01T00:00:00"/>
    <s v="SI_"/>
    <x v="2"/>
    <m/>
    <m/>
    <m/>
    <m/>
    <m/>
    <m/>
    <m/>
    <m/>
    <m/>
    <m/>
    <n v="30"/>
    <x v="0"/>
    <m/>
  </r>
  <r>
    <n v="1016753638"/>
    <x v="1"/>
    <d v="2022-04-04T00:00:00"/>
    <m/>
    <m/>
    <m/>
    <m/>
    <x v="0"/>
    <x v="2"/>
    <x v="2"/>
    <s v="RC"/>
    <s v="ANGEL"/>
    <s v="SANTIAGO"/>
    <s v="PISSO"/>
    <s v="LINARES"/>
    <s v="ANGEL SANTIAGO PISSO LINARES"/>
    <d v="2022-02-27T00:00:00"/>
    <x v="1"/>
    <n v="9"/>
    <n v="29"/>
    <s v="0 AÑOS 9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A ESTE  97 G SUR 86"/>
    <n v="3114828178"/>
    <n v="3114773238"/>
    <x v="0"/>
    <s v="NO SE AUTORECONOCE EN NINGUNO DE LOS ANTERIORES"/>
    <x v="1"/>
    <x v="1"/>
    <s v="NO_"/>
    <s v="NO_"/>
    <s v="o. Ingresos iguales o inferiores a 1.5 Smlv"/>
    <s v="SI_"/>
    <s v="MADRE"/>
    <s v="CC"/>
    <n v="1022988879"/>
    <s v="MARYLYN"/>
    <m/>
    <s v="LINARES"/>
    <s v="URREA"/>
    <d v="1993-08-13T00:00:00"/>
    <s v="COLOMBIA"/>
    <s v="CUNDINAMARCA"/>
    <s v="SOACHA"/>
    <m/>
    <m/>
    <m/>
    <m/>
    <m/>
    <m/>
    <m/>
    <s v=""/>
    <m/>
    <m/>
    <m/>
    <s v="CC"/>
    <n v="1022988879"/>
    <s v="MARYLYN"/>
    <m/>
    <s v="LINARES"/>
    <s v="URREA"/>
    <d v="1993-08-13T00:00:00"/>
    <n v="29"/>
    <s v="COLOMBIA"/>
    <s v="CUNDINAMARCA"/>
    <s v="SOACHA"/>
    <x v="0"/>
    <x v="4"/>
    <x v="2"/>
    <m/>
    <m/>
    <x v="0"/>
    <m/>
    <m/>
    <m/>
    <m/>
    <m/>
    <m/>
    <m/>
    <m/>
    <m/>
    <m/>
    <m/>
    <x v="2"/>
    <m/>
  </r>
  <r>
    <n v="1022988879"/>
    <x v="0"/>
    <d v="2022-03-03T00:00:00"/>
    <d v="2022-04-04T00:00:00"/>
    <e v="#REF!"/>
    <e v="#N/A"/>
    <m/>
    <x v="0"/>
    <x v="0"/>
    <x v="0"/>
    <s v="CC"/>
    <s v="MARYLYN"/>
    <m/>
    <s v="LINARES"/>
    <s v="URREA"/>
    <s v="MARYLYN  LINARES URREA"/>
    <d v="1993-08-13T00:00:00"/>
    <x v="20"/>
    <n v="4"/>
    <n v="13"/>
    <s v="29 AÑOS 4 MESES 13 DIAS "/>
    <x v="0"/>
    <x v="0"/>
    <x v="0"/>
    <s v="CUNDINAMARCA"/>
    <s v="SOACH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A ESTE NO 97 G SUR 86"/>
    <n v="3118428178"/>
    <n v="3114773238"/>
    <x v="0"/>
    <s v="NO SE AUTORECONOCE EN NINGUNO DE LOS ANTERIORES"/>
    <x v="1"/>
    <x v="1"/>
    <s v="NO_"/>
    <s v="NO_"/>
    <s v="o. Ingresos iguales o inferiores a 1.5 Smlv"/>
    <m/>
    <s v="MADRE"/>
    <s v="CC"/>
    <n v="52237705"/>
    <s v="GLADYS"/>
    <m/>
    <s v="LINARES"/>
    <s v="LOZANO"/>
    <d v="1976-05-22T00:00:00"/>
    <s v="COLOMBIA"/>
    <s v="CUNDINAMARCA"/>
    <s v="UBALÁ"/>
    <m/>
    <m/>
    <m/>
    <m/>
    <m/>
    <m/>
    <m/>
    <s v=""/>
    <m/>
    <m/>
    <m/>
    <s v="CC"/>
    <n v="1022988879"/>
    <s v="MARYLYN"/>
    <m/>
    <s v="LINARES"/>
    <s v="URREA"/>
    <d v="1993-08-13T00:00:00"/>
    <n v="29"/>
    <s v="COLOMBIA"/>
    <s v="CUNDINAMARCA"/>
    <s v="SOACHA"/>
    <x v="0"/>
    <x v="4"/>
    <x v="0"/>
    <d v="2022-03-01T00:00:00"/>
    <s v="SI_"/>
    <x v="2"/>
    <m/>
    <m/>
    <m/>
    <m/>
    <m/>
    <m/>
    <m/>
    <m/>
    <m/>
    <m/>
    <n v="38"/>
    <x v="0"/>
    <m/>
  </r>
  <r>
    <n v="1243861036"/>
    <x v="1"/>
    <d v="2022-05-02T00:00:00"/>
    <m/>
    <m/>
    <m/>
    <m/>
    <x v="0"/>
    <x v="2"/>
    <x v="2"/>
    <s v="RC"/>
    <s v="ERICK "/>
    <s v="SANTIAGO"/>
    <s v="DIAZ"/>
    <s v="DUQUE "/>
    <s v="ERICK  SANTIAGO DIAZ DUQUE "/>
    <d v="2022-03-31T00:00:00"/>
    <x v="1"/>
    <n v="8"/>
    <n v="25"/>
    <s v="0 AÑOS 8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B ESTE NO 91 SUR 50"/>
    <n v="3133289949"/>
    <n v="3112722722"/>
    <x v="0"/>
    <s v="NO SE AUTORECONOCE EN NINGUNO DE LOS ANTERIORES"/>
    <x v="1"/>
    <x v="1"/>
    <s v="NO_"/>
    <s v="NO_"/>
    <s v="a. Pertenecientes a hogares con puntaje SISBEN"/>
    <s v="SI_"/>
    <s v="MADRE"/>
    <s v="CC"/>
    <n v="1001171805"/>
    <s v="MARTHA"/>
    <s v="VERONICA"/>
    <s v="DUQUE"/>
    <s v="SANABRIA"/>
    <d v="2000-08-25T00:00:00"/>
    <s v="COLOMBIA"/>
    <s v="BOGOTÁ"/>
    <s v="BOGOTÁ"/>
    <m/>
    <m/>
    <m/>
    <m/>
    <m/>
    <m/>
    <m/>
    <s v=""/>
    <m/>
    <m/>
    <m/>
    <s v="CC"/>
    <n v="1001171805"/>
    <s v="MARTHA"/>
    <s v="VERONICA"/>
    <s v="DUQUE "/>
    <s v="SANABRIA"/>
    <m/>
    <s v=""/>
    <s v="COLOMBIA"/>
    <s v="BOGOTÁ"/>
    <s v="BOGOTÁ"/>
    <x v="1"/>
    <x v="1"/>
    <x v="0"/>
    <d v="2022-04-29T00:00:00"/>
    <s v="SI_"/>
    <x v="0"/>
    <m/>
    <m/>
    <m/>
    <m/>
    <m/>
    <n v="38"/>
    <n v="3045"/>
    <n v="52"/>
    <m/>
    <m/>
    <m/>
    <x v="2"/>
    <m/>
  </r>
  <r>
    <n v="1001171805"/>
    <x v="0"/>
    <d v="2022-03-03T00:00:00"/>
    <d v="2022-05-02T00:00:00"/>
    <e v="#REF!"/>
    <e v="#N/A"/>
    <m/>
    <x v="0"/>
    <x v="0"/>
    <x v="0"/>
    <s v="CC"/>
    <s v="MARTHA"/>
    <s v="VERONICA"/>
    <s v="DUQUE"/>
    <s v="SANABRIA"/>
    <s v="MARTHA VERONICA DUQUE SANABRIA"/>
    <d v="2000-08-25T00:00:00"/>
    <x v="18"/>
    <n v="4"/>
    <n v="1"/>
    <s v="22 AÑOS 4 MESES 1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B ESTE NO 91 SUR 50"/>
    <n v="3133289949"/>
    <n v="3112722722"/>
    <x v="0"/>
    <s v="NO SE AUTORECONOCE EN NINGUNO DE LOS ANTERIORES"/>
    <x v="0"/>
    <x v="5"/>
    <s v="NO_"/>
    <s v="NO_"/>
    <s v="a. Pertenecientes a hogares con puntaje SISBEN"/>
    <m/>
    <s v="MADRE"/>
    <s v="CC"/>
    <n v="52540205"/>
    <s v="MARTHA"/>
    <s v="JANNETH"/>
    <s v="SANABRIA"/>
    <s v="GUIO"/>
    <d v="1979-09-29T00:00:00"/>
    <s v="COLOMBIA"/>
    <s v="BOGOTÁ"/>
    <s v="BOGOTÁ"/>
    <m/>
    <m/>
    <m/>
    <m/>
    <m/>
    <m/>
    <m/>
    <s v=""/>
    <m/>
    <m/>
    <m/>
    <s v="CC"/>
    <n v="1001171805"/>
    <s v="MARTHA"/>
    <s v="VERONICA"/>
    <s v="DUQUE "/>
    <s v="SANABRIA"/>
    <d v="2000-08-25T00:00:00"/>
    <n v="22"/>
    <s v="COLOMBIA"/>
    <s v="BOGOTÁ"/>
    <s v="BOGOTÁ"/>
    <x v="1"/>
    <x v="1"/>
    <x v="0"/>
    <d v="2022-03-01T00:00:00"/>
    <s v="SI_"/>
    <x v="2"/>
    <n v="6"/>
    <m/>
    <m/>
    <m/>
    <m/>
    <m/>
    <m/>
    <m/>
    <m/>
    <m/>
    <n v="37"/>
    <x v="0"/>
    <m/>
  </r>
  <r>
    <n v="1023047998"/>
    <x v="1"/>
    <d v="2022-03-15T00:00:00"/>
    <m/>
    <m/>
    <m/>
    <m/>
    <x v="0"/>
    <x v="2"/>
    <x v="2"/>
    <s v="RC"/>
    <s v="MATEO"/>
    <s v="ANDRES"/>
    <s v="RODRIGUEZ"/>
    <s v="GALINDO"/>
    <s v="MATEO ANDRES RODRIGUEZ GALINDO"/>
    <d v="2022-02-25T00:00:00"/>
    <x v="1"/>
    <n v="10"/>
    <n v="1"/>
    <s v="0 AÑOS 10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3"/>
    <m/>
    <s v="KR 6 D ESTE NO 110 38 SUR"/>
    <n v="3167578353"/>
    <n v="3102780183"/>
    <x v="0"/>
    <s v="NO SE AUTORECONOCE EN NINGUNO DE LOS ANTERIORES"/>
    <x v="1"/>
    <x v="1"/>
    <s v="NO_"/>
    <s v="NO_"/>
    <s v="o. Ingresos iguales o inferiores a 1.5 Smlv"/>
    <m/>
    <s v="MADRE"/>
    <s v="CC"/>
    <n v="1023019413"/>
    <s v="LAURA"/>
    <s v="NATALIA"/>
    <s v="GALINDO"/>
    <s v="RODRIGUEZ"/>
    <d v="1997-02-19T00:00:00"/>
    <s v="COLOMBIA"/>
    <s v="BOGOTÁ"/>
    <s v="BOGOTÁ"/>
    <s v="CC"/>
    <n v="1192744336"/>
    <s v="CARLOS"/>
    <s v="ANDRES"/>
    <s v="RODRIGUEZ"/>
    <s v="CORRALES"/>
    <d v="2002-12-26T00:00:00"/>
    <n v="20"/>
    <s v="COLOMBIA"/>
    <s v="VALLE_DEL_CAUCA"/>
    <s v="TULUÁ"/>
    <s v="CC"/>
    <n v="1023019413"/>
    <s v="LAURA"/>
    <s v="NATALIA"/>
    <s v="GALINDO "/>
    <s v="RODRIGUEZ"/>
    <d v="1997-02-19T00:00:00"/>
    <n v="25"/>
    <s v="COLOMBIA"/>
    <s v="BOGOTÁ"/>
    <s v="BOGOTÁ"/>
    <x v="0"/>
    <x v="6"/>
    <x v="0"/>
    <d v="2022-02-16T00:00:00"/>
    <s v="SI_"/>
    <x v="1"/>
    <n v="0"/>
    <s v="NO_"/>
    <m/>
    <m/>
    <n v="39"/>
    <n v="3290"/>
    <n v="51"/>
    <s v="SI_"/>
    <m/>
    <m/>
    <m/>
    <x v="2"/>
    <m/>
  </r>
  <r>
    <n v="1023019413"/>
    <x v="0"/>
    <d v="2022-03-03T00:00:00"/>
    <d v="2022-03-14T00:00:00"/>
    <e v="#REF!"/>
    <e v="#N/A"/>
    <m/>
    <x v="0"/>
    <x v="0"/>
    <x v="0"/>
    <s v="CC"/>
    <s v="LAURA"/>
    <s v="NATALIA"/>
    <s v="GALINDO"/>
    <s v="RODRIGUEZ"/>
    <s v="LAURA NATALIA GALINDO RODRIGUEZ"/>
    <d v="1997-02-19T00:00:00"/>
    <x v="22"/>
    <n v="10"/>
    <n v="7"/>
    <s v="25 AÑOS 10 MESES 7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3"/>
    <m/>
    <s v="KR 6 D ESTE NO 110 38 SUR"/>
    <n v="3167578353"/>
    <n v="3102780183"/>
    <x v="0"/>
    <s v="NO SE AUTORECONOCE EN NINGUNO DE LOS ANTERIORES"/>
    <x v="0"/>
    <x v="0"/>
    <s v="NO_"/>
    <s v="NO_"/>
    <s v="a. Pertenecientes a hogares con puntaje SISBEN"/>
    <m/>
    <s v="CONYUGE"/>
    <s v="CC"/>
    <n v="1192744336"/>
    <s v="CARLOS"/>
    <s v="ANDRES"/>
    <s v="RODRIGUEZ"/>
    <s v="CORRALES"/>
    <d v="2002-12-26T00:00:00"/>
    <s v="COLOMBIA"/>
    <s v="VALLE_DEL_CAUCA"/>
    <s v="TULUÁ"/>
    <s v="CC"/>
    <n v="1192744336"/>
    <s v="CARLOS"/>
    <s v="ANDRES"/>
    <s v="RODRIGUEZ"/>
    <s v="CORRALES"/>
    <d v="2002-12-26T00:00:00"/>
    <n v="20"/>
    <s v="COLOMBIA"/>
    <s v="VALLE_DEL_CAUCA"/>
    <s v="TULUÁ"/>
    <s v="CC"/>
    <n v="1023019413"/>
    <s v="LAURA"/>
    <s v="NATALIA"/>
    <s v="GALINDO "/>
    <s v="RODRIGUEZ"/>
    <d v="1997-02-19T00:00:00"/>
    <n v="25"/>
    <s v="COLOMBIA"/>
    <s v="BOGOTÁ"/>
    <s v="BOGOTÁ"/>
    <x v="0"/>
    <x v="6"/>
    <x v="0"/>
    <d v="2022-03-01T00:00:00"/>
    <s v="SI_"/>
    <x v="2"/>
    <n v="7"/>
    <m/>
    <m/>
    <m/>
    <m/>
    <m/>
    <m/>
    <m/>
    <m/>
    <m/>
    <n v="40"/>
    <x v="0"/>
    <m/>
  </r>
  <r>
    <n v="1023047668"/>
    <x v="0"/>
    <d v="2022-03-03T00:00:00"/>
    <d v="2022-07-25T00:00:00"/>
    <e v="#REF!"/>
    <e v="#N/A"/>
    <m/>
    <x v="0"/>
    <x v="2"/>
    <x v="2"/>
    <s v="RC"/>
    <s v="EILYN"/>
    <s v="MARIANA"/>
    <s v="SALAMANCA"/>
    <s v="COY"/>
    <s v="EILYN MARIANA SALAMANCA COY"/>
    <d v="2021-12-31T00:00:00"/>
    <x v="1"/>
    <n v="11"/>
    <n v="25"/>
    <s v="0 AÑOS 11 MESES 2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CALLE 89 C SUR NO 6 B ESTE 09 PISO 2"/>
    <n v="3202725917"/>
    <n v="3222767566"/>
    <x v="0"/>
    <s v="NO SE AUTORECONOCE EN NINGUNO DE LOS ANTERIORES"/>
    <x v="1"/>
    <x v="1"/>
    <s v="NO_"/>
    <s v="NO_"/>
    <s v="o. Ingresos iguales o inferiores a 1.5 Smlv"/>
    <m/>
    <s v="MADRE"/>
    <s v="CC"/>
    <n v="1001295313"/>
    <s v="LEIDY"/>
    <s v="KATHERIN"/>
    <s v="COY"/>
    <s v="CANACUE"/>
    <d v="2000-11-30T00:00:00"/>
    <s v="COLOMBIA"/>
    <s v="BOGOTÁ"/>
    <s v="BOGOTÁ"/>
    <s v="CC"/>
    <n v="1010189299"/>
    <s v="PETTER"/>
    <s v="ALEXANDER"/>
    <s v="SALAMANCA"/>
    <s v="SALAMANCA"/>
    <d v="1988-03-11T00:00:00"/>
    <n v="34"/>
    <s v="COLOMBIA"/>
    <s v="BOGOTÁ"/>
    <s v="BOGOTÁ"/>
    <s v="CC"/>
    <n v="1001295313"/>
    <s v="LEIDY"/>
    <s v="KATHERIN"/>
    <s v="COY "/>
    <s v="CANACUE"/>
    <d v="2000-11-30T00:00:00"/>
    <n v="22"/>
    <s v="COLOMBIA"/>
    <s v="BOGOTÁ"/>
    <s v="BOGOTÁ"/>
    <x v="0"/>
    <x v="1"/>
    <x v="0"/>
    <d v="2022-03-01T00:00:00"/>
    <s v="SI_"/>
    <x v="2"/>
    <n v="1"/>
    <s v="NO_"/>
    <m/>
    <m/>
    <n v="39"/>
    <s v="2710 GR"/>
    <n v="51"/>
    <s v="SI_"/>
    <m/>
    <m/>
    <m/>
    <x v="2"/>
    <m/>
  </r>
  <r>
    <n v="1023047644"/>
    <x v="0"/>
    <d v="2022-03-03T00:00:00"/>
    <d v="2022-03-28T00:00:00"/>
    <e v="#REF!"/>
    <e v="#N/A"/>
    <m/>
    <x v="0"/>
    <x v="6"/>
    <x v="6"/>
    <s v="RC"/>
    <s v="CRISTOPHER"/>
    <m/>
    <s v="MAYORGA"/>
    <s v="HERNANDEZ"/>
    <s v="CRISTOPHER  MAYORGA HERNANDEZ"/>
    <d v="2021-12-20T00:00:00"/>
    <x v="3"/>
    <n v="0"/>
    <n v="6"/>
    <s v="1 AÑOS 0 MESES 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KR 6 B ESTE 89 C SUR"/>
    <n v="3204141211"/>
    <m/>
    <x v="0"/>
    <s v="NO SE AUTORECONOCE EN NINGUNO DE LOS ANTERIORES"/>
    <x v="1"/>
    <x v="1"/>
    <s v="NO_"/>
    <s v="NO_"/>
    <s v="o. Ingresos iguales o inferiores a 1.5 Smlv"/>
    <m/>
    <s v="MADRE"/>
    <s v="CC"/>
    <n v="1005294658"/>
    <s v="DIANA"/>
    <s v="MARCELA"/>
    <s v="HERNANDEZ"/>
    <s v="ARIZA"/>
    <d v="1989-12-05T00:00:00"/>
    <s v="COLOMBIA"/>
    <s v="SANTANDER"/>
    <s v="LANDÁZURI"/>
    <s v="CC"/>
    <n v="1012355561"/>
    <s v="GERSON"/>
    <s v="MAURICIO"/>
    <s v="MAYORGA"/>
    <s v="MARIN"/>
    <d v="1989-08-08T00:00:00"/>
    <n v="33"/>
    <s v="COLOMBIA"/>
    <s v="BOGOTÁ"/>
    <s v="BOGOTÁ"/>
    <s v="CC"/>
    <n v="1005294658"/>
    <s v="DIANA"/>
    <s v="MARCELA"/>
    <s v="HERNANDEZ"/>
    <s v="ARIZA"/>
    <d v="1989-12-05T00:00:00"/>
    <n v="33"/>
    <s v="COLOMBIA"/>
    <s v="SANTANDER"/>
    <s v="LANDÁZURI"/>
    <x v="0"/>
    <x v="6"/>
    <x v="0"/>
    <d v="2022-03-01T00:00:00"/>
    <s v="SI_"/>
    <x v="2"/>
    <n v="3"/>
    <s v="NO_"/>
    <m/>
    <m/>
    <n v="40"/>
    <s v="3500 GR"/>
    <n v="55"/>
    <s v="SI_"/>
    <m/>
    <m/>
    <m/>
    <x v="1"/>
    <m/>
  </r>
  <r>
    <n v="1023047672"/>
    <x v="1"/>
    <d v="2022-03-03T00:00:00"/>
    <m/>
    <m/>
    <m/>
    <m/>
    <x v="0"/>
    <x v="3"/>
    <x v="3"/>
    <s v="RC"/>
    <s v="ZOE"/>
    <s v="VALERIA"/>
    <s v="ALBARRACIN"/>
    <s v="LUNA"/>
    <s v="ZOE VALERIA ALBARRACIN LUNA"/>
    <d v="2021-12-29T00:00:00"/>
    <x v="1"/>
    <n v="11"/>
    <n v="27"/>
    <s v="0 AÑOS 11 MESES 2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4"/>
    <m/>
    <s v="KR 4 BIS NO 82 26 SUR"/>
    <n v="3026189095"/>
    <n v="3046781638"/>
    <x v="0"/>
    <s v="NO SE AUTORECONOCE EN NINGUNO DE LOS ANTERIORES"/>
    <x v="1"/>
    <x v="1"/>
    <s v="NO_"/>
    <s v="NO_"/>
    <s v="o. Ingresos iguales o inferiores a 1.5 Smlv"/>
    <m/>
    <s v="MADRE"/>
    <s v="CC"/>
    <n v="1007749688"/>
    <s v="JESSICA"/>
    <s v="JULIETH"/>
    <s v="LUNA"/>
    <s v="ESPINOSA"/>
    <d v="2001-01-31T00:00:00"/>
    <s v="COLOMBIA"/>
    <s v="BOGOTÁ"/>
    <s v="BOGOTÁ"/>
    <s v="CC"/>
    <n v="1000256934"/>
    <s v="FABIAN"/>
    <s v="ALEXANDER"/>
    <s v="ALBARRACIN"/>
    <s v="SANTAMARIA"/>
    <d v="2001-09-25T00:00:00"/>
    <n v="21"/>
    <s v="COLOMBIA"/>
    <s v="BOGOTÁ"/>
    <s v="BOGOTÁ"/>
    <s v="CC"/>
    <n v="1007749688"/>
    <s v="JESSICA"/>
    <s v="JULIETH"/>
    <s v="LUNA"/>
    <s v="ESPINOSA"/>
    <d v="2001-01-31T00:00:00"/>
    <n v="21"/>
    <s v="COLOMBIA"/>
    <s v="BOGOTÁ"/>
    <s v="BOGOTÁ"/>
    <x v="0"/>
    <x v="2"/>
    <x v="0"/>
    <d v="2022-03-01T00:00:00"/>
    <s v="SI_"/>
    <x v="2"/>
    <n v="1"/>
    <s v="NO_"/>
    <m/>
    <m/>
    <n v="37"/>
    <s v="2700 GR"/>
    <n v="45"/>
    <s v="SI_"/>
    <m/>
    <m/>
    <m/>
    <x v="2"/>
    <m/>
  </r>
  <r>
    <n v="1022451621"/>
    <x v="1"/>
    <d v="2022-04-04T00:00:00"/>
    <m/>
    <m/>
    <m/>
    <m/>
    <x v="0"/>
    <x v="2"/>
    <x v="2"/>
    <s v="RC"/>
    <s v="YOSETH"/>
    <s v="ESTEBAN"/>
    <s v="GUEVARA"/>
    <s v="BELTRAN"/>
    <s v="YOSETH ESTEBAN GUEVARA BELTRAN"/>
    <d v="2022-01-30T00:00:00"/>
    <x v="1"/>
    <n v="10"/>
    <n v="26"/>
    <s v="0 AÑOS 10 MESES 2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KR 6 ESTE NO 106 16 SUR"/>
    <n v="3112420330"/>
    <n v="3202477861"/>
    <x v="0"/>
    <s v="NO SE AUTORECONOCE EN NINGUNO DE LOS ANTERIORES"/>
    <x v="1"/>
    <x v="1"/>
    <s v="NO_"/>
    <s v="NO_"/>
    <s v="o. Ingresos iguales o inferiores a 1.5 Smlv"/>
    <m/>
    <s v="ABUELO(A)"/>
    <s v="CC"/>
    <n v="39767717"/>
    <s v="LUZ"/>
    <s v="MERY"/>
    <s v="RAMIREZ"/>
    <s v="TORRES"/>
    <d v="1973-12-25T00:00:00"/>
    <s v="COLOMBIA"/>
    <s v="BOGOTÁ"/>
    <s v="BOGOTÁ"/>
    <s v="CC"/>
    <n v="1023014370"/>
    <s v="HAROL "/>
    <s v="STIVEN"/>
    <s v="GUEVARA"/>
    <s v="CARDENAS"/>
    <d v="1996-07-23T00:00:00"/>
    <n v="26"/>
    <s v="COLOMBIA"/>
    <s v="BOGOTÁ"/>
    <s v="BOGOTÁ"/>
    <s v="CC"/>
    <n v="1023003090"/>
    <s v="YEIMY"/>
    <s v="KATERINE"/>
    <s v="BELTRAN"/>
    <s v="RAMIREZ"/>
    <d v="1995-03-27T00:00:00"/>
    <n v="27"/>
    <s v="COLOMBIA"/>
    <s v="BOGOTÁ"/>
    <s v="BOGOTÁ"/>
    <x v="0"/>
    <x v="4"/>
    <x v="0"/>
    <d v="2022-03-30T00:00:00"/>
    <s v="SI_"/>
    <x v="2"/>
    <n v="2"/>
    <s v="NO_"/>
    <m/>
    <m/>
    <n v="40"/>
    <s v="2770 GR"/>
    <n v="49"/>
    <s v="SI_"/>
    <m/>
    <m/>
    <m/>
    <x v="2"/>
    <m/>
  </r>
  <r>
    <n v="1023047711"/>
    <x v="0"/>
    <d v="2022-03-03T00:00:00"/>
    <d v="2022-04-04T00:00:00"/>
    <e v="#REF!"/>
    <e v="#N/A"/>
    <m/>
    <x v="0"/>
    <x v="6"/>
    <x v="6"/>
    <s v="RC"/>
    <s v="GABRIELA"/>
    <m/>
    <s v="DIAZ"/>
    <s v="GIRALDO"/>
    <s v="GABRIELA  DIAZ GIRALDO"/>
    <d v="2022-01-10T00:00:00"/>
    <x v="1"/>
    <n v="11"/>
    <n v="16"/>
    <s v="0 AÑOS 11 MESES 1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8 ESTE 98 C SUR 15"/>
    <n v="3218666602"/>
    <n v="3202072211"/>
    <x v="0"/>
    <s v="NO SE AUTORECONOCE EN NINGUNO DE LOS ANTERIORES"/>
    <x v="1"/>
    <x v="1"/>
    <s v="NO_"/>
    <s v="NO_"/>
    <s v="o. Ingresos iguales o inferiores a 1.5 Smlv"/>
    <m/>
    <s v="MADRE"/>
    <s v="CC"/>
    <n v="1001473922"/>
    <s v="LUISA"/>
    <s v="FERMANDA"/>
    <s v="GIRALDO"/>
    <s v="CASTAÑEDA"/>
    <d v="2003-01-25T00:00:00"/>
    <s v="COLOMBIA"/>
    <s v="NARIÑO"/>
    <m/>
    <m/>
    <m/>
    <m/>
    <m/>
    <m/>
    <m/>
    <m/>
    <s v=""/>
    <m/>
    <m/>
    <m/>
    <s v="CC"/>
    <n v="1001473922"/>
    <s v="LUISA"/>
    <s v="FERMANDA"/>
    <s v="GIRALDO"/>
    <s v="CASTAÑEDA"/>
    <d v="2003-01-25T00:00:00"/>
    <n v="19"/>
    <s v="COLOMBIA"/>
    <s v="NARIÑO"/>
    <m/>
    <x v="1"/>
    <x v="5"/>
    <x v="0"/>
    <d v="2022-03-01T00:00:00"/>
    <s v="SI_"/>
    <x v="2"/>
    <n v="6"/>
    <s v="NO_"/>
    <m/>
    <m/>
    <n v="38"/>
    <s v="3000 GR"/>
    <n v="51"/>
    <s v="SI_"/>
    <m/>
    <m/>
    <m/>
    <x v="2"/>
    <m/>
  </r>
  <r>
    <n v="1023047935"/>
    <x v="1"/>
    <d v="2022-03-03T00:00:00"/>
    <m/>
    <m/>
    <m/>
    <m/>
    <x v="0"/>
    <x v="2"/>
    <x v="2"/>
    <s v="RC"/>
    <s v="AXEL "/>
    <s v="ISAIAS"/>
    <s v="MORENO"/>
    <s v="MENDOZA"/>
    <s v="AXEL  ISAIAS MORENO MENDOZA"/>
    <d v="2022-01-13T00:00:00"/>
    <x v="1"/>
    <n v="11"/>
    <n v="13"/>
    <s v="0 AÑOS 11 MESES 1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KR 5 ESTE NO 97 D SUR 63"/>
    <n v="3204510461"/>
    <n v="3212617297"/>
    <x v="0"/>
    <s v="NO SE AUTORECONOCE EN NINGUNO DE LOS ANTERIORES"/>
    <x v="1"/>
    <x v="1"/>
    <s v="NO_"/>
    <s v="NO_"/>
    <s v="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"/>
    <m/>
    <s v="PADRE"/>
    <s v="SIN DOCUMENTO"/>
    <m/>
    <s v="DARWIN"/>
    <s v="JAVIER"/>
    <s v="MORENO"/>
    <s v="PORTILLO"/>
    <m/>
    <s v="VENEZUELA"/>
    <s v="EXTERIOR"/>
    <s v="EXTERIOR"/>
    <s v="SIN DOCUMENTO"/>
    <m/>
    <s v="DARWIN"/>
    <s v="JAVIER"/>
    <s v="MORENO"/>
    <s v="PORTILLO"/>
    <m/>
    <s v=""/>
    <s v="VENEZUELA"/>
    <s v="EXTERIOR"/>
    <s v="EXTERIOR"/>
    <s v="SIN DOCUMENTO"/>
    <m/>
    <s v="ARIANNY "/>
    <m/>
    <s v="MENDOZA"/>
    <s v="VASQUEZ"/>
    <d v="1995-10-07T00:00:00"/>
    <n v="27"/>
    <s v="VENEZUELA"/>
    <s v="EXTERIOR"/>
    <s v="EXTERIOR"/>
    <x v="1"/>
    <x v="1"/>
    <x v="0"/>
    <d v="2022-03-01T00:00:00"/>
    <s v="SI_"/>
    <x v="2"/>
    <n v="8"/>
    <s v="SI_"/>
    <m/>
    <m/>
    <n v="37"/>
    <s v="2250 GR"/>
    <n v="46"/>
    <s v="NO_"/>
    <n v="0"/>
    <n v="0"/>
    <m/>
    <x v="2"/>
    <m/>
  </r>
  <r>
    <n v="1206227657"/>
    <x v="0"/>
    <d v="2022-03-03T00:00:00"/>
    <d v="2022-07-25T00:00:00"/>
    <e v="#REF!"/>
    <e v="#N/A"/>
    <m/>
    <x v="0"/>
    <x v="2"/>
    <x v="2"/>
    <s v="RC"/>
    <s v="IKER"/>
    <s v="JERONIMO"/>
    <s v="RODRIGUEZ"/>
    <s v="PEREZ"/>
    <s v="IKER JERONIMO RODRIGUEZ PEREZ"/>
    <d v="2022-01-01T00:00:00"/>
    <x v="1"/>
    <n v="11"/>
    <n v="25"/>
    <s v="0 AÑOS 11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TV 7 BIS A ESTE NO 117 C SUR 25 PISO 1"/>
    <n v="3117330178"/>
    <n v="3209502258"/>
    <x v="0"/>
    <s v="NO SE AUTORECONOCE EN NINGUNO DE LOS ANTERIORES"/>
    <x v="0"/>
    <x v="3"/>
    <s v="NO_"/>
    <s v="NO_"/>
    <s v="o. Ingresos iguales o inferiores a 1.5 Smlv"/>
    <m/>
    <s v="ABUELO(A)"/>
    <s v="CC"/>
    <n v="52129501"/>
    <s v="ALIX"/>
    <s v="STELLA"/>
    <s v="ALVARADO"/>
    <s v="NIETO"/>
    <d v="1971-01-09T00:00:00"/>
    <s v="COLOMBIA"/>
    <s v="CUNDINAMARCA"/>
    <s v="UBATÉ"/>
    <s v="CC"/>
    <n v="1033731972"/>
    <s v="JEFERSON"/>
    <s v="DANILO"/>
    <s v="RODRIGUEZ"/>
    <s v="JIMENEZ"/>
    <d v="1991-03-16T00:00:00"/>
    <n v="31"/>
    <s v="COLOMBIA"/>
    <s v="CUNDINAMARCA"/>
    <s v="CACHIPAY"/>
    <s v="CC"/>
    <n v="1033786872"/>
    <s v="MAIDY"/>
    <s v="ALEXANDRA"/>
    <s v="PEREZ"/>
    <s v="ALVARADO"/>
    <d v="1996-04-06T00:00:00"/>
    <n v="26"/>
    <s v="COLOMBIA"/>
    <s v="BOGOTÁ"/>
    <s v="BOGOTÁ"/>
    <x v="1"/>
    <x v="6"/>
    <x v="0"/>
    <d v="2022-03-01T00:00:00"/>
    <s v="NO_"/>
    <x v="2"/>
    <n v="2"/>
    <s v="NO_"/>
    <m/>
    <m/>
    <n v="40"/>
    <s v="4460 GR"/>
    <n v="51"/>
    <s v="SI_"/>
    <m/>
    <m/>
    <m/>
    <x v="2"/>
    <m/>
  </r>
  <r>
    <n v="1023047052"/>
    <x v="0"/>
    <d v="2022-04-04T00:00:00"/>
    <d v="2022-05-02T00:00:00"/>
    <e v="#REF!"/>
    <e v="#N/A"/>
    <m/>
    <x v="0"/>
    <x v="6"/>
    <x v="6"/>
    <s v="RC"/>
    <s v="DANIEL"/>
    <s v="ALEXANDER"/>
    <s v="CASTILLO"/>
    <s v="QUIROGA"/>
    <s v="DANIEL ALEXANDER CASTILLO QUIROGA"/>
    <d v="2021-08-13T00:00:00"/>
    <x v="3"/>
    <n v="4"/>
    <n v="13"/>
    <s v="1 AÑOS 4 MESES 1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7 ESTE NO 108 SUR 36"/>
    <n v="3222764021"/>
    <n v="3103206481"/>
    <x v="0"/>
    <s v="NO SE AUTORECONOCE EN NINGUNO DE LOS ANTERIORES"/>
    <x v="1"/>
    <x v="1"/>
    <s v="NO_"/>
    <s v="NO_"/>
    <s v="o. Ingresos iguales o inferiores a 1.5 Smlv"/>
    <m/>
    <s v="ABUELO(A)"/>
    <s v="CC"/>
    <n v="28438817"/>
    <s v="OLGA"/>
    <s v="EDIT"/>
    <s v="MORENO"/>
    <s v="MORENO"/>
    <d v="1976-11-15T00:00:00"/>
    <s v="COLOMBIA"/>
    <s v="SANTANDER"/>
    <m/>
    <s v="CC"/>
    <n v="1031172147"/>
    <s v="EDUAR"/>
    <s v="ALESANDER"/>
    <s v="CASTILLO"/>
    <s v="WILCHES"/>
    <d v="1997-09-20T00:00:00"/>
    <n v="25"/>
    <s v="COLOMBIA"/>
    <s v="BOGOTÁ"/>
    <s v="BOGOTÁ"/>
    <s v="CC"/>
    <n v="1023031462"/>
    <s v="ZORLEIDY"/>
    <m/>
    <s v="QUIROGA"/>
    <s v="MORENO"/>
    <d v="1998-11-10T00:00:00"/>
    <n v="24"/>
    <s v="COLOMBIA"/>
    <s v="SANTANDER"/>
    <s v="SUCRE"/>
    <x v="1"/>
    <x v="6"/>
    <x v="0"/>
    <d v="2022-03-30T00:00:00"/>
    <s v="SI_"/>
    <x v="2"/>
    <n v="4"/>
    <s v="SI_"/>
    <m/>
    <m/>
    <s v="37.1"/>
    <s v="2390 GR"/>
    <s v="47.5"/>
    <s v="NO_"/>
    <n v="6"/>
    <m/>
    <m/>
    <x v="1"/>
    <m/>
  </r>
  <r>
    <n v="1023047549"/>
    <x v="0"/>
    <d v="2022-03-03T00:00:00"/>
    <d v="2022-04-04T00:00:00"/>
    <e v="#REF!"/>
    <e v="#N/A"/>
    <m/>
    <x v="0"/>
    <x v="6"/>
    <x v="6"/>
    <s v="RC"/>
    <s v="JHOSTIN"/>
    <s v="ANDRES"/>
    <s v="PEDRAZA"/>
    <s v="BELTRAN"/>
    <s v="JHOSTIN ANDRES PEDRAZA BELTRAN"/>
    <d v="2021-11-09T00:00:00"/>
    <x v="3"/>
    <n v="1"/>
    <n v="17"/>
    <s v="1 AÑOS 1 MESES 1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KR 5 BIS ESTE 106 A 15 SUR"/>
    <n v="3143764368"/>
    <n v="3017964955"/>
    <x v="0"/>
    <s v="NO SE AUTORECONOCE EN NINGUNO DE LOS ANTERIORES"/>
    <x v="1"/>
    <x v="1"/>
    <s v="NO_"/>
    <s v="NO_"/>
    <s v="o. Ingresos iguales o inferiores a 1.5 Smlv"/>
    <m/>
    <s v="MADRE"/>
    <s v="CC"/>
    <n v="1012440402"/>
    <s v="CARMEN"/>
    <s v="ANDREA "/>
    <s v="BELTRAN"/>
    <s v="ARANDA"/>
    <d v="1997-02-05T00:00:00"/>
    <s v="COLOMBIA"/>
    <s v="BOGOTÁ"/>
    <s v="BOGOTÁ"/>
    <s v="CC"/>
    <n v="1022961777"/>
    <s v="FABIAN"/>
    <s v="ORLANDO"/>
    <s v="PEDRAZA"/>
    <s v="ORTIZ"/>
    <d v="1990-08-03T00:00:00"/>
    <n v="32"/>
    <s v="COLOMBIA"/>
    <s v="BOGOTÁ"/>
    <s v="BOGOTÁ"/>
    <s v="CC"/>
    <n v="1012440402"/>
    <s v="CARMEN"/>
    <s v="ANDREA "/>
    <s v="BELTRAN"/>
    <s v="ARANDA"/>
    <d v="1997-02-05T00:00:00"/>
    <n v="25"/>
    <s v="COLOMBIA"/>
    <s v="BOGOTÁ"/>
    <s v="BOGOTÁ"/>
    <x v="0"/>
    <x v="0"/>
    <x v="0"/>
    <d v="2022-03-01T00:00:00"/>
    <s v="SI_"/>
    <x v="2"/>
    <n v="2"/>
    <s v="NO_"/>
    <m/>
    <m/>
    <n v="37"/>
    <s v="3200 GR"/>
    <n v="47"/>
    <s v="NO_"/>
    <n v="0"/>
    <n v="0"/>
    <m/>
    <x v="1"/>
    <m/>
  </r>
  <r>
    <n v="1011261221"/>
    <x v="1"/>
    <d v="2022-03-03T00:00:00"/>
    <m/>
    <m/>
    <m/>
    <m/>
    <x v="0"/>
    <x v="3"/>
    <x v="3"/>
    <s v="RC"/>
    <s v="INGRIT"/>
    <s v="SALOME"/>
    <s v="GARCIA"/>
    <s v="MARTINEZ"/>
    <s v="INGRIT SALOME GARCIA MARTINEZ"/>
    <d v="2021-10-05T00:00:00"/>
    <x v="3"/>
    <n v="2"/>
    <n v="21"/>
    <s v="1 AÑOS 2 MESES 2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9C ESTE 113B SUR 00"/>
    <n v="3223441360"/>
    <m/>
    <x v="0"/>
    <s v="NO SE AUTORECONOCE EN NINGUNO DE LOS ANTERIORES"/>
    <x v="1"/>
    <x v="1"/>
    <s v="NO_"/>
    <s v="NO_"/>
    <s v="o. Ingresos iguales o inferiores a 1.5 Smlv"/>
    <m/>
    <s v="MADRE"/>
    <s v="CC"/>
    <n v="1123161620"/>
    <s v="NATALIA"/>
    <s v="ALEXANDRA"/>
    <s v="MARTINEZ"/>
    <s v="PORTO"/>
    <d v="2001-04-02T00:00:00"/>
    <s v="COLOMBIA"/>
    <s v="GUAVIARE"/>
    <s v="MIRAFLORES"/>
    <s v="CC"/>
    <n v="1023038235"/>
    <s v="JUAN"/>
    <s v="DAVID"/>
    <s v="GARCIA"/>
    <s v="TRUJILLO"/>
    <d v="1999-09-20T00:00:00"/>
    <n v="23"/>
    <s v="COLOMBIA"/>
    <s v="BOGOTÁ"/>
    <s v="BOGOTÁ"/>
    <s v="CC"/>
    <n v="1123161620"/>
    <s v="NATALIA"/>
    <s v="ALEXANDRA"/>
    <s v="MARTINEZ"/>
    <s v="PORTO"/>
    <d v="2001-04-02T00:00:00"/>
    <n v="21"/>
    <s v="COLOMBIA"/>
    <s v="GUAVIARE"/>
    <s v="MIRAFLORES"/>
    <x v="1"/>
    <x v="6"/>
    <x v="0"/>
    <d v="2022-03-01T00:00:00"/>
    <s v="SI_"/>
    <x v="2"/>
    <n v="3"/>
    <s v="SI_"/>
    <m/>
    <m/>
    <n v="36"/>
    <s v="2750 GR"/>
    <s v="47.5"/>
    <s v="SI_"/>
    <m/>
    <m/>
    <m/>
    <x v="1"/>
    <m/>
  </r>
  <r>
    <n v="1026604149"/>
    <x v="0"/>
    <d v="2022-03-03T00:00:00"/>
    <d v="2022-03-28T00:00:00"/>
    <e v="#REF!"/>
    <e v="#N/A"/>
    <m/>
    <x v="0"/>
    <x v="6"/>
    <x v="6"/>
    <s v="RC"/>
    <s v="ANNYE"/>
    <s v="HINATA"/>
    <s v="TREJOS"/>
    <s v="GONZALEZ"/>
    <s v="ANNYE HINATA TREJOS GONZALEZ"/>
    <d v="2021-12-31T00:00:00"/>
    <x v="1"/>
    <n v="11"/>
    <n v="25"/>
    <s v="0 AÑOS 11 MESES 2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5"/>
    <m/>
    <s v="CALLE 89 A SUR NO 8 A ESTE 10 PISO 1"/>
    <n v="3016911717"/>
    <n v="3044816545"/>
    <x v="0"/>
    <s v="NO SE AUTORECONOCE EN NINGUNO DE LOS ANTERIORES"/>
    <x v="1"/>
    <x v="1"/>
    <s v="NO_"/>
    <s v="NO_"/>
    <s v="o. Ingresos iguales o inferiores a 1.5 Smlv"/>
    <m/>
    <s v="ABUELO(A)"/>
    <s v="CC"/>
    <n v="51906526"/>
    <s v="LUZ"/>
    <s v="MYRIAN"/>
    <s v="RODRIGUEZ"/>
    <s v="DIAZ"/>
    <d v="1969-03-15T00:00:00"/>
    <s v="COLOMBIA"/>
    <s v="BOGOTÁ"/>
    <s v="BOGOTÁ"/>
    <s v="CC"/>
    <n v="1088293776"/>
    <s v="SEBASTIAN"/>
    <m/>
    <s v="TREJOS"/>
    <s v="ZULETA"/>
    <d v="1991-09-24T00:00:00"/>
    <n v="31"/>
    <s v="COLOMBIA"/>
    <s v="NORTE_DE_SANTANDER"/>
    <s v="CÚCUTA"/>
    <s v="CC"/>
    <n v="1053693268"/>
    <s v="HERLY"/>
    <s v="MERCEDES"/>
    <s v="GONZALEZ"/>
    <s v="RODRIGUEZ"/>
    <d v="1992-02-27T00:00:00"/>
    <n v="30"/>
    <s v="COLOMBIA"/>
    <s v="BOGOTÁ"/>
    <s v="BOGOTÁ"/>
    <x v="1"/>
    <x v="6"/>
    <x v="0"/>
    <d v="2022-03-08T00:00:00"/>
    <s v="SI_"/>
    <x v="2"/>
    <n v="2"/>
    <s v="SI_"/>
    <m/>
    <m/>
    <n v="38"/>
    <s v="2490GR"/>
    <n v="45"/>
    <s v="NO_"/>
    <n v="1"/>
    <m/>
    <m/>
    <x v="2"/>
    <m/>
  </r>
  <r>
    <n v="1023047101"/>
    <x v="1"/>
    <d v="2022-03-03T00:00:00"/>
    <m/>
    <m/>
    <m/>
    <m/>
    <x v="0"/>
    <x v="3"/>
    <x v="3"/>
    <s v="RC"/>
    <s v="ERICK"/>
    <s v="SANTIAGO"/>
    <s v="CAMELO"/>
    <s v="RUEDA"/>
    <s v="ERICK SANTIAGO CAMELO RUEDA"/>
    <d v="2021-08-27T00:00:00"/>
    <x v="3"/>
    <n v="3"/>
    <n v="29"/>
    <s v="1 AÑOS 3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LLE 111 SUR NO 8 ESTE 31"/>
    <n v="3229228180"/>
    <n v="3209860498"/>
    <x v="0"/>
    <s v="NO SE AUTORECONOCE EN NINGUNO DE LOS ANTERIORES"/>
    <x v="0"/>
    <x v="12"/>
    <s v="NO_"/>
    <s v="NO_"/>
    <s v="o. Ingresos iguales o inferiores a 1.5 Smlv"/>
    <m/>
    <s v="ABUELO(A)"/>
    <s v="CC"/>
    <n v="52288113"/>
    <s v="LUZ"/>
    <s v="NEICY"/>
    <s v="TOVAR"/>
    <s v="ROMERO"/>
    <d v="1979-07-19T00:00:00"/>
    <s v="COLOMBIA"/>
    <s v="BOGOTÁ"/>
    <s v="BOGOTÁ"/>
    <s v="CC"/>
    <n v="1000692134"/>
    <s v="ANDRES"/>
    <s v="YESID"/>
    <s v="CAMELO"/>
    <s v="TOVAR"/>
    <d v="2002-07-24T00:00:00"/>
    <n v="20"/>
    <s v="COLOMBIA"/>
    <s v="BOGOTÁ"/>
    <s v="BOGOTÁ"/>
    <s v="CC"/>
    <n v="1016592968"/>
    <s v="LAURA"/>
    <s v="YULIED"/>
    <s v="RUEDA"/>
    <s v="ARIZA"/>
    <d v="2004-05-13T00:00:00"/>
    <n v="18"/>
    <s v="COLOMBIA"/>
    <s v="BOGOTÁ"/>
    <s v="BOGOTÁ"/>
    <x v="0"/>
    <x v="6"/>
    <x v="0"/>
    <d v="2022-03-01T00:00:00"/>
    <s v="SI_"/>
    <x v="2"/>
    <n v="2"/>
    <s v="NO_"/>
    <m/>
    <m/>
    <n v="39"/>
    <s v="3490 GR"/>
    <n v="54"/>
    <s v="NO_"/>
    <n v="6"/>
    <m/>
    <m/>
    <x v="1"/>
    <m/>
  </r>
  <r>
    <n v="1019160387"/>
    <x v="0"/>
    <d v="2022-03-03T00:00:00"/>
    <d v="2022-09-26T00:00:00"/>
    <e v="#REF!"/>
    <e v="#N/A"/>
    <m/>
    <x v="0"/>
    <x v="3"/>
    <x v="3"/>
    <s v="RC"/>
    <s v="DENAYLIN"/>
    <s v="ROSARIO"/>
    <s v="TORRADO"/>
    <s v="ROCHA"/>
    <s v="DENAYLIN ROSARIO TORRADO ROCHA"/>
    <d v="2021-07-08T00:00:00"/>
    <x v="3"/>
    <n v="5"/>
    <n v="18"/>
    <s v="1 AÑOS 5 MESES 1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6 ESTE NO 98 C SUR 04"/>
    <n v="3017678005"/>
    <m/>
    <x v="0"/>
    <s v="NO SE AUTORECONOCE EN NINGUNO DE LOS ANTERIORES"/>
    <x v="0"/>
    <x v="4"/>
    <s v="NO_"/>
    <s v="NO_"/>
    <s v="a. Pertenecientes a hogares con puntaje SISBEN"/>
    <m/>
    <s v="MADRE"/>
    <s v="CC"/>
    <n v="1235255381"/>
    <s v="NAIMARU"/>
    <m/>
    <s v="ROCHA"/>
    <s v="JIMENEZ"/>
    <d v="1990-06-02T00:00:00"/>
    <s v="VENEZUELA"/>
    <s v="EXTERIOR"/>
    <s v="EXTERIOR"/>
    <s v="CC"/>
    <n v="1090504121"/>
    <s v="DEIMER"/>
    <m/>
    <s v="TORRADO"/>
    <s v="TARAZONA"/>
    <d v="1992-12-04T00:00:00"/>
    <n v="30"/>
    <s v="COLOMBIA"/>
    <s v="NORTE_DE_SANTANDER"/>
    <s v="CÚCUTA"/>
    <s v="CC"/>
    <n v="1235255381"/>
    <s v="NAIMARU"/>
    <m/>
    <s v="ROCHA"/>
    <s v="JIMENEZ"/>
    <d v="1990-06-02T00:00:00"/>
    <n v="32"/>
    <s v="VENEZUELA"/>
    <s v="EXTERIOR"/>
    <s v="EXTERIOR"/>
    <x v="0"/>
    <x v="2"/>
    <x v="0"/>
    <d v="2022-03-01T00:00:00"/>
    <s v="SI_"/>
    <x v="2"/>
    <n v="2"/>
    <s v="NO_"/>
    <m/>
    <m/>
    <s v="38.7"/>
    <s v="2995 GR"/>
    <n v="49"/>
    <s v="NO_"/>
    <n v="6"/>
    <m/>
    <m/>
    <x v="1"/>
    <m/>
  </r>
  <r>
    <n v="1093612269"/>
    <x v="0"/>
    <d v="2022-03-03T00:00:00"/>
    <d v="2022-05-16T00:00:00"/>
    <e v="#REF!"/>
    <e v="#N/A"/>
    <m/>
    <x v="0"/>
    <x v="3"/>
    <x v="3"/>
    <s v="RC"/>
    <s v="LEONARDO"/>
    <s v="ALFONSO"/>
    <s v="RODRIGUEZ"/>
    <s v="HIDALGO"/>
    <s v="LEONARDO ALFONSO RODRIGUEZ HIDALGO"/>
    <d v="2021-07-22T00:00:00"/>
    <x v="3"/>
    <n v="5"/>
    <n v="4"/>
    <s v="1 AÑOS 5 MESES 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KR 6A ESTE 90 SUR 41"/>
    <n v="3027451392"/>
    <n v="3218347927"/>
    <x v="0"/>
    <s v="NO SE AUTORECONOCE EN NINGUNO DE LOS ANTERIORES"/>
    <x v="0"/>
    <x v="5"/>
    <s v="NO_"/>
    <s v="NO_"/>
    <s v="a. Pertenecientes a hogares con puntaje SISBEN"/>
    <m/>
    <s v="MADRE"/>
    <s v="SIN DOCUMENTO"/>
    <m/>
    <s v="DIVEANA"/>
    <s v="CAROLINA"/>
    <s v="HIDALGO"/>
    <s v="PEÑA"/>
    <d v="1992-09-06T00:00:00"/>
    <s v="VENEZUELA"/>
    <s v="EXTERIOR"/>
    <s v="EXTERIOR"/>
    <s v="CC"/>
    <n v="1093746564"/>
    <s v="JONATHAN"/>
    <s v="ALFONSO"/>
    <s v="RODRIGUEZ"/>
    <s v="SILVA"/>
    <d v="1988-10-15T00:00:00"/>
    <n v="34"/>
    <s v="COLOMBIA"/>
    <s v="NORTE_DE_SANTANDER"/>
    <s v="CÚCUTA"/>
    <s v="SIN DOCUMENTO"/>
    <m/>
    <s v="DIVEANA"/>
    <s v="CAROLINA"/>
    <s v="HIDALGO"/>
    <s v="PEÑA"/>
    <d v="1992-09-06T00:00:00"/>
    <n v="30"/>
    <s v="VENEZUELA"/>
    <s v="EXTERIOR"/>
    <s v="EXTERIOR"/>
    <x v="1"/>
    <x v="2"/>
    <x v="0"/>
    <d v="2022-03-01T00:00:00"/>
    <s v="SI_"/>
    <x v="2"/>
    <n v="3"/>
    <s v="NO_"/>
    <m/>
    <m/>
    <n v="38"/>
    <s v="2900 GR"/>
    <n v="49"/>
    <s v="NO_"/>
    <n v="6"/>
    <m/>
    <m/>
    <x v="1"/>
    <m/>
  </r>
  <r>
    <n v="1023047166"/>
    <x v="0"/>
    <d v="2022-03-03T00:00:00"/>
    <d v="2022-04-20T00:00:00"/>
    <e v="#REF!"/>
    <e v="#N/A"/>
    <m/>
    <x v="0"/>
    <x v="3"/>
    <x v="3"/>
    <s v="RC"/>
    <s v="MATHEW"/>
    <m/>
    <s v="PINZON"/>
    <s v="PARDO"/>
    <s v="MATHEW  PINZON PARDO"/>
    <d v="2021-08-27T00:00:00"/>
    <x v="3"/>
    <n v="3"/>
    <n v="29"/>
    <s v="1 AÑOS 3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9"/>
    <m/>
    <s v="KR 6 A NO 91 SUR 07"/>
    <n v="3223376869"/>
    <n v="3112771525"/>
    <x v="0"/>
    <s v="NO SE AUTORECONOCE EN NINGUNO DE LOS ANTERIORES"/>
    <x v="0"/>
    <x v="8"/>
    <s v="NO_"/>
    <s v="NO_"/>
    <s v="a. Pertenecientes a hogares con puntaje SISBEN"/>
    <m/>
    <s v="MADRE"/>
    <s v="CC"/>
    <n v="1022962343"/>
    <s v="KATHERINE"/>
    <s v="VANESSA"/>
    <s v="PARDO"/>
    <s v="RIASCOS"/>
    <d v="1990-08-26T00:00:00"/>
    <s v="COLOMBIA"/>
    <s v="BOGOTÁ"/>
    <s v="BOGOTÁ"/>
    <s v="CC"/>
    <n v="1022995647"/>
    <s v="ALVARO"/>
    <s v="DE JESUS"/>
    <s v="PINZON"/>
    <s v="GUATAMA"/>
    <d v="1994-04-01T00:00:00"/>
    <n v="28"/>
    <s v="COLOMBIA"/>
    <s v="BOGOTÁ"/>
    <s v="BOGOTÁ"/>
    <s v="CC"/>
    <n v="1022962343"/>
    <s v="KATHERINE"/>
    <s v="VANESSA"/>
    <s v="PARDO"/>
    <s v="RIASCOS"/>
    <d v="1990-08-26T00:00:00"/>
    <n v="32"/>
    <s v="COLOMBIA"/>
    <s v="BOGOTÁ"/>
    <s v="BOGOTÁ"/>
    <x v="0"/>
    <x v="6"/>
    <x v="0"/>
    <d v="2022-03-01T00:00:00"/>
    <s v="SI_"/>
    <x v="2"/>
    <n v="4"/>
    <s v="SI_"/>
    <m/>
    <m/>
    <n v="37"/>
    <s v="2495 GR"/>
    <n v="47"/>
    <s v="NO_"/>
    <n v="6"/>
    <m/>
    <m/>
    <x v="1"/>
    <m/>
  </r>
  <r>
    <n v="1023046416"/>
    <x v="1"/>
    <d v="2022-03-03T00:00:00"/>
    <m/>
    <m/>
    <m/>
    <m/>
    <x v="0"/>
    <x v="4"/>
    <x v="4"/>
    <s v="RC"/>
    <s v="EMILY"/>
    <m/>
    <s v="TORO"/>
    <s v="MORENO"/>
    <s v="EMILY  TORO MORENO"/>
    <d v="2021-03-18T00:00:00"/>
    <x v="3"/>
    <n v="9"/>
    <n v="8"/>
    <s v="1 AÑOS 9 MESES 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KR 6 D BIS ESTE NO 116 SUR 52"/>
    <n v="3214972700"/>
    <n v="3144091830"/>
    <x v="0"/>
    <s v="NO SE AUTORECONOCE EN NINGUNO DE LOS ANTERIORES"/>
    <x v="0"/>
    <x v="4"/>
    <s v="NO_"/>
    <s v="NO_"/>
    <s v="a. Pertenecientes a hogares con puntaje SISBEN"/>
    <m/>
    <s v="ABUELO(A)"/>
    <s v="CC"/>
    <n v="52176492"/>
    <s v="LISETTE"/>
    <s v="MAGALY"/>
    <s v="GARCIA"/>
    <s v="JIMENEZ"/>
    <d v="1970-03-26T00:00:00"/>
    <s v="COLOMBIA"/>
    <s v="BOGOTÁ"/>
    <s v="BOGOTÁ"/>
    <m/>
    <m/>
    <m/>
    <m/>
    <m/>
    <m/>
    <m/>
    <s v=""/>
    <m/>
    <m/>
    <m/>
    <s v="CC"/>
    <n v="1023031760"/>
    <s v="DIANA"/>
    <s v="PAOLA"/>
    <s v="MORENO"/>
    <s v="GARCIA"/>
    <d v="1998-11-26T00:00:00"/>
    <n v="24"/>
    <s v="COLOMBIA"/>
    <s v="BOGOTÁ"/>
    <s v="BOGOTÁ"/>
    <x v="0"/>
    <x v="3"/>
    <x v="0"/>
    <d v="2022-03-01T00:00:00"/>
    <s v="SI_"/>
    <x v="2"/>
    <n v="2"/>
    <s v="NO_"/>
    <m/>
    <m/>
    <n v="39"/>
    <s v="3000 GR "/>
    <n v="48"/>
    <s v="NO_"/>
    <n v="6"/>
    <m/>
    <m/>
    <x v="1"/>
    <m/>
  </r>
  <r>
    <n v="1023046885"/>
    <x v="1"/>
    <d v="2022-03-03T00:00:00"/>
    <m/>
    <m/>
    <m/>
    <m/>
    <x v="0"/>
    <x v="5"/>
    <x v="5"/>
    <s v="RC"/>
    <s v="MIA"/>
    <s v="ISABELLA"/>
    <s v="POVEDA"/>
    <s v="VERGARA"/>
    <s v="MIA ISABELLA POVEDA VERGARA"/>
    <d v="2021-07-07T00:00:00"/>
    <x v="3"/>
    <n v="5"/>
    <n v="19"/>
    <s v="1 AÑOS 5 MESES 1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LLE 105 A SUR NUMERO 7 F ESTE 6 PISO "/>
    <n v="3144140053"/>
    <m/>
    <x v="0"/>
    <s v="NO SE AUTORECONOCE EN NINGUNO DE LOS ANTERIORES"/>
    <x v="1"/>
    <x v="1"/>
    <s v="NO_"/>
    <s v="NO_"/>
    <s v="o. Ingresos iguales o inferiores a 1.5 Smlv"/>
    <m/>
    <s v="MADRE"/>
    <s v="CC"/>
    <n v="1023022093"/>
    <s v="LEIDY"/>
    <s v="DAYANNA"/>
    <s v="VERGARA "/>
    <s v="SANTA"/>
    <d v="1997-07-03T00:00:00"/>
    <s v="COLOMBIA"/>
    <s v="TOLIMA"/>
    <s v="CHAPARRAL"/>
    <s v="CC"/>
    <n v="80812212"/>
    <s v="JUAN"/>
    <s v="GABRIEL"/>
    <s v="POVEDA"/>
    <s v="MOROS"/>
    <d v="1984-12-04T00:00:00"/>
    <n v="38"/>
    <s v="COLOMBIA"/>
    <s v="BOGOTÁ"/>
    <s v="BOGOTÁ"/>
    <s v="CC"/>
    <n v="1023022093"/>
    <s v="LEIDY"/>
    <s v="DAYANNA"/>
    <s v="VERGARA"/>
    <s v="SANTA"/>
    <d v="1997-07-03T00:00:00"/>
    <n v="25"/>
    <s v="COLOMBIA"/>
    <s v="TOLIMA"/>
    <s v="CHAPARRAL"/>
    <x v="0"/>
    <x v="4"/>
    <x v="0"/>
    <d v="2022-03-07T00:00:00"/>
    <s v="SI_"/>
    <x v="2"/>
    <n v="0"/>
    <s v="NO_"/>
    <m/>
    <m/>
    <n v="37"/>
    <s v="3390 GR "/>
    <n v="51"/>
    <s v="NO_"/>
    <n v="6"/>
    <m/>
    <m/>
    <x v="1"/>
    <m/>
  </r>
  <r>
    <n v="1023043961"/>
    <x v="1"/>
    <d v="2022-04-20T00:00:00"/>
    <m/>
    <m/>
    <m/>
    <s v="TRIANGULO"/>
    <x v="0"/>
    <x v="4"/>
    <x v="4"/>
    <s v="RC"/>
    <s v="HANNA"/>
    <s v="VALENTINA"/>
    <s v="ARIAS"/>
    <s v="ROJAS"/>
    <s v="HANNA VALENTINA ARIAS ROJAS"/>
    <d v="2019-08-07T00:00:00"/>
    <x v="10"/>
    <n v="4"/>
    <n v="19"/>
    <s v="3 AÑOS 4 MESES 1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KR8DESTE#90SUR-45"/>
    <n v="3124217164"/>
    <n v="3206352066"/>
    <x v="0"/>
    <s v="NO SE AUTORECONOCE EN NINGUNO DE LOS ANTERIORES"/>
    <x v="1"/>
    <x v="1"/>
    <s v="NO_"/>
    <s v="NO_"/>
    <s v="o. Ingresos iguales o inferiores a 1.5 Smlv"/>
    <m/>
    <s v="MADRE"/>
    <s v="CC"/>
    <n v="45622996"/>
    <s v="NEIDY"/>
    <s v="ADRIANA"/>
    <s v="ROJAS"/>
    <s v="ROJAS"/>
    <d v="1983-09-30T00:00:00"/>
    <s v="COLOMBIA"/>
    <s v="BOGOTÁ"/>
    <s v="BOGOTÁ"/>
    <s v="CC"/>
    <n v="1022955449"/>
    <s v="STIWAR"/>
    <m/>
    <s v="ARIAS"/>
    <s v="MURILLO"/>
    <d v="1989-11-23T00:00:00"/>
    <n v="33"/>
    <s v="COLOMBIA"/>
    <s v="TOLIMA"/>
    <s v="IBAGUÉ"/>
    <s v="CC"/>
    <n v="45622996"/>
    <s v="NEIDY"/>
    <s v="ADRIANA"/>
    <s v="ROJAS"/>
    <s v="ROJAS"/>
    <d v="1983-09-30T00:00:00"/>
    <n v="39"/>
    <s v="COLOMBIA"/>
    <s v="BOGOTÁ"/>
    <s v="BOGOTÁ"/>
    <x v="0"/>
    <x v="3"/>
    <x v="0"/>
    <d v="2022-04-18T00:00:00"/>
    <s v="SI_"/>
    <x v="1"/>
    <m/>
    <s v="NO_"/>
    <m/>
    <m/>
    <n v="36"/>
    <n v="1980"/>
    <n v="43"/>
    <m/>
    <n v="6"/>
    <n v="6"/>
    <s v="NA"/>
    <x v="3"/>
    <m/>
  </r>
  <r>
    <n v="1206226361"/>
    <x v="0"/>
    <d v="2022-03-03T00:00:00"/>
    <d v="2022-04-20T00:00:00"/>
    <e v="#REF!"/>
    <e v="#N/A"/>
    <m/>
    <x v="0"/>
    <x v="4"/>
    <x v="4"/>
    <s v="RC"/>
    <s v="LICETH "/>
    <s v="MARIANA"/>
    <s v="OLARTE"/>
    <s v="SANCHEZ"/>
    <s v="LICETH  MARIANA OLARTE SANCHEZ"/>
    <d v="2020-09-20T00:00:00"/>
    <x v="2"/>
    <n v="3"/>
    <n v="6"/>
    <s v="2 AÑOS 3 MESES 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CALLE 117 SUR NO B ESTE 15 PISO 1"/>
    <n v="3143519344"/>
    <n v="3202835181"/>
    <x v="0"/>
    <s v="NO SE AUTORECONOCE EN NINGUNO DE LOS ANTERIORES"/>
    <x v="0"/>
    <x v="17"/>
    <s v="NO_"/>
    <s v="NO_"/>
    <s v="o. Ingresos iguales o inferiores a 1.5 Smlv"/>
    <m/>
    <s v="ABUELO(A)"/>
    <s v="CC"/>
    <n v="52635693"/>
    <s v="MARIA "/>
    <s v="TERESA"/>
    <s v="ARIAS"/>
    <s v="PEREZ"/>
    <d v="1979-03-20T00:00:00"/>
    <s v="COLOMBIA"/>
    <s v="BOGOTÁ"/>
    <s v="BOGOTÁ"/>
    <m/>
    <m/>
    <m/>
    <m/>
    <m/>
    <m/>
    <m/>
    <s v=""/>
    <m/>
    <m/>
    <m/>
    <s v="CC"/>
    <n v="1000320976"/>
    <s v="LUISA"/>
    <s v="FERNANDA"/>
    <s v="SANCHEZ"/>
    <s v="ARIAS"/>
    <d v="2001-08-24T00:00:00"/>
    <n v="21"/>
    <s v="COLOMBIA"/>
    <s v="BOGOTÁ"/>
    <s v="BOGOTÁ"/>
    <x v="1"/>
    <x v="6"/>
    <x v="0"/>
    <d v="2022-03-01T00:00:00"/>
    <s v="SI_"/>
    <x v="2"/>
    <n v="3"/>
    <s v="SI_"/>
    <m/>
    <m/>
    <n v="34"/>
    <s v="2200 GR"/>
    <n v="45"/>
    <s v="NO_"/>
    <n v="0"/>
    <m/>
    <m/>
    <x v="1"/>
    <m/>
  </r>
  <r>
    <n v="1243859333"/>
    <x v="1"/>
    <d v="2022-03-03T00:00:00"/>
    <m/>
    <m/>
    <m/>
    <m/>
    <x v="0"/>
    <x v="4"/>
    <x v="4"/>
    <s v="RC"/>
    <s v="LIAM"/>
    <s v="JARED"/>
    <s v="FORERO"/>
    <s v="VIVAS"/>
    <s v="LIAM JARED FORERO VIVAS"/>
    <d v="2020-08-30T00:00:00"/>
    <x v="2"/>
    <n v="3"/>
    <n v="26"/>
    <s v="2 AÑOS 3 MESES 2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CALLE 97 D SUR 3 A ESTE 23"/>
    <n v="3213152224"/>
    <m/>
    <x v="0"/>
    <s v="NO SE AUTORECONOCE EN NINGUNO DE LOS ANTERIORES"/>
    <x v="0"/>
    <x v="1"/>
    <s v="NO_"/>
    <s v="NO_"/>
    <s v="o. Ingresos iguales o inferiores a 1.5 Smlv"/>
    <m/>
    <s v="MADRE"/>
    <s v="CC"/>
    <n v="1033780624"/>
    <s v="INGRID "/>
    <s v="LORENA "/>
    <s v="VIVAS"/>
    <s v="TRIVIÑO"/>
    <d v="1995-10-03T00:00:00"/>
    <s v="COLOMBIA"/>
    <s v="BOGOTÁ"/>
    <s v="BOGOTÁ"/>
    <s v="CC"/>
    <n v="1022998842"/>
    <s v="SEBASTIAN"/>
    <m/>
    <s v="FORERO"/>
    <s v="PAMO"/>
    <d v="1994-09-05T00:00:00"/>
    <n v="28"/>
    <s v="COLOMBIA"/>
    <s v="BOGOTÁ"/>
    <s v="BOGOTÁ"/>
    <s v="CC"/>
    <n v="1033780624"/>
    <s v="INGRID "/>
    <s v="LORENA "/>
    <s v="VIVAS"/>
    <s v="TRIVIÑO"/>
    <d v="1995-10-03T00:00:00"/>
    <n v="27"/>
    <s v="COLOMBIA"/>
    <s v="BOGOTÁ"/>
    <s v="BOGOTÁ"/>
    <x v="0"/>
    <x v="6"/>
    <x v="0"/>
    <d v="2022-03-01T00:00:00"/>
    <s v="SI_"/>
    <x v="2"/>
    <n v="1"/>
    <s v="NO_"/>
    <m/>
    <m/>
    <n v="40"/>
    <s v="2950 GR"/>
    <n v="51"/>
    <s v="NO_"/>
    <n v="6"/>
    <m/>
    <m/>
    <x v="1"/>
    <m/>
  </r>
  <r>
    <n v="1023046400"/>
    <x v="0"/>
    <d v="2022-03-03T00:00:00"/>
    <d v="2022-06-01T00:00:00"/>
    <e v="#REF!"/>
    <e v="#N/A"/>
    <m/>
    <x v="0"/>
    <x v="4"/>
    <x v="4"/>
    <s v="RC"/>
    <s v="ISAAC"/>
    <s v="JOSUE"/>
    <s v="VARGAS"/>
    <s v="TRASLAVIÑA"/>
    <s v="ISAAC JOSUE VARGAS TRASLAVIÑA"/>
    <d v="2021-02-27T00:00:00"/>
    <x v="3"/>
    <n v="9"/>
    <n v="29"/>
    <s v="1 AÑOS 9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CALLE 116 A SUR 7B ESTE 53"/>
    <n v="3214044872"/>
    <n v="3006311701"/>
    <x v="0"/>
    <s v="NO SE AUTORECONOCE EN NINGUNO DE LOS ANTERIORES"/>
    <x v="1"/>
    <x v="1"/>
    <s v="NO_"/>
    <s v="NO_"/>
    <s v="o. Ingresos iguales o inferiores a 1.5 Smlv"/>
    <m/>
    <s v="PADRE"/>
    <s v="CC"/>
    <n v="80742608"/>
    <s v="MILTON"/>
    <s v="JULIO"/>
    <s v="VARGAS"/>
    <s v="GONZALEZ"/>
    <d v="1981-07-09T00:00:00"/>
    <s v="COLOMBIA"/>
    <s v="BOGOTÁ"/>
    <s v="BOGOTÁ"/>
    <s v="CC"/>
    <n v="80742608"/>
    <s v="MILTON"/>
    <s v="JULIO"/>
    <s v="VARGAS"/>
    <s v="GONZALEZ"/>
    <d v="1981-07-09T00:00:00"/>
    <n v="41"/>
    <s v="COLOMBIA"/>
    <s v="BOGOTÁ"/>
    <s v="BOGOTÁ"/>
    <s v="CC"/>
    <n v="1022928846"/>
    <s v="NATHALI"/>
    <m/>
    <s v="TRASLAVIÑA"/>
    <s v="ESCOBAR"/>
    <d v="1986-11-07T00:00:00"/>
    <n v="36"/>
    <s v="COLOMBIA"/>
    <s v="BOGOTÁ"/>
    <s v="BOGOTÁ"/>
    <x v="1"/>
    <x v="1"/>
    <x v="0"/>
    <d v="2022-03-01T00:00:00"/>
    <s v="SI_"/>
    <x v="2"/>
    <n v="3"/>
    <s v="NO_"/>
    <m/>
    <m/>
    <n v="39"/>
    <s v="3690 GR"/>
    <n v="54"/>
    <s v="NO_"/>
    <n v="6"/>
    <m/>
    <m/>
    <x v="1"/>
    <m/>
  </r>
  <r>
    <n v="1023046395"/>
    <x v="0"/>
    <d v="2022-03-03T00:00:00"/>
    <d v="2022-04-07T00:00:00"/>
    <e v="#REF!"/>
    <e v="#N/A"/>
    <m/>
    <x v="0"/>
    <x v="5"/>
    <x v="5"/>
    <s v="RC"/>
    <s v="LUNA"/>
    <s v="ISABELLA"/>
    <s v="MARTINEZ"/>
    <s v="SANCHEZ"/>
    <s v="LUNA ISABELLA MARTINEZ SANCHEZ"/>
    <d v="2021-02-22T00:00:00"/>
    <x v="3"/>
    <n v="10"/>
    <n v="4"/>
    <s v="1 AÑOS 10 MESES 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KR 5 A ESTE NO 91 SUR 16"/>
    <n v="3144910432"/>
    <n v="3212907317"/>
    <x v="0"/>
    <s v="NO SE AUTORECONOCE EN NINGUNO DE LOS ANTERIORES"/>
    <x v="1"/>
    <x v="1"/>
    <s v="NO_"/>
    <s v="NO_"/>
    <s v="o. Ingresos iguales o inferiores a 1.5 Smlv"/>
    <m/>
    <s v="ABUELO(A)"/>
    <s v="CC"/>
    <n v="28976975"/>
    <s v="GLORIA"/>
    <s v="STELLA"/>
    <s v="BARRETO"/>
    <m/>
    <d v="1966-08-03T00:00:00"/>
    <s v="COLOMBIA"/>
    <s v="TOLIMA"/>
    <s v="VENADILLO"/>
    <m/>
    <m/>
    <m/>
    <m/>
    <m/>
    <m/>
    <m/>
    <s v=""/>
    <m/>
    <m/>
    <m/>
    <s v="CC"/>
    <n v="1000932021"/>
    <s v="YEIMY"/>
    <s v="JOHANA"/>
    <s v="SANCHEZ"/>
    <s v="BARRETO"/>
    <d v="2001-01-13T00:00:00"/>
    <n v="21"/>
    <s v="COLOMBIA"/>
    <s v="BOGOTÁ"/>
    <s v="BOGOTÁ"/>
    <x v="1"/>
    <x v="1"/>
    <x v="0"/>
    <d v="2022-03-01T00:00:00"/>
    <s v="SI_"/>
    <x v="2"/>
    <n v="2"/>
    <s v="NO_"/>
    <m/>
    <m/>
    <s v="39.5"/>
    <s v="2655 GR"/>
    <n v="49"/>
    <s v="NO_"/>
    <n v="6"/>
    <m/>
    <m/>
    <x v="1"/>
    <m/>
  </r>
  <r>
    <n v="1020849345"/>
    <x v="0"/>
    <d v="2022-03-03T00:00:00"/>
    <d v="2022-10-03T00:00:00"/>
    <e v="#REF!"/>
    <e v="#N/A"/>
    <s v="TRIANGULO"/>
    <x v="0"/>
    <x v="4"/>
    <x v="4"/>
    <s v="RC"/>
    <s v="MARIA"/>
    <s v="JULIANA"/>
    <s v="PINTO"/>
    <s v="ANDRADE"/>
    <s v="MARIA JULIANA PINTO ANDRADE"/>
    <d v="2021-02-05T00:00:00"/>
    <x v="3"/>
    <n v="10"/>
    <n v="21"/>
    <s v="1 AÑOS 10 MESES 2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KR 5 ESTE NO 97 B SUR 27"/>
    <n v="3192304190"/>
    <m/>
    <x v="0"/>
    <s v="NO SE AUTORECONOCE EN NINGUNO DE LOS ANTERIORES"/>
    <x v="1"/>
    <x v="1"/>
    <s v="NO_"/>
    <s v="NO_"/>
    <s v="o. Ingresos iguales o inferiores a 1.5 Smlv"/>
    <m/>
    <s v="ABUELO(A)"/>
    <s v="CC"/>
    <s v="51 555 242"/>
    <s v="MARIA "/>
    <s v="DEL TRANSITO"/>
    <s v="LOPEZ"/>
    <s v="CIFUENTES"/>
    <d v="1985-10-23T00:00:00"/>
    <s v="COLOMBIA"/>
    <s v="BOYACÁ"/>
    <s v="SOTAQUIRÁ"/>
    <m/>
    <m/>
    <m/>
    <m/>
    <m/>
    <m/>
    <m/>
    <s v=""/>
    <m/>
    <m/>
    <m/>
    <s v="CC"/>
    <n v="1033721806"/>
    <s v="LORENA"/>
    <s v="JANET"/>
    <s v="ANDRADE "/>
    <s v="LOPEZ"/>
    <d v="1990-03-03T00:00:00"/>
    <n v="32"/>
    <s v="COLOMBIA"/>
    <s v="BOGOTÁ"/>
    <s v="BOGOTÁ"/>
    <x v="0"/>
    <x v="4"/>
    <x v="0"/>
    <d v="2022-03-01T00:00:00"/>
    <s v="SI_"/>
    <x v="2"/>
    <n v="3"/>
    <s v="NO_"/>
    <m/>
    <m/>
    <n v="39"/>
    <s v="2900 GR"/>
    <n v="50"/>
    <s v="NO_"/>
    <n v="4"/>
    <n v="0"/>
    <m/>
    <x v="1"/>
    <m/>
  </r>
  <r>
    <n v="1243858630"/>
    <x v="0"/>
    <d v="2022-03-03T00:00:00"/>
    <d v="2022-04-11T00:00:00"/>
    <e v="#REF!"/>
    <e v="#N/A"/>
    <m/>
    <x v="0"/>
    <x v="4"/>
    <x v="4"/>
    <s v="RC"/>
    <s v="ADRIAN"/>
    <s v="MIGUEL"/>
    <s v="SANCHEZ"/>
    <s v="RICO"/>
    <s v="ADRIAN MIGUEL SANCHEZ RICO"/>
    <d v="2020-04-29T00:00:00"/>
    <x v="2"/>
    <n v="7"/>
    <n v="27"/>
    <s v="2 AÑOS 7 MESES 2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2"/>
    <m/>
    <s v="KR 3B 115 SUR 16"/>
    <n v="3193028652"/>
    <n v="3153927833"/>
    <x v="0"/>
    <s v="NO SE AUTORECONOCE EN NINGUNO DE LOS ANTERIORES"/>
    <x v="0"/>
    <x v="11"/>
    <s v="NO_"/>
    <s v="NO_"/>
    <s v="o. Ingresos iguales o inferiores a 1.5 Smlv"/>
    <m/>
    <s v="MADRE"/>
    <s v="CC"/>
    <n v="1031132799"/>
    <s v="LAURA"/>
    <s v="MERCEDES"/>
    <s v="RICO"/>
    <s v="PRIETO"/>
    <d v="1991-06-21T00:00:00"/>
    <s v="COLOMBIA"/>
    <s v="META"/>
    <s v="VILLAVICENCIO"/>
    <s v="CC"/>
    <n v="1002647219"/>
    <s v="MIGUEL"/>
    <s v="GERARDO"/>
    <s v="SANCHEZ"/>
    <s v="ROMERO"/>
    <d v="1990-04-13T00:00:00"/>
    <n v="32"/>
    <s v="COLOMBIA"/>
    <s v="BOYACÁ"/>
    <s v="MARIPÍ"/>
    <s v="CC"/>
    <n v="1031132799"/>
    <s v="LAURA"/>
    <s v="MERCEDES"/>
    <s v="RICO"/>
    <s v="PRIETO"/>
    <d v="1991-06-21T00:00:00"/>
    <n v="31"/>
    <s v="COLOMBIA"/>
    <s v="META"/>
    <s v="VILLAVICENCIO"/>
    <x v="0"/>
    <x v="0"/>
    <x v="0"/>
    <d v="2022-03-01T00:00:00"/>
    <s v="SI_"/>
    <x v="2"/>
    <n v="0"/>
    <s v="NO_"/>
    <m/>
    <m/>
    <n v="40"/>
    <s v="3800 GR"/>
    <n v="50"/>
    <s v="NO_"/>
    <n v="4"/>
    <n v="0"/>
    <m/>
    <x v="1"/>
    <m/>
  </r>
  <r>
    <n v="1243858522"/>
    <x v="0"/>
    <d v="2022-03-03T00:00:00"/>
    <d v="2022-03-29T00:00:00"/>
    <e v="#REF!"/>
    <e v="#N/A"/>
    <m/>
    <x v="0"/>
    <x v="2"/>
    <x v="2"/>
    <s v="RC"/>
    <s v="KYLIAN"/>
    <m/>
    <s v="VEGA"/>
    <s v="PAEZ"/>
    <s v="KYLIAN  VEGA PAEZ"/>
    <d v="2020-05-06T00:00:00"/>
    <x v="2"/>
    <n v="7"/>
    <n v="20"/>
    <s v="2 AÑOS 7 MESES 2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8C ESTE 112 SUR 15 PISO 2"/>
    <n v="3202884901"/>
    <n v="3144339448"/>
    <x v="0"/>
    <s v="NO SE AUTORECONOCE EN NINGUNO DE LOS ANTERIORES"/>
    <x v="1"/>
    <x v="1"/>
    <s v="NO_"/>
    <s v="NO_"/>
    <s v="o. Ingresos iguales o inferiores a 1.5 Smlv"/>
    <m/>
    <s v="ABUELO(A)"/>
    <s v="CC"/>
    <n v="51845220"/>
    <s v="LUZ"/>
    <s v="MARINA"/>
    <s v="GONZALEZ"/>
    <s v="NOGUERA"/>
    <d v="1966-09-05T00:00:00"/>
    <s v="COLOMBIA"/>
    <s v="BOYACÁ"/>
    <s v="CHITARAQUE"/>
    <s v="CC"/>
    <n v="1019093817"/>
    <s v="JHORDAN"/>
    <s v="ALIRIO"/>
    <s v="VEGA"/>
    <s v="GUEVARA"/>
    <d v="1994-04-04T00:00:00"/>
    <n v="28"/>
    <s v="COLOMBIA"/>
    <s v="CUNDINAMARCA"/>
    <s v="PANDI"/>
    <s v="CC"/>
    <n v="1032410506"/>
    <s v="LUZ"/>
    <s v="MARINA"/>
    <s v="PAEZ"/>
    <s v="GONZALEZ"/>
    <d v="1988-03-11T00:00:00"/>
    <n v="34"/>
    <s v="COLOMBIA"/>
    <s v="BOGOTÁ"/>
    <s v="BOGOTÁ"/>
    <x v="0"/>
    <x v="6"/>
    <x v="0"/>
    <d v="2022-03-04T00:00:00"/>
    <s v="SI_"/>
    <x v="2"/>
    <n v="2"/>
    <s v="NO_"/>
    <m/>
    <m/>
    <n v="38"/>
    <s v="3000 GR"/>
    <n v="42"/>
    <s v="NO_"/>
    <n v="6"/>
    <m/>
    <m/>
    <x v="1"/>
    <m/>
  </r>
  <r>
    <n v="1023988175"/>
    <x v="0"/>
    <d v="2022-03-03T00:00:00"/>
    <d v="2022-08-01T00:00:00"/>
    <e v="#REF!"/>
    <e v="#N/A"/>
    <m/>
    <x v="0"/>
    <x v="4"/>
    <x v="4"/>
    <s v="RC"/>
    <s v="ALAN"/>
    <s v="SANTIAGO"/>
    <s v="PINEDA"/>
    <s v="GUZMAN"/>
    <s v="ALAN SANTIAGO PINEDA GUZMAN"/>
    <d v="2021-01-26T00:00:00"/>
    <x v="3"/>
    <n v="11"/>
    <n v="0"/>
    <s v="1 AÑOS 11 MESES 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ALLE 97 F SUR NO 6C ESTE 15 "/>
    <n v="3208167718"/>
    <n v="3118216388"/>
    <x v="0"/>
    <s v="NO SE AUTORECONOCE EN NINGUNO DE LOS ANTERIORES"/>
    <x v="1"/>
    <x v="1"/>
    <s v="NO_"/>
    <s v="NO_"/>
    <s v="o. Ingresos iguales o inferiores a 1.5 Smlv"/>
    <m/>
    <s v="ABUELO(A)"/>
    <s v="CC"/>
    <n v="28558260"/>
    <s v="LUZ"/>
    <s v="MERY"/>
    <s v="GUZMAN"/>
    <s v="RAMIREZ"/>
    <d v="1971-06-09T00:00:00"/>
    <s v="COLOMBIA"/>
    <s v="TOLIMA"/>
    <s v="IBAGUÉ"/>
    <s v="CC"/>
    <n v="1000627502"/>
    <s v="KEVIN"/>
    <s v="ALBERTO"/>
    <s v="PINEDA"/>
    <s v="CALVERA"/>
    <d v="1997-10-30T00:00:00"/>
    <n v="25"/>
    <s v="COLOMBIA"/>
    <s v="BOGOTÁ"/>
    <s v="BOGOTÁ"/>
    <s v="CC"/>
    <n v="1110486716"/>
    <s v="YESSICA"/>
    <s v="PAOLA"/>
    <s v="RAMIREZ"/>
    <s v="GUZMAN"/>
    <d v="1995-02-25T00:00:00"/>
    <n v="27"/>
    <s v="COLOMBIA"/>
    <s v="TOLIMA"/>
    <s v="IBAGUÉ"/>
    <x v="0"/>
    <x v="5"/>
    <x v="0"/>
    <d v="2022-03-04T00:00:00"/>
    <s v="SI_"/>
    <x v="2"/>
    <n v="1"/>
    <s v="NO_"/>
    <m/>
    <m/>
    <n v="39"/>
    <s v="3330 GR"/>
    <n v="51"/>
    <s v="NO_"/>
    <n v="6"/>
    <m/>
    <m/>
    <x v="1"/>
    <m/>
  </r>
  <r>
    <n v="1243860746"/>
    <x v="0"/>
    <d v="2022-03-03T00:00:00"/>
    <d v="2022-03-04T00:00:00"/>
    <e v="#REF!"/>
    <e v="#N/A"/>
    <s v="Solo rpp de febrero"/>
    <x v="0"/>
    <x v="6"/>
    <x v="6"/>
    <s v="RC"/>
    <s v="HELEN"/>
    <s v="XIOMARA"/>
    <s v="MALDONADO"/>
    <s v="BALCAZAR"/>
    <s v="HELEN XIOMARA MALDONADO BALCAZAR"/>
    <d v="2021-11-08T00:00:00"/>
    <x v="3"/>
    <n v="1"/>
    <n v="18"/>
    <s v="1 AÑOS 1 MESES 1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5 ESTE 106 A SUR 06"/>
    <n v="3115932312"/>
    <m/>
    <x v="0"/>
    <s v="NO SE AUTORECONOCE EN NINGUNO DE LOS ANTERIORES"/>
    <x v="1"/>
    <x v="1"/>
    <s v="NO_"/>
    <s v="NO_"/>
    <s v="o. Ingresos iguales o inferiores a 1.5 Smlv"/>
    <m/>
    <s v="ABUELO(A)"/>
    <s v="CC"/>
    <n v="39723071"/>
    <s v="GLADYS"/>
    <m/>
    <s v="SUAREZ"/>
    <s v="MONTEJO"/>
    <d v="1968-09-10T00:00:00"/>
    <s v="COLOMBIA"/>
    <s v="CUNDINAMARCA"/>
    <s v="SAN JUAN DE RIOSECO"/>
    <s v="CC"/>
    <n v="79843862"/>
    <s v="JOSE"/>
    <s v="EDUARDO"/>
    <s v="MALDONADO"/>
    <s v="DIAZ"/>
    <d v="1977-04-06T00:00:00"/>
    <n v="45"/>
    <s v="COLOMBIA"/>
    <s v="BOYACÁ"/>
    <s v="SAN MATEO"/>
    <s v="CC"/>
    <n v="1022948034"/>
    <s v="CARMEN"/>
    <s v="JISETH"/>
    <s v="BALCAZAR"/>
    <s v="SUAREZ"/>
    <d v="1988-09-21T00:00:00"/>
    <n v="34"/>
    <s v="COLOMBIA"/>
    <s v="BOGOTÁ"/>
    <s v="BOGOTÁ"/>
    <x v="1"/>
    <x v="6"/>
    <x v="0"/>
    <d v="2021-03-01T00:00:00"/>
    <s v="SI_"/>
    <x v="2"/>
    <n v="3"/>
    <s v="NO_"/>
    <m/>
    <m/>
    <n v="37"/>
    <s v="2964 GR"/>
    <n v="47"/>
    <s v="SI_"/>
    <m/>
    <m/>
    <m/>
    <x v="1"/>
    <m/>
  </r>
  <r>
    <n v="1122541025"/>
    <x v="1"/>
    <d v="2022-10-25T00:00:00"/>
    <m/>
    <m/>
    <m/>
    <m/>
    <x v="0"/>
    <x v="4"/>
    <x v="4"/>
    <s v="RC"/>
    <s v="ADRIAN"/>
    <s v="YESSID"/>
    <s v="SANCHEZ"/>
    <s v="RODRIGUEZ"/>
    <s v="ADRIAN YESSID SANCHEZ RODRIGUEZ"/>
    <d v="2021-04-07T00:00:00"/>
    <x v="3"/>
    <n v="8"/>
    <n v="19"/>
    <s v="1 AÑOS 8 MESES 19 DIAS "/>
    <x v="2"/>
    <x v="1"/>
    <x v="0"/>
    <s v="META"/>
    <s v="VILLAVICENCIO"/>
    <x v="0"/>
    <s v="NO_"/>
    <s v="N/A"/>
    <s v="NINGUNA"/>
    <s v="NA"/>
    <s v="NO_"/>
    <s v="NO_"/>
    <s v="NO_"/>
    <s v="NO_"/>
    <s v="NO_"/>
    <s v="NO_"/>
    <s v="NO_"/>
    <s v="COLOMBIA"/>
    <s v="BOGOTÁ"/>
    <x v="0"/>
    <s v="LOCALIDAD"/>
    <x v="0"/>
    <x v="28"/>
    <m/>
    <s v="CLL97 ASUR #6 ESTE-15"/>
    <n v="3133335125"/>
    <n v="3233965470"/>
    <x v="0"/>
    <s v="NO SE AUTORECONOCE EN NINGUNO DE LOS ANTERIORES"/>
    <x v="0"/>
    <x v="10"/>
    <s v="NO_"/>
    <s v="NO_"/>
    <s v="o. Ingresos iguales o inferiores a 1.5 Smlv"/>
    <m/>
    <s v="MADRE"/>
    <s v="CC"/>
    <n v="1006797302"/>
    <s v="MARIA"/>
    <s v="GUADALUPE"/>
    <s v="RODRIGUEZ"/>
    <s v="JIMENEZ"/>
    <d v="2003-04-06T00:00:00"/>
    <s v="COLOMBIA"/>
    <s v="META"/>
    <s v="VILLAVICENCIO"/>
    <s v="CC"/>
    <n v="1234790700"/>
    <s v="ANDERSON"/>
    <s v="JESSI"/>
    <s v="SANCHEZ"/>
    <s v="BARBOSA"/>
    <d v="1998-10-31T00:00:00"/>
    <n v="24"/>
    <s v="COLOMBIA"/>
    <s v="META"/>
    <s v="VILLAVICENCIO"/>
    <s v="CC"/>
    <n v="1006797302"/>
    <s v="MARIA"/>
    <s v="GUADALUPE"/>
    <s v="RODRIGUEZ"/>
    <s v="JIMENEZ"/>
    <m/>
    <s v=""/>
    <m/>
    <s v="COLOMBIA"/>
    <s v="META"/>
    <x v="0"/>
    <x v="5"/>
    <x v="0"/>
    <m/>
    <s v="SI_"/>
    <x v="2"/>
    <n v="1"/>
    <s v="NO_"/>
    <s v="NO"/>
    <m/>
    <n v="38"/>
    <n v="3755"/>
    <n v="51"/>
    <m/>
    <n v="6"/>
    <n v="13"/>
    <n v="13"/>
    <x v="1"/>
    <m/>
  </r>
  <r>
    <s v="835C918A154C495B9A8257A9AE0635BA35823"/>
    <x v="0"/>
    <d v="2022-10-04T00:00:00"/>
    <d v="2022-10-24T00:00:00"/>
    <m/>
    <e v="#N/A"/>
    <s v="TRIANGULO"/>
    <x v="0"/>
    <x v="4"/>
    <x v="4"/>
    <s v="SIN DOCUMENTO"/>
    <s v="ALAHAYA"/>
    <s v="VALENTINA"/>
    <s v="LEAL"/>
    <s v="GELVIZ"/>
    <s v="ALAHAYA VALENTINA LEAL GELVIZ"/>
    <d v="2020-06-13T00:00:00"/>
    <x v="2"/>
    <n v="6"/>
    <n v="13"/>
    <s v="2 AÑOS 6 MESES 13 DIAS "/>
    <x v="2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8"/>
    <m/>
    <s v="KR 2 NO 97 F SUR 38 PISO 1"/>
    <n v="3184541105"/>
    <m/>
    <x v="0"/>
    <s v="NO SE AUTORECONOCE EN NINGUNO DE LOS ANTERIORES"/>
    <x v="1"/>
    <x v="1"/>
    <s v="NO_"/>
    <s v="NO_"/>
    <s v="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"/>
    <m/>
    <s v="MADRE"/>
    <s v="PEP"/>
    <n v="5057003"/>
    <s v="MARIA "/>
    <m/>
    <s v="GELVIZ"/>
    <s v="MANRIQUE"/>
    <d v="1990-07-11T00:00:00"/>
    <s v="VENEZUELA"/>
    <s v="EXTERIOR"/>
    <s v="EXTERIOR"/>
    <s v="PEP"/>
    <n v="5052505"/>
    <s v="JOSBER"/>
    <m/>
    <s v="LEAL"/>
    <s v="BAMBEL"/>
    <d v="1993-01-12T00:00:00"/>
    <n v="29"/>
    <s v="VENEZUELA"/>
    <s v="EXTERIOR"/>
    <s v="EXTERIOR"/>
    <s v="PEP"/>
    <n v="5057003"/>
    <s v="MARIA "/>
    <m/>
    <s v="GELVIZ"/>
    <s v="MANRIQUE"/>
    <d v="1990-07-11T00:00:00"/>
    <n v="32"/>
    <s v="VENEZUELA"/>
    <s v="EXTERIOR"/>
    <s v="EXTERIOR"/>
    <x v="3"/>
    <x v="12"/>
    <x v="0"/>
    <d v="2022-03-10T00:00:00"/>
    <s v="SI_"/>
    <x v="1"/>
    <n v="0"/>
    <s v="NO_"/>
    <m/>
    <m/>
    <n v="38"/>
    <s v="3280 GR"/>
    <n v="47"/>
    <s v="SI_"/>
    <n v="6"/>
    <m/>
    <m/>
    <x v="1"/>
    <m/>
  </r>
  <r>
    <n v="1023045777"/>
    <x v="0"/>
    <d v="2022-03-03T00:00:00"/>
    <d v="2022-06-01T00:00:00"/>
    <e v="#REF!"/>
    <e v="#N/A"/>
    <m/>
    <x v="0"/>
    <x v="4"/>
    <x v="4"/>
    <s v="RC"/>
    <s v="SALOME"/>
    <m/>
    <s v="BONILLA"/>
    <s v="CUENCA"/>
    <s v="SALOME  BONILLA CUENCA"/>
    <d v="2020-10-27T00:00:00"/>
    <x v="2"/>
    <n v="1"/>
    <n v="29"/>
    <s v="2 AÑOS 1 MESES 2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ALLE 97 D SUR NO 6 C ESTE 09"/>
    <n v="3204067746"/>
    <n v="3223229219"/>
    <x v="0"/>
    <s v="NO SE AUTORECONOCE EN NINGUNO DE LOS ANTERIORES"/>
    <x v="1"/>
    <x v="1"/>
    <s v="NO_"/>
    <s v="NO_"/>
    <s v="o. Ingresos iguales o inferiores a 1.5 Smlv"/>
    <m/>
    <s v="ABUELO(A)"/>
    <s v="CC"/>
    <n v="52952518"/>
    <s v="SANDRA"/>
    <s v="MILENA"/>
    <s v="JURADO"/>
    <s v="CUENCA"/>
    <d v="1974-04-15T00:00:00"/>
    <s v="COLOMBIA"/>
    <s v="BOGOTÁ"/>
    <s v="BOGOTÁ"/>
    <m/>
    <m/>
    <m/>
    <m/>
    <m/>
    <m/>
    <m/>
    <s v=""/>
    <m/>
    <m/>
    <m/>
    <s v="CC"/>
    <n v="1007320003"/>
    <s v="JESICA"/>
    <s v="PAOLA"/>
    <s v="BONILLA"/>
    <s v="CUENCA"/>
    <d v="1993-02-26T00:00:00"/>
    <n v="29"/>
    <s v="COLOMBIA"/>
    <s v="BOGOTÁ"/>
    <s v="BOGOTÁ"/>
    <x v="1"/>
    <x v="1"/>
    <x v="0"/>
    <d v="2022-03-11T00:00:00"/>
    <s v="SI_"/>
    <x v="2"/>
    <n v="1"/>
    <s v="NO_"/>
    <m/>
    <m/>
    <n v="39"/>
    <n v="2979"/>
    <n v="48"/>
    <s v="NO_"/>
    <n v="6"/>
    <m/>
    <m/>
    <x v="1"/>
    <m/>
  </r>
  <r>
    <n v="1116557589"/>
    <x v="1"/>
    <d v="2022-03-03T00:00:00"/>
    <m/>
    <m/>
    <m/>
    <m/>
    <x v="0"/>
    <x v="4"/>
    <x v="4"/>
    <s v="RC"/>
    <s v="JOSEPH"/>
    <s v="DANIEL"/>
    <s v="VIANCHA"/>
    <s v="GARCIA"/>
    <s v="JOSEPH DANIEL VIANCHA GARCIA"/>
    <d v="2021-05-09T00:00:00"/>
    <x v="3"/>
    <n v="7"/>
    <n v="17"/>
    <s v="1 AÑOS 7 MESES 1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LLE 103 SUR 7 H 76 ESTE "/>
    <n v="3102932813"/>
    <m/>
    <x v="0"/>
    <s v="NO SE AUTORECONOCE EN NINGUNO DE LOS ANTERIORES"/>
    <x v="1"/>
    <x v="1"/>
    <s v="NO_"/>
    <s v="NO_"/>
    <s v="o. Ingresos iguales o inferiores a 1.5 Smlv"/>
    <m/>
    <s v="MADRE"/>
    <s v="CC"/>
    <n v="1010218883"/>
    <s v="YESICA"/>
    <s v="LORENA "/>
    <s v="GARCIA"/>
    <s v="COGOLLO"/>
    <d v="1994-12-12T00:00:00"/>
    <s v="COLOMBIA"/>
    <s v="BOYACÁ"/>
    <s v="BOAVITA"/>
    <s v="CC"/>
    <n v="1116552239"/>
    <s v="JAIRO"/>
    <s v="WILFREDY"/>
    <s v="VIANCHA"/>
    <s v="SAMACA"/>
    <d v="1996-04-14T00:00:00"/>
    <n v="26"/>
    <s v="COLOMBIA"/>
    <s v="CASANARE"/>
    <s v="AGUAZUL"/>
    <s v="CC"/>
    <n v="1010218883"/>
    <s v="YESICA"/>
    <s v="LORENA "/>
    <s v="GARCIA"/>
    <s v="COGOLLO"/>
    <d v="1994-12-12T00:00:00"/>
    <n v="28"/>
    <s v="COLOMBIA"/>
    <s v="BOYACÁ"/>
    <s v="BOAVITA"/>
    <x v="0"/>
    <x v="2"/>
    <x v="0"/>
    <d v="2022-03-11T00:00:00"/>
    <s v="SI_"/>
    <x v="2"/>
    <n v="3"/>
    <s v="NO_"/>
    <m/>
    <m/>
    <s v="40.5"/>
    <n v="3230"/>
    <n v="50"/>
    <s v="NO_"/>
    <n v="6"/>
    <m/>
    <m/>
    <x v="1"/>
    <m/>
  </r>
  <r>
    <n v="1023046833"/>
    <x v="1"/>
    <d v="2022-03-03T00:00:00"/>
    <m/>
    <m/>
    <m/>
    <m/>
    <x v="0"/>
    <x v="4"/>
    <x v="4"/>
    <s v="RC"/>
    <s v="YORDAN"/>
    <s v="SMITH"/>
    <s v="FERNANDEZ"/>
    <s v="MORENO"/>
    <s v="YORDAN SMITH FERNANDEZ MORENO"/>
    <d v="2021-05-29T00:00:00"/>
    <x v="3"/>
    <n v="6"/>
    <n v="27"/>
    <s v="1 AÑOS 6 MESES 2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DG 98 C NO 6-47 IN PISO 1 SUR"/>
    <n v="3014546838"/>
    <n v="3144536069"/>
    <x v="0"/>
    <s v="NO SE AUTORECONOCE EN NINGUNO DE LOS ANTERIORES"/>
    <x v="1"/>
    <x v="1"/>
    <s v="NO_"/>
    <s v="NO_"/>
    <s v="o. Ingresos iguales o inferiores a 1.5 Smlv"/>
    <m/>
    <s v="MADRE"/>
    <s v="CC"/>
    <n v="1002603854"/>
    <s v="ANGELA"/>
    <s v="MAYERLY"/>
    <s v="MORENO"/>
    <s v="AMAYA"/>
    <d v="2002-04-08T00:00:00"/>
    <s v="COLOMBIA"/>
    <s v="BOYACÁ"/>
    <s v="PESCA"/>
    <s v="CC"/>
    <n v="1022960753"/>
    <s v="MAXIMILIANO"/>
    <m/>
    <s v="FERNANDEZ"/>
    <s v="ACOSTA"/>
    <d v="1990-06-19T00:00:00"/>
    <n v="32"/>
    <s v="COLOMBIA"/>
    <s v="BOGOTÁ"/>
    <s v="BOGOTÁ"/>
    <s v="CC"/>
    <n v="1002603854"/>
    <s v="ANGELA"/>
    <s v="MAYERLY"/>
    <s v="MORENO"/>
    <s v="AMAYA"/>
    <d v="2002-04-08T00:00:00"/>
    <n v="20"/>
    <s v="COLOMBIA"/>
    <s v="BOYACÁ"/>
    <s v="PESCA"/>
    <x v="1"/>
    <x v="1"/>
    <x v="0"/>
    <d v="2022-03-11T00:00:00"/>
    <s v="SI_"/>
    <x v="2"/>
    <n v="1"/>
    <s v="NO_"/>
    <m/>
    <m/>
    <n v="38"/>
    <n v="3150"/>
    <n v="49"/>
    <s v="NO_"/>
    <n v="6"/>
    <m/>
    <m/>
    <x v="1"/>
    <m/>
  </r>
  <r>
    <n v="1034404976"/>
    <x v="0"/>
    <d v="2022-03-03T00:00:00"/>
    <d v="2022-06-01T00:00:00"/>
    <e v="#REF!"/>
    <e v="#N/A"/>
    <m/>
    <x v="0"/>
    <x v="4"/>
    <x v="4"/>
    <s v="RC"/>
    <s v="MIAH"/>
    <s v="NAHOMI"/>
    <s v="MERCHAN"/>
    <s v="PARADA"/>
    <s v="MIAH NAHOMI MERCHAN PARADA"/>
    <d v="2020-03-23T00:00:00"/>
    <x v="2"/>
    <n v="9"/>
    <n v="3"/>
    <s v="2 AÑOS 9 MESES 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ESTE NO 91 SUR 69"/>
    <n v="3103055333"/>
    <m/>
    <x v="0"/>
    <s v="NO SE AUTORECONOCE EN NINGUNO DE LOS ANTERIORES"/>
    <x v="1"/>
    <x v="1"/>
    <s v="NO_"/>
    <s v="NO_"/>
    <s v="o. Ingresos iguales o inferiores a 1.5 Smlv"/>
    <m/>
    <s v="MADRE"/>
    <s v="CC"/>
    <n v="1022938625"/>
    <s v="CLAUDIA"/>
    <s v="MARCELA"/>
    <s v="MARCHAN"/>
    <s v="PARADA"/>
    <d v="1987-07-09T00:00:00"/>
    <s v="COLOMBIA"/>
    <s v="BOGOTÁ"/>
    <s v="BOGOTÁ"/>
    <m/>
    <m/>
    <m/>
    <m/>
    <m/>
    <m/>
    <m/>
    <s v=""/>
    <m/>
    <m/>
    <m/>
    <s v="CC"/>
    <n v="1022938625"/>
    <s v="CLAUDIA"/>
    <s v="MARCELA"/>
    <s v="MARCHAN"/>
    <s v="PARADA"/>
    <d v="1987-07-09T00:00:00"/>
    <n v="35"/>
    <s v="COLOMBIA"/>
    <s v="BOGOTÁ"/>
    <s v="BOGOTÁ"/>
    <x v="1"/>
    <x v="1"/>
    <x v="0"/>
    <d v="2021-03-11T00:00:00"/>
    <s v="SI_"/>
    <x v="2"/>
    <n v="1"/>
    <s v="NO_"/>
    <m/>
    <m/>
    <n v="40"/>
    <n v="3225"/>
    <n v="51"/>
    <s v="NO_"/>
    <n v="6"/>
    <m/>
    <m/>
    <x v="1"/>
    <m/>
  </r>
  <r>
    <n v="1140937579"/>
    <x v="0"/>
    <d v="2022-03-22T00:00:00"/>
    <d v="2022-05-02T00:00:00"/>
    <e v="#REF!"/>
    <e v="#N/A"/>
    <m/>
    <x v="0"/>
    <x v="4"/>
    <x v="4"/>
    <s v="RC"/>
    <s v="MARIANA "/>
    <m/>
    <s v="RIVERA"/>
    <s v="BELTRAN"/>
    <s v="MARIANA   RIVERA BELTRAN"/>
    <d v="2020-05-03T00:00:00"/>
    <x v="2"/>
    <n v="7"/>
    <n v="23"/>
    <s v="2 AÑOS 7 MESES 2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KR 7 ESTE # 97 D SUR 44"/>
    <n v="3143505332"/>
    <n v="3173014943"/>
    <x v="0"/>
    <s v="NO SE AUTORECONOCE EN NINGUNO DE LOS ANTERIORES"/>
    <x v="1"/>
    <x v="1"/>
    <s v="NO_"/>
    <s v="NO_"/>
    <s v="o. Ingresos iguales o inferiores a 1.5 Smlv"/>
    <s v="NO_"/>
    <s v="PADRE"/>
    <s v="CC"/>
    <n v="1022984628"/>
    <s v="DIEGO"/>
    <s v="FERNANDO"/>
    <s v="RIVERA"/>
    <s v="SIERRA"/>
    <d v="1993-02-17T00:00:00"/>
    <s v="COLOMBIA"/>
    <s v="BOYACÁ"/>
    <s v="QUÍPAMA"/>
    <s v="CC"/>
    <n v="1022984628"/>
    <s v="DIEGO"/>
    <s v="FERNANDO"/>
    <s v="RIVERA"/>
    <s v="SIERRA"/>
    <d v="1993-02-17T00:00:00"/>
    <n v="29"/>
    <s v="COLOMBIA"/>
    <s v="BOYACÁ"/>
    <s v="QUÍPAMA"/>
    <s v="CC"/>
    <n v="1023038637"/>
    <s v="MARIA"/>
    <s v="LILIANA"/>
    <s v="BELTRAN"/>
    <s v="ORTIZ"/>
    <d v="1999-09-30T00:00:00"/>
    <n v="23"/>
    <s v="COLOMBIA"/>
    <s v="BOGOTÁ"/>
    <s v="BOGOTÁ"/>
    <x v="0"/>
    <x v="2"/>
    <x v="0"/>
    <m/>
    <s v="SI_"/>
    <x v="2"/>
    <n v="1"/>
    <s v="NO_"/>
    <m/>
    <m/>
    <n v="39"/>
    <n v="2760"/>
    <n v="49"/>
    <m/>
    <n v="6"/>
    <n v="12"/>
    <m/>
    <x v="1"/>
    <m/>
  </r>
  <r>
    <n v="1016750021"/>
    <x v="0"/>
    <d v="2022-03-03T00:00:00"/>
    <d v="2022-03-17T00:00:00"/>
    <e v="#REF!"/>
    <e v="#N/A"/>
    <m/>
    <x v="0"/>
    <x v="6"/>
    <x v="6"/>
    <s v="RC"/>
    <s v="ZOE"/>
    <m/>
    <s v="LEGUIZAMON"/>
    <s v="CRUZ"/>
    <s v="ZOE  LEGUIZAMON CRUZ"/>
    <d v="2020-07-22T00:00:00"/>
    <x v="2"/>
    <n v="5"/>
    <n v="4"/>
    <s v="2 AÑOS 5 MESES 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DG 98 A 6 F 22"/>
    <n v="3223229219"/>
    <m/>
    <x v="0"/>
    <s v="NO SE AUTORECONOCE EN NINGUNO DE LOS ANTERIORES"/>
    <x v="1"/>
    <x v="1"/>
    <s v="NO_"/>
    <s v="NO_"/>
    <s v="o. Ingresos iguales o inferiores a 1.5 Smlv"/>
    <m/>
    <s v="ABUELO(A)"/>
    <s v="CC"/>
    <n v="39795401"/>
    <s v="ZOLANGED"/>
    <s v="MARIA"/>
    <s v="PINZON"/>
    <s v="ROJAS"/>
    <d v="1969-05-14T00:00:00"/>
    <s v="COLOMBIA"/>
    <s v="BOGOTÁ"/>
    <s v="BOGOTÁ"/>
    <m/>
    <m/>
    <m/>
    <m/>
    <m/>
    <m/>
    <m/>
    <s v=""/>
    <m/>
    <m/>
    <m/>
    <s v="CC"/>
    <n v="1022980254"/>
    <s v="KAREN"/>
    <s v="ALEJANDRA"/>
    <s v="CRUZ"/>
    <s v="PINZON"/>
    <d v="1992-09-15T00:00:00"/>
    <n v="30"/>
    <s v="COLOMBIA"/>
    <s v="BOGOTÁ"/>
    <s v="BOGOTÁ"/>
    <x v="0"/>
    <x v="5"/>
    <x v="0"/>
    <d v="2022-03-11T00:00:00"/>
    <s v="SI_"/>
    <x v="2"/>
    <n v="1"/>
    <s v="NO_"/>
    <m/>
    <m/>
    <n v="40"/>
    <s v="3004 GR"/>
    <n v="50"/>
    <s v="NO_"/>
    <n v="6"/>
    <m/>
    <m/>
    <x v="1"/>
    <m/>
  </r>
  <r>
    <n v="1106639928"/>
    <x v="0"/>
    <d v="2022-03-03T00:00:00"/>
    <d v="2022-05-02T00:00:00"/>
    <e v="#REF!"/>
    <e v="#N/A"/>
    <m/>
    <x v="0"/>
    <x v="4"/>
    <x v="4"/>
    <s v="RC"/>
    <s v="DAVID"/>
    <s v="SANTIAGO"/>
    <s v="OSPINA"/>
    <s v="GARCIA"/>
    <s v="DAVID SANTIAGO OSPINA GARCIA"/>
    <d v="2020-05-13T00:00:00"/>
    <x v="2"/>
    <n v="7"/>
    <n v="13"/>
    <s v="2 AÑOS 7 MESES 13 DIAS "/>
    <x v="2"/>
    <x v="1"/>
    <x v="0"/>
    <s v="TOLIMA"/>
    <s v="IBAGUÉ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CALLE 90 D SUR 2 B 11 ESTE P1"/>
    <n v="3205840879"/>
    <m/>
    <x v="0"/>
    <s v="NO SE AUTORECONOCE EN NINGUNO DE LOS ANTERIORES"/>
    <x v="1"/>
    <x v="1"/>
    <s v="NO_"/>
    <s v="NO_"/>
    <s v="o. Ingresos iguales o inferiores a 1.5 Smlv"/>
    <m/>
    <s v="ABUELO(A)"/>
    <s v="CC"/>
    <n v="16698205"/>
    <s v="FREDY"/>
    <s v="FERNANDO"/>
    <s v="GARCIA"/>
    <s v="RODRIGUEZ"/>
    <d v="1964-03-25T00:00:00"/>
    <s v="COLOMBIA"/>
    <s v="TOLIMA"/>
    <s v="IBAGUÉ"/>
    <m/>
    <m/>
    <m/>
    <m/>
    <m/>
    <m/>
    <m/>
    <s v=""/>
    <m/>
    <m/>
    <m/>
    <s v="CC"/>
    <n v="1012410992"/>
    <s v="KAREN "/>
    <s v="ALEXANDRA"/>
    <s v="GARCIA"/>
    <s v="BAQUERO"/>
    <d v="1994-06-03T00:00:00"/>
    <n v="28"/>
    <s v="COLOMBIA"/>
    <s v="BOGOTÁ"/>
    <s v="BOGOTÁ"/>
    <x v="2"/>
    <x v="19"/>
    <x v="0"/>
    <d v="2022-03-11T00:00:00"/>
    <s v="SI_"/>
    <x v="2"/>
    <n v="1"/>
    <s v="NO_"/>
    <m/>
    <m/>
    <s v="36.2"/>
    <s v="2800 GR"/>
    <n v="48"/>
    <s v="NO_"/>
    <n v="6"/>
    <m/>
    <m/>
    <x v="1"/>
    <m/>
  </r>
  <r>
    <n v="1082161099"/>
    <x v="1"/>
    <d v="2022-03-22T00:00:00"/>
    <m/>
    <m/>
    <m/>
    <m/>
    <x v="0"/>
    <x v="4"/>
    <x v="4"/>
    <s v="RC"/>
    <s v="EIMY "/>
    <s v="ISABELLA"/>
    <s v="SUAREZ"/>
    <s v="ROJAS"/>
    <s v="EIMY  ISABELLA SUAREZ ROJAS"/>
    <d v="2020-06-18T00:00:00"/>
    <x v="2"/>
    <n v="6"/>
    <n v="8"/>
    <s v="2 AÑOS 6 MESES 8 DIAS "/>
    <x v="2"/>
    <x v="1"/>
    <x v="0"/>
    <s v="HUILA"/>
    <s v="EL PITAL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6 B ESTE # 97 D SUR 41  PI 2"/>
    <n v="3228228460"/>
    <m/>
    <x v="0"/>
    <s v="NO SE AUTORECONOCE EN NINGUNO DE LOS ANTERIORES"/>
    <x v="0"/>
    <x v="19"/>
    <s v="NO_"/>
    <s v="NO_"/>
    <s v="a. Pertenecientes a hogares con puntaje SISBEN"/>
    <s v="NO_"/>
    <s v="MADRE"/>
    <s v="CC"/>
    <n v="1006487042"/>
    <s v="MIRIAN"/>
    <s v="YORLEDY"/>
    <s v="ROJAS"/>
    <s v="MENDEZ"/>
    <d v="2001-01-24T00:00:00"/>
    <s v="COLOMBIA"/>
    <s v="CAQUETÁ"/>
    <s v="SOLITA"/>
    <m/>
    <m/>
    <m/>
    <m/>
    <m/>
    <m/>
    <m/>
    <s v=""/>
    <m/>
    <m/>
    <m/>
    <s v="CC"/>
    <n v="1006487042"/>
    <s v="MIRIAN"/>
    <s v="YORLEDY"/>
    <s v="ROJAS"/>
    <s v="MENDEZ"/>
    <d v="2001-01-24T00:00:00"/>
    <n v="21"/>
    <s v="COLOMBIA"/>
    <s v="CAQUETÁ"/>
    <s v="SOLITA"/>
    <x v="1"/>
    <x v="20"/>
    <x v="0"/>
    <m/>
    <s v="SI_"/>
    <x v="2"/>
    <n v="3"/>
    <s v="NO_"/>
    <m/>
    <m/>
    <n v="39"/>
    <s v="NO SABE"/>
    <s v="NO SABE"/>
    <s v="SI_"/>
    <n v="6"/>
    <n v="12"/>
    <m/>
    <x v="1"/>
    <m/>
  </r>
  <r>
    <n v="1023045902"/>
    <x v="0"/>
    <d v="2022-03-03T00:00:00"/>
    <d v="2022-03-18T00:00:00"/>
    <e v="#REF!"/>
    <e v="#N/A"/>
    <s v="CONCURRENCIA/NUNCA SE VINCULO"/>
    <x v="0"/>
    <x v="6"/>
    <x v="6"/>
    <s v="RC"/>
    <s v="EIMY"/>
    <s v="TAMARA"/>
    <s v="ROMERO"/>
    <s v="CUEVAS"/>
    <s v="EIMY TAMARA ROMERO CUEVAS"/>
    <d v="2020-11-14T00:00:00"/>
    <x v="2"/>
    <n v="1"/>
    <n v="12"/>
    <s v="2 AÑOS 1 MESES 1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5"/>
    <m/>
    <s v="CALLE 89 BIS SUR NO 10 B ESTE 09"/>
    <n v="3203202068"/>
    <m/>
    <x v="0"/>
    <s v="NO SE AUTORECONOCE EN NINGUNO DE LOS ANTERIORES"/>
    <x v="1"/>
    <x v="1"/>
    <s v="NO_"/>
    <s v="NO_"/>
    <s v="o. Ingresos iguales o inferiores a 1.5 Smlv"/>
    <m/>
    <s v="ABUELO(A)"/>
    <s v="CC"/>
    <n v="53090827"/>
    <s v="ANDREA"/>
    <s v="AIDEE"/>
    <s v="MOLINA"/>
    <s v="VARGAS"/>
    <d v="1984-04-12T00:00:00"/>
    <s v="COLOMBIA"/>
    <s v="BOGOTÁ"/>
    <s v="BOGOTÁ"/>
    <m/>
    <m/>
    <m/>
    <m/>
    <m/>
    <m/>
    <m/>
    <s v=""/>
    <m/>
    <m/>
    <m/>
    <s v="CC"/>
    <n v="1032365638"/>
    <s v="ANGELY"/>
    <s v="GERALDIN"/>
    <s v="CUEVAS"/>
    <s v="MOLINA"/>
    <d v="2004-06-12T00:00:00"/>
    <n v="18"/>
    <s v="COLOMBIA"/>
    <s v="BOGOTÁ"/>
    <s v="BOGOTÁ"/>
    <x v="1"/>
    <x v="1"/>
    <x v="0"/>
    <d v="2021-03-11T00:00:00"/>
    <s v="SI_"/>
    <x v="2"/>
    <n v="1"/>
    <s v="SI_"/>
    <m/>
    <m/>
    <n v="38"/>
    <s v="2765 GR"/>
    <n v="50"/>
    <s v="NO_"/>
    <n v="6"/>
    <m/>
    <m/>
    <x v="1"/>
    <m/>
  </r>
  <r>
    <n v="1023046763"/>
    <x v="1"/>
    <d v="2022-06-07T00:00:00"/>
    <m/>
    <m/>
    <m/>
    <m/>
    <x v="0"/>
    <x v="5"/>
    <x v="5"/>
    <s v="RC"/>
    <s v="ANYIE"/>
    <s v="DAYANA"/>
    <s v="SOL"/>
    <s v="ARIZA"/>
    <s v="ANYIE DAYANA SOL ARIZA"/>
    <d v="2021-03-15T00:00:00"/>
    <x v="3"/>
    <n v="9"/>
    <n v="11"/>
    <s v="1 AÑOS 9 MESES 1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7CESTE#98CSUR"/>
    <n v="3235238956"/>
    <m/>
    <x v="0"/>
    <s v="NO SE AUTORECONOCE EN NINGUNO DE LOS ANTERIORES"/>
    <x v="2"/>
    <x v="1"/>
    <s v="NO_"/>
    <s v="NO_"/>
    <m/>
    <m/>
    <s v="MADRE"/>
    <s v="CC"/>
    <n v="1000218457"/>
    <s v="MARIBEL"/>
    <m/>
    <s v="ARIZA"/>
    <s v="MELO"/>
    <d v="2002-06-08T00:00:00"/>
    <s v="COLOMBIA"/>
    <s v="BOGOTÁ"/>
    <s v="BOGOTÁ"/>
    <s v="CC"/>
    <n v="1080833586"/>
    <s v="YOER"/>
    <s v="LEVER"/>
    <s v="SOL"/>
    <s v="QUIÑONES"/>
    <d v="1995-08-11T00:00:00"/>
    <n v="27"/>
    <s v="COLOMBIA"/>
    <s v="NARIÑO"/>
    <s v="BARBACOAS"/>
    <s v="CC"/>
    <n v="1000218457"/>
    <s v="MARIBEL"/>
    <m/>
    <s v="ARIZA"/>
    <s v="MELO"/>
    <d v="2002-06-08T00:00:00"/>
    <n v="20"/>
    <s v="COLOMBIA"/>
    <s v="BOGOTÁ"/>
    <s v="BOGOTÁ"/>
    <x v="1"/>
    <x v="21"/>
    <x v="0"/>
    <m/>
    <s v="NO_"/>
    <x v="2"/>
    <m/>
    <m/>
    <m/>
    <m/>
    <m/>
    <m/>
    <m/>
    <m/>
    <m/>
    <m/>
    <m/>
    <x v="1"/>
    <m/>
  </r>
  <r>
    <n v="1028845954"/>
    <x v="0"/>
    <d v="2022-03-03T00:00:00"/>
    <d v="2022-06-06T00:00:00"/>
    <e v="#REF!"/>
    <e v="#N/A"/>
    <m/>
    <x v="0"/>
    <x v="5"/>
    <x v="5"/>
    <s v="RC"/>
    <s v="THADEO"/>
    <s v="DE JESUS "/>
    <s v="RODRIGUEZ"/>
    <s v="URRIBARRI"/>
    <s v="THADEO DE JESUS  RODRIGUEZ URRIBARRI"/>
    <d v="2021-03-11T00:00:00"/>
    <x v="3"/>
    <n v="9"/>
    <n v="15"/>
    <s v="1 AÑOS 9 MESES 1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CL 97 B SUR 2 B ESTE 27"/>
    <n v="3013627952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THANGELIS"/>
    <s v="STEFANY"/>
    <s v="URRIBARRI"/>
    <s v="JIMENEZ"/>
    <d v="1994-04-12T00:00:00"/>
    <s v="VENEZUELA"/>
    <s v="EXTERIOR"/>
    <s v="EXTERIOR"/>
    <m/>
    <m/>
    <m/>
    <m/>
    <m/>
    <m/>
    <m/>
    <s v=""/>
    <m/>
    <m/>
    <m/>
    <s v="SIN DOCUMENTO"/>
    <m/>
    <s v="THANGELIS"/>
    <s v="STEFANI"/>
    <s v="URRIBARRI"/>
    <s v="JIMENEZ"/>
    <d v="1994-04-12T00:00:00"/>
    <n v="28"/>
    <s v="VENEZUELA"/>
    <s v="EXTERIOR"/>
    <s v="EXTERIOR"/>
    <x v="1"/>
    <x v="1"/>
    <x v="0"/>
    <d v="2022-03-11T00:00:00"/>
    <s v="SI_"/>
    <x v="2"/>
    <n v="1"/>
    <s v="NO_"/>
    <m/>
    <m/>
    <s v="40.3"/>
    <s v="3890 GR"/>
    <n v="53"/>
    <s v="NO_"/>
    <n v="3"/>
    <m/>
    <m/>
    <x v="1"/>
    <m/>
  </r>
  <r>
    <n v="1021696970"/>
    <x v="1"/>
    <d v="2022-04-04T00:00:00"/>
    <m/>
    <m/>
    <m/>
    <m/>
    <x v="0"/>
    <x v="2"/>
    <x v="2"/>
    <s v="RC"/>
    <s v="NELSON "/>
    <s v="ADRIAN"/>
    <s v="SANCHEZ"/>
    <s v="ANGULO"/>
    <s v="NELSON  ADRIAN SANCHEZ ANGULO"/>
    <d v="2022-03-22T00:00:00"/>
    <x v="1"/>
    <n v="9"/>
    <n v="4"/>
    <s v="0 AÑOS 9 MESES 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ESTE 91 SUR 46"/>
    <n v="3219878776"/>
    <m/>
    <x v="0"/>
    <s v="NO SE AUTORECONOCE EN NINGUNO DE LOS ANTERIORES"/>
    <x v="1"/>
    <x v="1"/>
    <s v="NO_"/>
    <s v="NO_"/>
    <s v="o. Ingresos iguales o inferiores a 1.5 Smlv"/>
    <s v="SI_"/>
    <s v="MADRE"/>
    <s v="CC"/>
    <n v="1148445814"/>
    <s v="GINA"/>
    <s v="MELITZA"/>
    <s v="ANGULO"/>
    <s v="ANGULO"/>
    <d v="1994-02-11T00:00:00"/>
    <s v="COLOMBIA"/>
    <s v="VALLE_DEL_CAUCA"/>
    <s v="BUENAVENTURA"/>
    <m/>
    <m/>
    <m/>
    <m/>
    <m/>
    <m/>
    <m/>
    <s v=""/>
    <m/>
    <m/>
    <m/>
    <m/>
    <m/>
    <m/>
    <m/>
    <m/>
    <m/>
    <m/>
    <s v=""/>
    <m/>
    <m/>
    <m/>
    <x v="0"/>
    <x v="3"/>
    <x v="0"/>
    <d v="2022-03-31T00:00:00"/>
    <m/>
    <x v="0"/>
    <m/>
    <s v="SI_"/>
    <m/>
    <m/>
    <n v="36"/>
    <n v="2500"/>
    <n v="47"/>
    <m/>
    <m/>
    <m/>
    <m/>
    <x v="2"/>
    <m/>
  </r>
  <r>
    <n v="1148445814"/>
    <x v="0"/>
    <d v="2022-03-03T00:00:00"/>
    <d v="2022-04-04T00:00:00"/>
    <e v="#REF!"/>
    <e v="#N/A"/>
    <m/>
    <x v="0"/>
    <x v="0"/>
    <x v="0"/>
    <s v="CC"/>
    <s v="GINA"/>
    <s v="MELITZA"/>
    <s v="ANGULO"/>
    <s v="ANGULO"/>
    <s v="GINA MELITZA ANGULO ANGULO"/>
    <d v="1994-02-11T00:00:00"/>
    <x v="12"/>
    <n v="10"/>
    <n v="15"/>
    <s v="28 AÑOS 10 MESES 15 DIAS "/>
    <x v="0"/>
    <x v="0"/>
    <x v="0"/>
    <s v="VALLE_DEL_CAUCA"/>
    <s v="BUENAVENTUR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ESTE 91 46 SUR"/>
    <n v="3219878736"/>
    <m/>
    <x v="0"/>
    <s v="NO SE AUTORECONOCE EN NINGUNO DE LOS ANTERIORES"/>
    <x v="0"/>
    <x v="8"/>
    <s v="NO_"/>
    <s v="NO_"/>
    <m/>
    <m/>
    <s v="MADRE"/>
    <s v="CC"/>
    <n v="66733790"/>
    <s v="MERY"/>
    <m/>
    <s v="ANGULO "/>
    <s v="MOSQUERA"/>
    <d v="1966-11-21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3"/>
    <x v="0"/>
    <m/>
    <m/>
    <x v="0"/>
    <m/>
    <m/>
    <m/>
    <m/>
    <m/>
    <m/>
    <m/>
    <m/>
    <m/>
    <m/>
    <n v="32"/>
    <x v="0"/>
    <m/>
  </r>
  <r>
    <n v="1245079709"/>
    <x v="0"/>
    <d v="2022-05-10T00:00:00"/>
    <d v="2022-10-03T00:00:00"/>
    <e v="#REF!"/>
    <e v="#N/A"/>
    <s v="ALCANTUZ"/>
    <x v="0"/>
    <x v="2"/>
    <x v="2"/>
    <s v="RC"/>
    <s v="ERICK "/>
    <m/>
    <s v="ORTEGA "/>
    <s v="MONRROY"/>
    <s v="ERICK   ORTEGA  MONRROY"/>
    <d v="2022-03-20T00:00:00"/>
    <x v="1"/>
    <n v="9"/>
    <n v="6"/>
    <s v="0 AÑOS 9 MESES 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CL 117 C SUR  0 40 "/>
    <n v="3024437476"/>
    <n v="3022098697"/>
    <x v="0"/>
    <s v="NO SE AUTORECONOCE EN NINGUNO DE LOS ANTERIORES"/>
    <x v="1"/>
    <x v="1"/>
    <s v="NO_"/>
    <s v="NO_"/>
    <s v="o. Ingresos iguales o inferiores a 1.5 Smlv"/>
    <s v="SI_"/>
    <s v="MADRE"/>
    <s v="CC"/>
    <n v="1022938131"/>
    <s v="NOLYN"/>
    <s v="JULIETH"/>
    <s v="ORTEGA"/>
    <s v="MONROY"/>
    <d v="1987-07-01T00:00:00"/>
    <s v="COLOMBIA"/>
    <s v="BOGOTÁ"/>
    <s v="BOGOTÁ"/>
    <m/>
    <m/>
    <m/>
    <m/>
    <m/>
    <m/>
    <m/>
    <s v=""/>
    <m/>
    <m/>
    <m/>
    <s v="CC"/>
    <n v="1022938131"/>
    <s v="NOLYN"/>
    <s v="JULIETH"/>
    <s v="ORTEGA"/>
    <s v="MONROY"/>
    <m/>
    <s v=""/>
    <s v="COLOMBIA"/>
    <s v="BOGOTÁ"/>
    <s v="BOGOTÁ"/>
    <x v="1"/>
    <x v="6"/>
    <x v="2"/>
    <s v="NO_"/>
    <m/>
    <x v="1"/>
    <m/>
    <m/>
    <m/>
    <m/>
    <n v="26"/>
    <n v="920"/>
    <n v="35"/>
    <m/>
    <m/>
    <m/>
    <m/>
    <x v="2"/>
    <m/>
  </r>
  <r>
    <n v="1022938131"/>
    <x v="0"/>
    <d v="2022-03-03T00:00:00"/>
    <d v="2022-05-09T00:00:00"/>
    <e v="#REF!"/>
    <e v="#N/A"/>
    <m/>
    <x v="0"/>
    <x v="0"/>
    <x v="0"/>
    <s v="CC"/>
    <s v="NOLYN"/>
    <s v="JULIETH"/>
    <s v="ORTEGA"/>
    <s v="MONROY"/>
    <s v="NOLYN JULIETH ORTEGA MONROY"/>
    <d v="1987-07-01T00:00:00"/>
    <x v="28"/>
    <n v="5"/>
    <n v="25"/>
    <s v="35 AÑOS 5 MESES 25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CL 117 C SUR  0 40 "/>
    <n v="3024437476"/>
    <n v="3022098697"/>
    <x v="0"/>
    <s v="NO SE AUTORECONOCE EN NINGUNO DE LOS ANTERIORES"/>
    <x v="0"/>
    <x v="6"/>
    <s v="NO_"/>
    <s v="NO_"/>
    <m/>
    <m/>
    <s v="OTRO"/>
    <s v="CC"/>
    <n v="1000939281"/>
    <s v="DEIVI "/>
    <s v="ALEXANDER "/>
    <s v="MENDOZA"/>
    <s v="MONROI"/>
    <d v="2001-03-23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1"/>
    <x v="6"/>
    <x v="0"/>
    <m/>
    <s v="SI_"/>
    <x v="2"/>
    <m/>
    <m/>
    <m/>
    <m/>
    <m/>
    <m/>
    <m/>
    <m/>
    <m/>
    <m/>
    <n v="23"/>
    <x v="0"/>
    <m/>
  </r>
  <r>
    <n v="1033830288"/>
    <x v="1"/>
    <d v="2022-04-26T00:00:00"/>
    <m/>
    <m/>
    <m/>
    <m/>
    <x v="0"/>
    <x v="3"/>
    <x v="3"/>
    <s v="RC"/>
    <s v="IRENE"/>
    <s v="VALENTINA"/>
    <s v="CRISALEZ"/>
    <s v="CASTILLO"/>
    <s v="IRENE VALENTINA CRISALEZ CASTILLO"/>
    <d v="2021-07-23T00:00:00"/>
    <x v="3"/>
    <n v="5"/>
    <n v="3"/>
    <s v="1 AÑOS 5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100 SUR # 6 F ESTE -15 P 1"/>
    <n v="3123761864"/>
    <n v="3207872787"/>
    <x v="1"/>
    <s v="NO SE AUTORECONOCE EN NINGUNO DE LOS ANTERIORES"/>
    <x v="1"/>
    <x v="1"/>
    <s v="NO_"/>
    <s v="NO_"/>
    <s v="o. Ingresos iguales o inferiores a 1.5 Smlv"/>
    <m/>
    <s v="MADRE"/>
    <s v="SIN DOCUMENTO"/>
    <m/>
    <s v="YELIMAR"/>
    <s v="REBECA"/>
    <s v="CASTILLO"/>
    <s v="GUEVARA"/>
    <n v="36955"/>
    <s v="VENEZUELA"/>
    <s v="EXTERIOR"/>
    <s v="EXTERIOR"/>
    <s v="SIN DOCUMENTO"/>
    <m/>
    <s v="RONALD"/>
    <s v="JAVIER"/>
    <s v="CRISALEZ"/>
    <s v="GRATEROL"/>
    <n v="30260"/>
    <n v="40"/>
    <s v="VENEZUELA"/>
    <s v="EXTERIOR"/>
    <s v="EXTERIOR"/>
    <s v="SIN DOCUMENTO"/>
    <m/>
    <s v="YELIMAR"/>
    <s v="REBECA"/>
    <s v="CASTILLO"/>
    <s v="GUEVARA"/>
    <n v="36955"/>
    <n v="21"/>
    <s v="VENEZUELA"/>
    <s v="EXTERIOR"/>
    <s v="EXTERIOR"/>
    <x v="1"/>
    <x v="1"/>
    <x v="0"/>
    <m/>
    <s v="SI_"/>
    <x v="2"/>
    <n v="1"/>
    <s v="NO_"/>
    <m/>
    <m/>
    <s v="39 SEMANAS"/>
    <n v="3800"/>
    <n v="51"/>
    <s v="SI_"/>
    <n v="6"/>
    <s v="ACTUAL"/>
    <m/>
    <x v="1"/>
    <m/>
  </r>
  <r>
    <n v="1023047211"/>
    <x v="0"/>
    <d v="2022-03-03T00:00:00"/>
    <d v="2022-04-25T00:00:00"/>
    <e v="#REF!"/>
    <e v="#N/A"/>
    <m/>
    <x v="0"/>
    <x v="6"/>
    <x v="6"/>
    <s v="RC"/>
    <s v="DAMIAN"/>
    <s v="STEBAN"/>
    <s v="HINCAPIE"/>
    <s v="GALINDO"/>
    <s v="DAMIAN STEBAN HINCAPIE GALINDO"/>
    <d v="2021-09-19T00:00:00"/>
    <x v="3"/>
    <n v="3"/>
    <n v="7"/>
    <s v="1 AÑOS 3 MESES 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KR 5 A ESTE 90 49  SUR "/>
    <n v="3158250678"/>
    <n v="3132450505"/>
    <x v="0"/>
    <s v="NO SE AUTORECONOCE EN NINGUNO DE LOS ANTERIORES"/>
    <x v="0"/>
    <x v="8"/>
    <s v="NO_"/>
    <s v="NO_"/>
    <m/>
    <m/>
    <s v="ABUELO(A)"/>
    <s v="CC"/>
    <n v="41715880"/>
    <s v="FLOR "/>
    <s v="ALBA "/>
    <s v="ROJAS "/>
    <s v="MOSQUERA "/>
    <d v="1955-10-14T00:00:00"/>
    <s v="COLOMBIA"/>
    <s v="HUILA"/>
    <s v="PITALITO"/>
    <s v="CC"/>
    <n v="1001167492"/>
    <s v="OSCAR"/>
    <s v="DANILO"/>
    <s v="INCAPIE"/>
    <s v="ROBLES"/>
    <d v="1994-04-04T00:00:00"/>
    <n v="28"/>
    <s v="COLOMBIA"/>
    <s v="BOGOTÁ"/>
    <s v="BOGOTÁ"/>
    <s v="CC"/>
    <n v="1023008587"/>
    <s v="KAREN "/>
    <s v="JULIETH"/>
    <s v="GALINDO"/>
    <s v="ROJAS"/>
    <d v="1995-11-01T00:00:00"/>
    <n v="27"/>
    <s v="COLOMBIA"/>
    <s v="BOGOTÁ"/>
    <s v="BOGOTÁ"/>
    <x v="0"/>
    <x v="3"/>
    <x v="0"/>
    <d v="2022-01-20T00:00:00"/>
    <s v="SI_"/>
    <x v="2"/>
    <d v="2022-01-29T00:00:00"/>
    <s v="NO_"/>
    <m/>
    <m/>
    <n v="39"/>
    <n v="3119"/>
    <n v="52"/>
    <s v="NO_"/>
    <n v="2"/>
    <m/>
    <m/>
    <x v="1"/>
    <m/>
  </r>
  <r>
    <n v="1028675820"/>
    <x v="1"/>
    <d v="2022-07-19T00:00:00"/>
    <m/>
    <m/>
    <m/>
    <m/>
    <x v="0"/>
    <x v="0"/>
    <x v="0"/>
    <s v="RC"/>
    <s v="BRIAN"/>
    <s v="JOEL"/>
    <s v="GUTIERREZ"/>
    <s v="LOZANO"/>
    <s v="BRIAN JOEL GUTIERREZ LOZANO"/>
    <d v="2022-06-06T00:00:00"/>
    <x v="1"/>
    <n v="6"/>
    <n v="20"/>
    <s v="0 AÑOS 6 MESES 2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6"/>
    <m/>
    <s v="ZONA SIN LEGALIZAR (EL MIRADOR DE LA ESMERALDA CASA 3)"/>
    <n v="3208420460"/>
    <n v="3227734590"/>
    <x v="0"/>
    <s v="NO SE AUTORECONOCE EN NINGUNO DE LOS ANTERIORES"/>
    <x v="1"/>
    <x v="1"/>
    <s v="NO_"/>
    <s v="NO_"/>
    <s v="o. Ingresos iguales o inferiores a 1.5 Smlv"/>
    <m/>
    <s v="ABUELO(A)"/>
    <s v="CC"/>
    <n v="1115185316"/>
    <s v="SANDRA"/>
    <s v="MILENA"/>
    <s v="CARMONA"/>
    <s v="SALAZAR"/>
    <d v="1988-09-19T00:00:00"/>
    <s v="COLOMBIA"/>
    <s v="CALDAS"/>
    <s v="ANSERMA"/>
    <s v="TI"/>
    <n v="1014979713"/>
    <s v="JOHAN"/>
    <s v="JULIAN"/>
    <s v="GUTIERREZ"/>
    <s v="ARDILA"/>
    <m/>
    <s v=""/>
    <m/>
    <m/>
    <m/>
    <s v="TI"/>
    <n v="1115574833"/>
    <s v="YURY"/>
    <s v="VIVIANA"/>
    <s v="LOZANO"/>
    <s v="CARMONA"/>
    <d v="2005-08-20T00:00:00"/>
    <n v="17"/>
    <s v="COLOMBIA"/>
    <s v="VALLE_DEL_CAUCA"/>
    <s v="SEVILLA"/>
    <x v="1"/>
    <x v="1"/>
    <x v="1"/>
    <d v="2022-07-19T00:00:00"/>
    <s v="NO_"/>
    <x v="1"/>
    <m/>
    <s v="NO_"/>
    <s v="NO"/>
    <m/>
    <s v="40 SEMANAS"/>
    <m/>
    <m/>
    <s v="NO_"/>
    <n v="0"/>
    <n v="1"/>
    <m/>
    <x v="2"/>
    <m/>
  </r>
  <r>
    <n v="1115574833"/>
    <x v="0"/>
    <d v="2022-03-03T00:00:00"/>
    <d v="2022-07-18T00:00:00"/>
    <e v="#REF!"/>
    <e v="#N/A"/>
    <m/>
    <x v="0"/>
    <x v="0"/>
    <x v="0"/>
    <s v="TI"/>
    <s v="YURY "/>
    <s v="VIVIANA"/>
    <s v="LOZANO"/>
    <s v="CARMONA"/>
    <s v="YURY  VIVIANA LOZANO CARMONA"/>
    <d v="2005-08-20T00:00:00"/>
    <x v="29"/>
    <n v="4"/>
    <n v="6"/>
    <s v="17 AÑOS 4 MESES 6 DIAS "/>
    <x v="0"/>
    <x v="0"/>
    <x v="0"/>
    <s v="VALLE_DEL_CAUCA"/>
    <s v="SEVILLA"/>
    <x v="0"/>
    <s v="NO_"/>
    <m/>
    <s v="NINGUNA"/>
    <m/>
    <s v="NO_"/>
    <s v="NO_"/>
    <s v="NO_"/>
    <s v="NO_"/>
    <s v="NO_"/>
    <s v="NO_"/>
    <s v="NO_"/>
    <s v="COLOMBIA"/>
    <s v="BOGOTÁ"/>
    <x v="1"/>
    <m/>
    <x v="1"/>
    <x v="17"/>
    <s v="EL MIRADOR DE LA ESMERALDA"/>
    <s v="CASA 3"/>
    <n v="3208420460"/>
    <n v="3227734590"/>
    <x v="0"/>
    <s v="NO SE AUTORECONOCE EN NINGUNO DE LOS ANTERIORES"/>
    <x v="0"/>
    <x v="19"/>
    <s v="NO_"/>
    <s v="NO_"/>
    <m/>
    <m/>
    <s v="MADRE"/>
    <s v="CC"/>
    <n v="1115185316"/>
    <s v="SANDRA"/>
    <s v="MILENA"/>
    <s v="CARMONA"/>
    <s v="SALAZAR"/>
    <d v="1988-09-19T00:00:00"/>
    <s v="COLOMBIA"/>
    <s v="CALDAS"/>
    <s v="ANSERMA"/>
    <m/>
    <m/>
    <m/>
    <m/>
    <m/>
    <m/>
    <m/>
    <s v=""/>
    <m/>
    <m/>
    <m/>
    <m/>
    <m/>
    <m/>
    <m/>
    <m/>
    <m/>
    <m/>
    <s v=""/>
    <m/>
    <m/>
    <m/>
    <x v="1"/>
    <x v="1"/>
    <x v="1"/>
    <m/>
    <m/>
    <x v="0"/>
    <m/>
    <m/>
    <m/>
    <m/>
    <m/>
    <m/>
    <m/>
    <m/>
    <m/>
    <m/>
    <n v="26"/>
    <x v="0"/>
    <m/>
  </r>
  <r>
    <n v="1023047612"/>
    <x v="0"/>
    <d v="2022-04-04T00:00:00"/>
    <d v="2022-10-03T00:00:00"/>
    <e v="#REF!"/>
    <e v="#N/A"/>
    <s v="VIRREY"/>
    <x v="0"/>
    <x v="3"/>
    <x v="3"/>
    <s v="RC"/>
    <s v="ANYELO"/>
    <s v="LEONEL"/>
    <s v="CUBILLOS"/>
    <s v="MENDOZA"/>
    <s v="ANYELO LEONEL CUBILLOS MENDOZA"/>
    <d v="2021-12-14T00:00:00"/>
    <x v="3"/>
    <n v="0"/>
    <n v="12"/>
    <s v="1 AÑOS 0 MESES 1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KR 9 B ESTE 107 SUR 67"/>
    <n v="3222313660"/>
    <m/>
    <x v="0"/>
    <s v="NO SE AUTORECONOCE EN NINGUNO DE LOS ANTERIORES"/>
    <x v="1"/>
    <x v="1"/>
    <s v="NO_"/>
    <s v="NO_"/>
    <s v="o. Ingresos iguales o inferiores a 1.5 Smlv"/>
    <m/>
    <s v="MADRE"/>
    <s v="CC"/>
    <n v="1007551681"/>
    <s v="ZULEIMIS"/>
    <m/>
    <s v="MENDOZA"/>
    <s v="MARTINEZ"/>
    <d v="2022-03-09T00:00:00"/>
    <s v="COLOMBIA"/>
    <s v="CESAR"/>
    <s v="AGUSTÍN CODAZZI"/>
    <s v="CC"/>
    <n v="1023009094"/>
    <s v="ANDERSON"/>
    <s v="FABIAN"/>
    <s v="CUBILLOS"/>
    <s v="ORTEGON"/>
    <d v="1995-12-07T00:00:00"/>
    <n v="27"/>
    <s v="COLOMBIA"/>
    <s v="BOGOTÁ"/>
    <s v="BOGOTÁ"/>
    <s v="CC"/>
    <n v="1007551681"/>
    <s v="ZULEIMIS"/>
    <m/>
    <s v="MENDOZA"/>
    <s v="MARTINEZ"/>
    <d v="2022-03-09T00:00:00"/>
    <n v="0"/>
    <s v="COLOMBIA"/>
    <s v="CESAR"/>
    <s v="AGUSTÍN CODAZZI"/>
    <x v="0"/>
    <x v="0"/>
    <x v="0"/>
    <d v="2022-03-29T00:00:00"/>
    <s v="SI_"/>
    <x v="1"/>
    <m/>
    <s v="NO_"/>
    <m/>
    <m/>
    <s v="40.1"/>
    <s v="2980 GR"/>
    <n v="43"/>
    <s v="NO_"/>
    <n v="0"/>
    <m/>
    <m/>
    <x v="1"/>
    <m/>
  </r>
  <r>
    <n v="1023047526"/>
    <x v="0"/>
    <d v="2022-03-03T00:00:00"/>
    <d v="2022-04-04T00:00:00"/>
    <e v="#REF!"/>
    <e v="#N/A"/>
    <m/>
    <x v="0"/>
    <x v="6"/>
    <x v="6"/>
    <s v="RC"/>
    <s v="DOMINIK"/>
    <s v="SANTIAGO"/>
    <s v="SANCHEZ"/>
    <s v="RINCON"/>
    <s v="DOMINIK SANTIAGO SANCHEZ RINCON"/>
    <d v="2021-11-22T00:00:00"/>
    <x v="3"/>
    <n v="1"/>
    <n v="4"/>
    <s v="1 AÑOS 1 MESES 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7"/>
    <m/>
    <s v="CRR 6C ESTE 97 D 23 SUR "/>
    <n v="3185755680"/>
    <m/>
    <x v="2"/>
    <s v="NO SE AUTORECONOCE EN NINGUNO DE LOS ANTERIORES"/>
    <x v="0"/>
    <x v="20"/>
    <s v="NO_"/>
    <s v="NO_"/>
    <m/>
    <m/>
    <s v="MADRE"/>
    <s v="CC"/>
    <n v="1022966469"/>
    <s v="YURI "/>
    <s v="MARCELA"/>
    <s v="RINCON"/>
    <s v="GARCIA"/>
    <d v="1991-02-11T00:00:00"/>
    <s v="COLOMBIA"/>
    <s v="BOGOTÁ"/>
    <s v="BOGOTÁ"/>
    <s v="CC"/>
    <n v="10333724635"/>
    <s v="ALBARO"/>
    <s v="DIEGO"/>
    <s v="SANCHEZ"/>
    <s v="SOSA"/>
    <d v="1990-06-19T00:00:00"/>
    <n v="32"/>
    <s v="COLOMBIA"/>
    <s v="BOGOTÁ"/>
    <s v="BOGOTÁ"/>
    <s v="CC"/>
    <n v="1022966469"/>
    <s v="YURI "/>
    <s v="MARCELA"/>
    <s v="RINCON"/>
    <s v="GARCIA"/>
    <d v="1991-02-11T00:00:00"/>
    <n v="31"/>
    <s v="COLOMBIA"/>
    <s v="BOGOTÁ"/>
    <s v="BOGOTÁ"/>
    <x v="0"/>
    <x v="5"/>
    <x v="0"/>
    <d v="2022-01-25T00:00:00"/>
    <s v="SI_"/>
    <x v="1"/>
    <m/>
    <s v="NO_"/>
    <m/>
    <m/>
    <n v="40"/>
    <n v="3800"/>
    <n v="53"/>
    <s v="SI_"/>
    <m/>
    <m/>
    <m/>
    <x v="1"/>
    <m/>
  </r>
  <r>
    <n v="1023047792"/>
    <x v="0"/>
    <d v="2022-03-03T00:00:00"/>
    <d v="2022-10-06T00:00:00"/>
    <e v="#REF!"/>
    <e v="#N/A"/>
    <m/>
    <x v="0"/>
    <x v="2"/>
    <x v="2"/>
    <s v="RC"/>
    <s v="ELIAN"/>
    <s v="JOSUE"/>
    <s v="URREGO"/>
    <s v="VALBUENA"/>
    <s v="ELIAN JOSUE URREGO VALBUENA"/>
    <d v="2022-01-19T00:00:00"/>
    <x v="1"/>
    <n v="11"/>
    <n v="7"/>
    <s v="0 AÑOS 11 MESES 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KR 4 ESTE97 D SUR 92"/>
    <n v="3007297134"/>
    <n v="3013617579"/>
    <x v="0"/>
    <s v="NO SE AUTORECONOCE EN NINGUNO DE LOS ANTERIORES"/>
    <x v="1"/>
    <x v="1"/>
    <s v="NO_"/>
    <s v="NO_"/>
    <m/>
    <m/>
    <s v="MADRE"/>
    <s v="CC"/>
    <n v="1022961159"/>
    <s v="KAROL"/>
    <s v="LINETH"/>
    <s v="VALBUENA"/>
    <s v="ZAPATA"/>
    <d v="1990-07-10T00:00:00"/>
    <s v="COLOMBIA"/>
    <s v="BOGOTÁ"/>
    <s v="BOGOTÁ"/>
    <s v="CC"/>
    <n v="1022935848"/>
    <s v="JOSE"/>
    <s v="GIUOVANNY"/>
    <s v="URREGO"/>
    <s v="LINARES"/>
    <d v="1987-07-09T00:00:00"/>
    <n v="35"/>
    <s v="COLOMBIA"/>
    <s v="BOGOTÁ"/>
    <s v="BOGOTÁ"/>
    <s v="CC"/>
    <n v="1022961159"/>
    <s v="KAROL"/>
    <s v="LINETH"/>
    <s v="VALBUENA"/>
    <s v="ZAPATA"/>
    <d v="1990-07-10T00:00:00"/>
    <n v="32"/>
    <s v="COLOMBIA"/>
    <s v="BOGOTÁ"/>
    <s v="BOGOTÁ"/>
    <x v="1"/>
    <x v="6"/>
    <x v="0"/>
    <d v="2022-01-19T00:00:00"/>
    <s v="SI_"/>
    <x v="1"/>
    <m/>
    <s v="NO_"/>
    <m/>
    <m/>
    <n v="39.6"/>
    <n v="374"/>
    <n v="54"/>
    <s v="SI_"/>
    <m/>
    <m/>
    <m/>
    <x v="2"/>
    <m/>
  </r>
  <r>
    <n v="1023047812"/>
    <x v="1"/>
    <d v="2022-03-03T00:00:00"/>
    <m/>
    <m/>
    <m/>
    <m/>
    <x v="0"/>
    <x v="2"/>
    <x v="2"/>
    <s v="RC"/>
    <s v="ZABDIEL"/>
    <s v="ALESSANDRO"/>
    <s v="RODRIGUEZ"/>
    <s v="AGUILAR"/>
    <s v="ZABDIEL ALESSANDRO RODRIGUEZ AGUILAR"/>
    <d v="2022-01-17T00:00:00"/>
    <x v="1"/>
    <n v="11"/>
    <n v="9"/>
    <s v="0 AÑOS 11 MESES 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KR 7 A ESTE 97 C SUR12 PI 1"/>
    <n v="3209831625"/>
    <m/>
    <x v="0"/>
    <s v="NO SE AUTORECONOCE EN NINGUNO DE LOS ANTERIORES"/>
    <x v="1"/>
    <x v="1"/>
    <s v="NO_"/>
    <s v="NO_"/>
    <m/>
    <m/>
    <s v="MADRE"/>
    <s v="SIN DOCUMENTO"/>
    <m/>
    <s v="YUSMIL"/>
    <s v="CAROLINA "/>
    <s v="VALLE "/>
    <s v="AGUILAR "/>
    <d v="1989-01-27T00:00:00"/>
    <s v="VENEZUELA"/>
    <s v="EXTERIOR"/>
    <s v="EXTERIOR"/>
    <s v="SIN DOCUMENTO"/>
    <m/>
    <s v="VICTOR"/>
    <s v="ALFREDO "/>
    <s v="RODRIQUEZ "/>
    <s v="MORA"/>
    <d v="1985-03-06T00:00:00"/>
    <n v="37"/>
    <s v="VENEZUELA"/>
    <s v="EXTERIOR"/>
    <s v="EXTERIOR"/>
    <s v="SIN DOCUMENTO"/>
    <m/>
    <s v="YUSMIL"/>
    <s v="CAROLINA "/>
    <s v="VALLE "/>
    <s v="AGUILAR "/>
    <d v="1989-01-27T00:00:00"/>
    <n v="33"/>
    <s v="VENEZUELA"/>
    <s v="EXTERIOR"/>
    <s v="EXTERIOR"/>
    <x v="1"/>
    <x v="1"/>
    <x v="0"/>
    <d v="2022-01-17T00:00:00"/>
    <s v="SI_"/>
    <x v="1"/>
    <m/>
    <s v="SI_"/>
    <m/>
    <m/>
    <n v="35"/>
    <n v="2295"/>
    <n v="47"/>
    <s v="NO_"/>
    <n v="0"/>
    <n v="0"/>
    <m/>
    <x v="2"/>
    <m/>
  </r>
  <r>
    <n v="1021515724"/>
    <x v="1"/>
    <d v="2022-04-26T00:00:00"/>
    <m/>
    <m/>
    <m/>
    <m/>
    <x v="0"/>
    <x v="2"/>
    <x v="2"/>
    <s v="RC"/>
    <s v="ADHARA"/>
    <m/>
    <s v="DELGADO"/>
    <s v="HERNANDEZ"/>
    <s v="ADHARA  DELGADO HERNANDEZ"/>
    <d v="2022-04-21T00:00:00"/>
    <x v="1"/>
    <n v="8"/>
    <n v="5"/>
    <s v="0 AÑOS 8 MESES 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6 B ESTE 95 SUR 48"/>
    <n v="3229033300"/>
    <m/>
    <x v="0"/>
    <s v="NO SE AUTORECONOCE EN NINGUNO DE LOS ANTERIORES"/>
    <x v="1"/>
    <x v="1"/>
    <s v="NO_"/>
    <s v="NO_"/>
    <s v="o. Ingresos iguales o inferiores a 1.5 Smlv"/>
    <s v="SI_"/>
    <s v="MADRE"/>
    <s v="CC"/>
    <n v="1023036790"/>
    <s v="HEIDYTH"/>
    <s v="JAQUELINE"/>
    <s v="HERNANDEZ"/>
    <s v="MARTINEZ"/>
    <d v="1999-07-15T00:00:00"/>
    <s v="COLOMBIA"/>
    <s v="BOGOTÁ"/>
    <s v="BOGOTÁ"/>
    <s v="CC"/>
    <n v="1033804456"/>
    <s v="LUIS"/>
    <s v="ALEJANDRO"/>
    <s v="DELGADO"/>
    <s v="SALCEDO"/>
    <d v="1998-02-07T00:00:00"/>
    <n v="24"/>
    <s v="COLOMBIA"/>
    <s v="BOGOTÁ"/>
    <s v="BOGOTÁ"/>
    <s v="CC"/>
    <n v="1023036790"/>
    <s v="HEIDYTH"/>
    <s v="JAQUELINE"/>
    <s v="HERNANDEZ"/>
    <s v="MARTINEZ"/>
    <m/>
    <s v=""/>
    <s v="COLOMBIA"/>
    <s v="BOGOTÁ"/>
    <s v="BOGOTÁ"/>
    <x v="0"/>
    <x v="4"/>
    <x v="2"/>
    <s v="SI_"/>
    <m/>
    <x v="2"/>
    <s v="SI_"/>
    <m/>
    <m/>
    <m/>
    <m/>
    <n v="39.200000000000003"/>
    <n v="2930"/>
    <n v="50"/>
    <m/>
    <m/>
    <m/>
    <x v="2"/>
    <m/>
  </r>
  <r>
    <n v="1023036790"/>
    <x v="0"/>
    <d v="2022-03-03T00:00:00"/>
    <d v="2022-04-25T00:00:00"/>
    <e v="#REF!"/>
    <e v="#N/A"/>
    <m/>
    <x v="0"/>
    <x v="0"/>
    <x v="0"/>
    <s v="CC"/>
    <s v="HEIDYTH"/>
    <s v="JAQUELINE"/>
    <s v="HERNANDEZ"/>
    <s v="MARTINEZ"/>
    <s v="HEIDYTH JAQUELINE HERNANDEZ MARTINEZ"/>
    <d v="1999-07-15T00:00:00"/>
    <x v="17"/>
    <n v="5"/>
    <n v="11"/>
    <s v="23 AÑOS 5 MESES 11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6 B ESTE 95 SUR 48"/>
    <n v="3229033300"/>
    <m/>
    <x v="0"/>
    <s v="NO SE AUTORECONOCE EN NINGUNO DE LOS ANTERIORES"/>
    <x v="0"/>
    <x v="1"/>
    <s v="NO_"/>
    <s v="NO_"/>
    <m/>
    <m/>
    <s v="CONYUGE"/>
    <s v="CC"/>
    <n v="1033804456"/>
    <s v="LUIS"/>
    <s v="ALEJANDRO"/>
    <s v="DELGADO"/>
    <s v="SALCEDO"/>
    <d v="1998-02-07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1"/>
    <x v="6"/>
    <x v="0"/>
    <m/>
    <s v="NO_"/>
    <x v="1"/>
    <m/>
    <m/>
    <m/>
    <m/>
    <m/>
    <m/>
    <m/>
    <m/>
    <m/>
    <m/>
    <n v="32"/>
    <x v="0"/>
    <m/>
  </r>
  <r>
    <n v="1243762294"/>
    <x v="1"/>
    <d v="2022-03-03T00:00:00"/>
    <m/>
    <m/>
    <m/>
    <s v="TRIANGULO"/>
    <x v="0"/>
    <x v="2"/>
    <x v="2"/>
    <s v="RC"/>
    <s v="DANNA"/>
    <s v="CELESTE"/>
    <s v="LONDOÑO"/>
    <s v="LOPEZ"/>
    <s v="DANNA CELESTE LONDOÑO LOPEZ"/>
    <d v="2022-02-02T00:00:00"/>
    <x v="1"/>
    <n v="10"/>
    <n v="24"/>
    <s v="0 AÑOS 10 MESES 2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7"/>
    <m/>
    <s v="kr 5 este 91 sur 76 "/>
    <n v="3177333493"/>
    <m/>
    <x v="0"/>
    <s v="NO SE AUTORECONOCE EN NINGUNO DE LOS ANTERIORES"/>
    <x v="1"/>
    <x v="1"/>
    <s v="NO_"/>
    <s v="NO_"/>
    <m/>
    <m/>
    <s v="MADRE"/>
    <s v="CC"/>
    <n v="51842357"/>
    <s v="DIOSELINA"/>
    <m/>
    <s v="CARTILLO"/>
    <m/>
    <d v="1956-09-29T00:00:00"/>
    <s v="COLOMBIA"/>
    <s v="TOLIMA"/>
    <s v="ORTEGA"/>
    <s v="CC"/>
    <n v="1002998339"/>
    <s v="JHON"/>
    <s v="ALEXANDER"/>
    <s v="LONDOÑO"/>
    <s v="CARTILLO"/>
    <d v="1994-08-12T00:00:00"/>
    <n v="28"/>
    <s v="COLOMBIA"/>
    <s v="BOGOTÁ"/>
    <s v="BOGOTÁ"/>
    <s v="CC"/>
    <n v="1023017117"/>
    <s v="DAYANA "/>
    <s v="ALEJANDRA "/>
    <s v="LOPEZ"/>
    <s v="MARENTES"/>
    <d v="1996-11-19T00:00:00"/>
    <n v="26"/>
    <s v="COLOMBIA"/>
    <s v="BOGOTÁ"/>
    <s v="BOGOTÁ"/>
    <x v="0"/>
    <x v="6"/>
    <x v="0"/>
    <d v="2022-02-02T00:00:00"/>
    <s v="NO_"/>
    <x v="1"/>
    <d v="2022-02-02T00:00:00"/>
    <s v="NO_"/>
    <m/>
    <m/>
    <n v="38"/>
    <n v="2085"/>
    <n v="47"/>
    <s v="SI_"/>
    <m/>
    <m/>
    <m/>
    <x v="2"/>
    <m/>
  </r>
  <r>
    <n v="1032880495"/>
    <x v="0"/>
    <d v="2022-08-23T00:00:00"/>
    <d v="2022-10-03T00:00:00"/>
    <e v="#REF!"/>
    <e v="#N/A"/>
    <s v="TRIANGULO"/>
    <x v="0"/>
    <x v="0"/>
    <x v="0"/>
    <s v="RC"/>
    <s v="ITAHN"/>
    <s v="DAVID"/>
    <s v="JIMENEZ"/>
    <s v="AGAMEZ"/>
    <s v="ITAHN DAVID JIMENEZ AGAMEZ"/>
    <d v="2022-07-09T00:00:00"/>
    <x v="1"/>
    <n v="5"/>
    <n v="17"/>
    <s v="0 AÑOS 5 MESES 17 DIAS "/>
    <x v="1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5"/>
    <m/>
    <s v="KR 10 ESTE NO 80 20 BQ A AP 9"/>
    <n v="3208240495"/>
    <m/>
    <x v="0"/>
    <s v="NO SE AUTORECONOCE EN NINGUNO DE LOS ANTERIORES"/>
    <x v="1"/>
    <x v="1"/>
    <s v="NO_"/>
    <s v="NO_"/>
    <s v="o. Ingresos iguales o inferiores a 1.5 Smlv"/>
    <m/>
    <s v="ABUELO(A)"/>
    <s v="CC"/>
    <n v="51613283"/>
    <s v="CLARA"/>
    <s v="INES"/>
    <s v="GIACOMETTO"/>
    <s v="GATCIA"/>
    <d v="1960-06-26T00:00:00"/>
    <s v="COLOMBIA"/>
    <s v="MAGDALENA"/>
    <s v="SANTA MARTA"/>
    <s v="CC"/>
    <n v="1013676251"/>
    <s v="JEIBY"/>
    <s v="ALEXANDER"/>
    <s v="JIMENEZ"/>
    <s v="DURAN"/>
    <m/>
    <s v=""/>
    <s v="COLOMBIA"/>
    <s v="BOGOTÁ"/>
    <s v="BOGOTÁ"/>
    <s v="CC"/>
    <n v="1000985936"/>
    <s v="MARIA"/>
    <s v="PAULA"/>
    <s v="AGAMEZ"/>
    <s v="GIACOMETTO"/>
    <d v="2000-03-23T00:00:00"/>
    <n v="22"/>
    <s v="COLOMBIA"/>
    <s v="BOGOTÁ"/>
    <s v="BOGOTÁ"/>
    <x v="0"/>
    <x v="6"/>
    <x v="0"/>
    <d v="2022-08-22T00:00:00"/>
    <s v="SI_"/>
    <x v="1"/>
    <m/>
    <m/>
    <m/>
    <m/>
    <s v="33 SEMANAS"/>
    <s v="2065 GR"/>
    <n v="47"/>
    <s v="NO_"/>
    <m/>
    <m/>
    <m/>
    <x v="0"/>
    <m/>
  </r>
  <r>
    <n v="1000985936"/>
    <x v="0"/>
    <d v="2022-03-03T00:00:00"/>
    <d v="2022-08-22T00:00:00"/>
    <e v="#REF!"/>
    <e v="#N/A"/>
    <m/>
    <x v="0"/>
    <x v="0"/>
    <x v="0"/>
    <s v="CC"/>
    <s v="MARIA"/>
    <s v="PAULA"/>
    <s v="AGAMEZ"/>
    <s v="GIACOMETTO"/>
    <s v="MARIA PAULA AGAMEZ GIACOMETTO"/>
    <d v="2000-03-23T00:00:00"/>
    <x v="18"/>
    <n v="9"/>
    <n v="3"/>
    <s v="22 AÑOS 9 MESES 3 DIAS "/>
    <x v="0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5"/>
    <m/>
    <s v="KR 10 ESTE NO 80 20 BQ A AP 9"/>
    <n v="3208240495"/>
    <m/>
    <x v="0"/>
    <s v="NO SE AUTORECONOCE EN NINGUNO DE LOS ANTERIORES"/>
    <x v="1"/>
    <x v="1"/>
    <s v="NO_"/>
    <s v="NO_"/>
    <m/>
    <m/>
    <s v="MADRE"/>
    <s v="CC"/>
    <n v="51613283"/>
    <s v="CLARA"/>
    <s v="INES"/>
    <s v="GIACOMETTO"/>
    <s v="GATCIA"/>
    <d v="1960-06-26T00:00:00"/>
    <s v="COLOMBIA"/>
    <s v="MAGDALENA"/>
    <s v="SANTA MARTA"/>
    <m/>
    <m/>
    <m/>
    <m/>
    <m/>
    <m/>
    <m/>
    <s v=""/>
    <m/>
    <m/>
    <m/>
    <m/>
    <m/>
    <m/>
    <m/>
    <m/>
    <m/>
    <m/>
    <s v=""/>
    <m/>
    <m/>
    <m/>
    <x v="0"/>
    <x v="3"/>
    <x v="1"/>
    <m/>
    <m/>
    <x v="0"/>
    <m/>
    <m/>
    <m/>
    <m/>
    <m/>
    <m/>
    <m/>
    <m/>
    <m/>
    <m/>
    <n v="15"/>
    <x v="0"/>
    <m/>
  </r>
  <r>
    <n v="1243860492"/>
    <x v="0"/>
    <d v="2022-03-03T00:00:00"/>
    <d v="2022-04-07T00:00:00"/>
    <e v="#REF!"/>
    <e v="#N/A"/>
    <m/>
    <x v="0"/>
    <x v="3"/>
    <x v="3"/>
    <s v="RC"/>
    <s v="DANNA"/>
    <s v="SOFIA"/>
    <s v="MARTINEZ"/>
    <s v="SANCHEZ"/>
    <s v="DANNA SOFIA MARTINEZ SANCHEZ"/>
    <d v="2021-07-20T00:00:00"/>
    <x v="3"/>
    <n v="5"/>
    <n v="6"/>
    <s v="1 AÑOS 5 MESES 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m/>
    <m/>
    <x v="2"/>
    <s v="NO SE AUTORECONOCE EN NINGUNO DE LOS ANTERIORES"/>
    <x v="2"/>
    <x v="1"/>
    <s v="NO_"/>
    <s v="NO_"/>
    <m/>
    <m/>
    <m/>
    <m/>
    <m/>
    <m/>
    <m/>
    <m/>
    <m/>
    <m/>
    <m/>
    <m/>
    <m/>
    <m/>
    <m/>
    <m/>
    <m/>
    <m/>
    <m/>
    <m/>
    <s v=""/>
    <m/>
    <m/>
    <m/>
    <m/>
    <m/>
    <m/>
    <m/>
    <m/>
    <m/>
    <m/>
    <s v=""/>
    <m/>
    <m/>
    <m/>
    <x v="1"/>
    <x v="22"/>
    <x v="2"/>
    <m/>
    <m/>
    <x v="0"/>
    <m/>
    <m/>
    <m/>
    <m/>
    <m/>
    <m/>
    <m/>
    <m/>
    <m/>
    <m/>
    <m/>
    <x v="1"/>
    <m/>
  </r>
  <r>
    <n v="1243860233"/>
    <x v="0"/>
    <d v="2022-03-03T00:00:00"/>
    <d v="2022-03-03T00:00:00"/>
    <e v="#REF!"/>
    <e v="#N/A"/>
    <s v="CONCURRENCIA/NUNCA SE VINCULO"/>
    <x v="0"/>
    <x v="3"/>
    <x v="3"/>
    <s v="RC"/>
    <s v="AMY"/>
    <s v="MARIANNE"/>
    <s v="VASQUEZ"/>
    <s v="MESA"/>
    <s v="AMY MARIANNE VASQUEZ MESA"/>
    <d v="2021-04-05T00:00:00"/>
    <x v="3"/>
    <n v="8"/>
    <n v="21"/>
    <s v="1 AÑOS 8 MESES 2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RR 6 C ESTE 97 D SUR 36"/>
    <n v="3057196360"/>
    <m/>
    <x v="0"/>
    <s v="NO SE AUTORECONOCE EN NINGUNO DE LOS ANTERIORES"/>
    <x v="1"/>
    <x v="1"/>
    <s v="NO_"/>
    <s v="NO_"/>
    <m/>
    <m/>
    <s v="MADRE"/>
    <s v="CC"/>
    <n v="1022993602"/>
    <s v="JOHANA"/>
    <s v="ANDREA"/>
    <s v="MESA"/>
    <s v="OROZCO"/>
    <d v="1994-02-17T00:00:00"/>
    <s v="COLOMBIA"/>
    <s v="ANTIOQUIA"/>
    <s v="ITAGÜÍ"/>
    <s v="CC"/>
    <n v="80901972"/>
    <s v="JHON"/>
    <s v="ANDRESON"/>
    <s v="VASQUEZ"/>
    <s v="RODRIGUEZ"/>
    <d v="1985-05-17T00:00:00"/>
    <n v="37"/>
    <s v="COLOMBIA"/>
    <s v="BOGOTÁ"/>
    <s v="BOGOTÁ"/>
    <s v="CC"/>
    <n v="1022993602"/>
    <s v="JOHANA"/>
    <s v="ANDREA"/>
    <s v="MESA"/>
    <s v="OROZCO"/>
    <d v="1994-02-17T00:00:00"/>
    <n v="28"/>
    <s v="COLOMBIA"/>
    <s v="ANTIOQUIA"/>
    <s v="ITAGÜÍ"/>
    <x v="1"/>
    <x v="0"/>
    <x v="0"/>
    <d v="2021-11-18T00:00:00"/>
    <s v="SI_"/>
    <x v="2"/>
    <d v="2021-11-20T00:00:00"/>
    <s v="NO_"/>
    <m/>
    <m/>
    <s v="38.5"/>
    <n v="3100"/>
    <n v="49"/>
    <m/>
    <n v="6"/>
    <n v="7"/>
    <m/>
    <x v="1"/>
    <m/>
  </r>
  <r>
    <n v="1021319356"/>
    <x v="0"/>
    <d v="2022-03-03T00:00:00"/>
    <d v="2022-10-03T00:00:00"/>
    <e v="#REF!"/>
    <e v="#N/A"/>
    <s v="TRIANGULO"/>
    <x v="0"/>
    <x v="3"/>
    <x v="3"/>
    <s v="RC"/>
    <s v="LILA "/>
    <s v="VALERIA"/>
    <s v="JIMENEZ"/>
    <s v="AGAMEZ"/>
    <s v="LILA  VALERIA JIMENEZ AGAMEZ"/>
    <d v="2021-06-29T00:00:00"/>
    <x v="3"/>
    <n v="5"/>
    <n v="27"/>
    <s v="1 AÑOS 5 MESES 2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5"/>
    <m/>
    <s v="KR 10 ESTE NO 80 20 BQ A AP 9"/>
    <n v="3208240495"/>
    <m/>
    <x v="1"/>
    <s v="RAIZAL DEL ARCHIPIELAGO DE SAN ANDRES, PROVIDENCIA Y SANTA CATALINA"/>
    <x v="1"/>
    <x v="1"/>
    <s v="NO_"/>
    <s v="NO_"/>
    <m/>
    <m/>
    <s v="MADRE"/>
    <s v="CC"/>
    <n v="1000985936"/>
    <s v="MARIA"/>
    <s v="PAULA"/>
    <s v="AGAMEZ"/>
    <s v="GIACOMETTO"/>
    <d v="2000-03-23T00:00:00"/>
    <s v="COLOMBIA"/>
    <s v="BOGOTÁ"/>
    <s v="BOGOTÁ"/>
    <m/>
    <m/>
    <m/>
    <m/>
    <m/>
    <m/>
    <m/>
    <s v=""/>
    <m/>
    <m/>
    <m/>
    <s v="CC"/>
    <n v="1000985936"/>
    <s v="MARIA"/>
    <s v="PAULA"/>
    <s v="AGAMEZ"/>
    <s v="GIACOMETTO"/>
    <d v="2000-03-23T00:00:00"/>
    <n v="22"/>
    <s v="COLOMBIA"/>
    <s v="BOGOTÁ"/>
    <s v="COLOMBIA"/>
    <x v="0"/>
    <x v="6"/>
    <x v="0"/>
    <d v="2021-12-30T00:00:00"/>
    <s v="SI_"/>
    <x v="2"/>
    <d v="2022-02-24T00:00:00"/>
    <s v="SI_"/>
    <m/>
    <m/>
    <n v="88"/>
    <n v="2150"/>
    <n v="38"/>
    <m/>
    <n v="4"/>
    <n v="6"/>
    <m/>
    <x v="1"/>
    <m/>
  </r>
  <r>
    <n v="1023047162"/>
    <x v="1"/>
    <d v="2022-03-03T00:00:00"/>
    <m/>
    <m/>
    <m/>
    <m/>
    <x v="0"/>
    <x v="4"/>
    <x v="4"/>
    <s v="RC"/>
    <s v="YENIFER"/>
    <s v="MARIAN"/>
    <s v="GONZALEZ"/>
    <s v="ZUBIETA"/>
    <s v="YENIFER MARIAN GONZALEZ ZUBIETA"/>
    <d v="2021-08-27T00:00:00"/>
    <x v="3"/>
    <n v="3"/>
    <n v="29"/>
    <s v="1 AÑOS 3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9 B ESTE 106 14 SUR "/>
    <n v="3222481920"/>
    <m/>
    <x v="0"/>
    <s v="NO SE AUTORECONOCE EN NINGUNO DE LOS ANTERIORES"/>
    <x v="1"/>
    <x v="1"/>
    <s v="NO_"/>
    <s v="NO_"/>
    <m/>
    <m/>
    <s v="MADRE"/>
    <s v="TI"/>
    <n v="1022933244"/>
    <s v="YEIMY "/>
    <s v="JULIETH"/>
    <s v="ZUBIETA "/>
    <s v="TEJEDOR "/>
    <d v="2005-04-10T00:00:00"/>
    <s v="COLOMBIA"/>
    <s v="BOGOTÁ"/>
    <s v="BOGOTÁ"/>
    <m/>
    <m/>
    <m/>
    <m/>
    <m/>
    <m/>
    <m/>
    <s v=""/>
    <m/>
    <m/>
    <m/>
    <s v="TI"/>
    <n v="1022933244"/>
    <s v="YEIMY "/>
    <s v="JULIETH"/>
    <s v="ZUBIETA "/>
    <s v="TEJEDOR "/>
    <d v="2005-04-10T00:00:00"/>
    <n v="17"/>
    <s v="COLOMBIA"/>
    <s v="BOGOTÁ"/>
    <s v="BOGOTÁ"/>
    <x v="1"/>
    <x v="1"/>
    <x v="0"/>
    <d v="2021-12-22T00:00:00"/>
    <s v="SI_"/>
    <x v="2"/>
    <d v="2022-02-17T00:00:00"/>
    <s v="SI_"/>
    <m/>
    <m/>
    <n v="37"/>
    <n v="2645"/>
    <s v="49.5"/>
    <m/>
    <n v="3"/>
    <n v="4"/>
    <m/>
    <x v="1"/>
    <m/>
  </r>
  <r>
    <n v="1243860582"/>
    <x v="1"/>
    <d v="2022-03-03T00:00:00"/>
    <m/>
    <m/>
    <m/>
    <m/>
    <x v="0"/>
    <x v="3"/>
    <x v="3"/>
    <s v="RC"/>
    <s v="DULCE"/>
    <s v="PALOMA"/>
    <s v="CASTRO"/>
    <s v="ORTIZ"/>
    <s v="DULCE PALOMA CASTRO ORTIZ"/>
    <d v="2021-08-23T00:00:00"/>
    <x v="3"/>
    <n v="4"/>
    <n v="3"/>
    <s v="1 AÑOS 4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m/>
    <x v="1"/>
    <x v="17"/>
    <s v="INVACION EL REFIGIO"/>
    <m/>
    <n v="3232487845"/>
    <m/>
    <x v="2"/>
    <s v="NO SE AUTORECONOCE EN NINGUNO DE LOS ANTERIORES"/>
    <x v="1"/>
    <x v="1"/>
    <s v="NO_"/>
    <s v="NO_"/>
    <m/>
    <m/>
    <s v="MADRE"/>
    <s v="CC"/>
    <n v="1123180481"/>
    <s v="YAJAIRA "/>
    <s v="MAYERLI "/>
    <s v="ORTIZ "/>
    <s v="PERDOMO "/>
    <d v="1990-07-18T00:00:00"/>
    <s v="COLOMBIA"/>
    <s v="AMAZONAS"/>
    <m/>
    <s v="CC"/>
    <n v="1013614830"/>
    <s v="KEVIN "/>
    <s v="WIFEN "/>
    <s v="CASTRO "/>
    <s v="ANDOQUE "/>
    <d v="1990-04-08T00:00:00"/>
    <n v="32"/>
    <s v="COLOMBIA"/>
    <s v="SANTANDER"/>
    <m/>
    <s v="CC"/>
    <n v="1123180481"/>
    <s v="YAJAIRA "/>
    <s v="MAYERLI "/>
    <s v="ORTIZ "/>
    <s v="PERDOMO "/>
    <d v="1990-07-18T00:00:00"/>
    <n v="32"/>
    <s v="COLOMBIA"/>
    <s v="AMAZONAS"/>
    <m/>
    <x v="1"/>
    <x v="1"/>
    <x v="0"/>
    <d v="2022-02-24T00:00:00"/>
    <s v="SI_"/>
    <x v="2"/>
    <d v="2022-01-28T00:00:00"/>
    <s v="NO_"/>
    <m/>
    <m/>
    <n v="39"/>
    <n v="2545"/>
    <n v="48"/>
    <m/>
    <m/>
    <m/>
    <m/>
    <x v="1"/>
    <m/>
  </r>
  <r>
    <n v="1027153713"/>
    <x v="0"/>
    <d v="2022-03-03T00:00:00"/>
    <d v="2022-04-25T00:00:00"/>
    <e v="#REF!"/>
    <e v="#N/A"/>
    <m/>
    <x v="0"/>
    <x v="5"/>
    <x v="5"/>
    <s v="RC"/>
    <s v="VALERY"/>
    <s v="KATELEYA"/>
    <s v="PEREZ"/>
    <s v="CORREAL"/>
    <s v="VALERY KATELEYA PEREZ CORREAL"/>
    <d v="2020-11-18T00:00:00"/>
    <x v="2"/>
    <n v="1"/>
    <n v="8"/>
    <s v="2 AÑOS 1 MESES 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6 A ESTE 106 SUR 36"/>
    <n v="3138987066"/>
    <m/>
    <x v="0"/>
    <s v="NO SE AUTORECONOCE EN NINGUNO DE LOS ANTERIORES"/>
    <x v="0"/>
    <x v="5"/>
    <s v="NO_"/>
    <s v="NO_"/>
    <m/>
    <m/>
    <s v="MADRE"/>
    <s v="CC"/>
    <n v="1013677940"/>
    <s v="JULIANA"/>
    <s v="ALEJANDRA"/>
    <s v="CORREA"/>
    <s v="RUIZ"/>
    <d v="1977-11-27T00:00:00"/>
    <s v="COLOMBIA"/>
    <s v="BOGOTÁ"/>
    <s v="BOGOTÁ"/>
    <m/>
    <m/>
    <m/>
    <m/>
    <m/>
    <m/>
    <m/>
    <s v=""/>
    <m/>
    <m/>
    <m/>
    <s v="CC"/>
    <n v="1013677940"/>
    <s v="JULIANA"/>
    <s v="ALEJANDRA"/>
    <s v="CORREA"/>
    <s v="RUIZ"/>
    <d v="1977-11-27T00:00:00"/>
    <n v="45"/>
    <s v="COLOMBIA"/>
    <s v="BOGOTÁ"/>
    <s v="BOGOTÁ"/>
    <x v="0"/>
    <x v="0"/>
    <x v="0"/>
    <d v="2021-11-24T00:00:00"/>
    <s v="SI_"/>
    <x v="1"/>
    <m/>
    <s v="NO_"/>
    <m/>
    <m/>
    <n v="37"/>
    <n v="3320"/>
    <n v="53"/>
    <m/>
    <n v="6"/>
    <n v="7"/>
    <m/>
    <x v="1"/>
    <m/>
  </r>
  <r>
    <n v="1023045860"/>
    <x v="1"/>
    <d v="2022-03-03T00:00:00"/>
    <m/>
    <m/>
    <m/>
    <s v="TRIANGULO"/>
    <x v="0"/>
    <x v="5"/>
    <x v="5"/>
    <s v="RC"/>
    <s v="THIAGO"/>
    <m/>
    <s v="BEJARANO"/>
    <s v="CARVAJAL"/>
    <s v="THIAGO  BEJARANO CARVAJAL"/>
    <d v="2020-11-24T00:00:00"/>
    <x v="2"/>
    <n v="1"/>
    <n v="2"/>
    <s v="2 AÑOS 1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KR 5 ESTE 97 B SUR 00 39"/>
    <n v="3123934041"/>
    <m/>
    <x v="0"/>
    <s v="NO SE AUTORECONOCE EN NINGUNO DE LOS ANTERIORES"/>
    <x v="0"/>
    <x v="12"/>
    <s v="NO_"/>
    <s v="NO_"/>
    <m/>
    <m/>
    <s v="AMIGO(A)"/>
    <s v="CC"/>
    <n v="1023024089"/>
    <s v="KAREN"/>
    <s v="DAYHAN"/>
    <s v=" AVILA"/>
    <s v="TOVAR"/>
    <d v="2022-09-07T00:00:00"/>
    <s v="COLOMBIA"/>
    <s v="BOGOTÁ"/>
    <s v="BOGOTÁ"/>
    <m/>
    <m/>
    <m/>
    <m/>
    <m/>
    <m/>
    <m/>
    <s v=""/>
    <m/>
    <m/>
    <m/>
    <s v="CC"/>
    <n v="1023016908"/>
    <s v="SINDY"/>
    <m/>
    <s v="CARVAJAL"/>
    <s v="TRUJILLO"/>
    <d v="1996-11-08T00:00:00"/>
    <n v="26"/>
    <s v="COLOMBIA"/>
    <s v="HUILA"/>
    <s v="TERUEL"/>
    <x v="0"/>
    <x v="0"/>
    <x v="0"/>
    <d v="2021-11-30T00:00:00"/>
    <s v="SI_"/>
    <x v="2"/>
    <d v="2022-02-28T00:00:00"/>
    <s v="NO_"/>
    <m/>
    <m/>
    <n v="28"/>
    <n v="2980"/>
    <m/>
    <m/>
    <m/>
    <m/>
    <m/>
    <x v="1"/>
    <m/>
  </r>
  <r>
    <n v="1140939460"/>
    <x v="0"/>
    <d v="2022-03-03T00:00:00"/>
    <d v="2022-03-28T00:00:00"/>
    <e v="#REF!"/>
    <e v="#N/A"/>
    <m/>
    <x v="0"/>
    <x v="5"/>
    <x v="5"/>
    <s v="RC"/>
    <s v="EMILY"/>
    <s v="SARAY"/>
    <s v="BEJARANO"/>
    <s v="BEJARANO"/>
    <s v="EMILY SARAY BEJARANO BEJARANO"/>
    <d v="2020-08-27T00:00:00"/>
    <x v="2"/>
    <n v="3"/>
    <n v="29"/>
    <s v="2 AÑOS 3 MESES 2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KR 5 ESTE 97 B SUR 00 39"/>
    <n v="3227103480"/>
    <m/>
    <x v="0"/>
    <s v="NO SE AUTORECONOCE EN NINGUNO DE LOS ANTERIORES"/>
    <x v="0"/>
    <x v="18"/>
    <s v="NO_"/>
    <s v="NO_"/>
    <m/>
    <m/>
    <s v="MADRE"/>
    <s v="CC"/>
    <n v="1000971724"/>
    <s v="NANCY"/>
    <s v="YAMILE"/>
    <s v="BEJARANO"/>
    <s v="BEJARANO"/>
    <d v="1998-11-02T00:00:00"/>
    <s v="COLOMBIA"/>
    <s v="BOGOTÁ"/>
    <s v="BOGOTÁ"/>
    <m/>
    <m/>
    <m/>
    <m/>
    <m/>
    <m/>
    <m/>
    <s v=""/>
    <m/>
    <m/>
    <m/>
    <s v="CC"/>
    <n v="1023009309"/>
    <s v="YENNY"/>
    <s v="JASMIN"/>
    <s v="BEJARANO"/>
    <s v="BEJARANO"/>
    <d v="1995-12-16T00:00:00"/>
    <n v="27"/>
    <s v="COLOMBIA"/>
    <s v="BOGOTÁ"/>
    <s v="BOGOTÁ"/>
    <x v="0"/>
    <x v="2"/>
    <x v="0"/>
    <d v="2021-08-30T00:00:00"/>
    <s v="SI_"/>
    <x v="1"/>
    <m/>
    <s v="NO_"/>
    <m/>
    <m/>
    <m/>
    <m/>
    <m/>
    <m/>
    <m/>
    <m/>
    <m/>
    <x v="1"/>
    <m/>
  </r>
  <r>
    <n v="1023046093"/>
    <x v="0"/>
    <d v="2022-03-03T00:00:00"/>
    <d v="2022-05-02T00:00:00"/>
    <e v="#REF!"/>
    <e v="#N/A"/>
    <m/>
    <x v="0"/>
    <x v="5"/>
    <x v="5"/>
    <s v="RC"/>
    <s v="MAILEN"/>
    <s v="CATALINA"/>
    <s v="VILLANUEVA"/>
    <s v="LEIVA"/>
    <s v="MAILEN CATALINA VILLANUEVA LEIVA"/>
    <d v="2020-12-16T00:00:00"/>
    <x v="2"/>
    <n v="0"/>
    <n v="10"/>
    <s v="2 AÑOS 0 MESES 1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7"/>
    <m/>
    <m/>
    <n v="3204703201"/>
    <m/>
    <x v="0"/>
    <s v="NO SE AUTORECONOCE EN NINGUNO DE LOS ANTERIORES"/>
    <x v="1"/>
    <x v="1"/>
    <s v="NO_"/>
    <s v="NO_"/>
    <m/>
    <m/>
    <s v="MADRE"/>
    <s v="CC"/>
    <n v="106392562"/>
    <s v="ANGIE"/>
    <m/>
    <s v="LEIVA"/>
    <s v="MOLINA"/>
    <d v="1996-05-12T00:00:00"/>
    <s v="COLOMBIA"/>
    <s v="TOLIMA"/>
    <s v="PURIFICACIÓN"/>
    <s v="CC"/>
    <n v="14298080"/>
    <s v="EDWIN"/>
    <s v="FABIAN"/>
    <s v="VILLANUEVA"/>
    <s v="SANCHEZ"/>
    <d v="1985-12-01T00:00:00"/>
    <n v="37"/>
    <s v="COLOMBIA"/>
    <s v="TOLIMA"/>
    <s v="IBAGUÉ"/>
    <s v="CC"/>
    <n v="106392562"/>
    <s v="ANGIE"/>
    <m/>
    <s v="LEIVA"/>
    <s v="MOLINA"/>
    <d v="1996-05-12T00:00:00"/>
    <n v="26"/>
    <s v="COLOMBIA"/>
    <s v="TOLIMA"/>
    <s v="PURIFICACIÓN"/>
    <x v="1"/>
    <x v="1"/>
    <x v="0"/>
    <d v="2022-01-20T00:00:00"/>
    <s v="SI_"/>
    <x v="1"/>
    <m/>
    <s v="SI_"/>
    <m/>
    <m/>
    <n v="38"/>
    <n v="2905"/>
    <m/>
    <m/>
    <n v="8"/>
    <m/>
    <m/>
    <x v="1"/>
    <m/>
  </r>
  <r>
    <n v="1243859593"/>
    <x v="0"/>
    <d v="2022-03-03T00:00:00"/>
    <d v="2022-05-16T00:00:00"/>
    <e v="#REF!"/>
    <e v="#N/A"/>
    <m/>
    <x v="0"/>
    <x v="5"/>
    <x v="5"/>
    <s v="RC"/>
    <s v="SAMUEL"/>
    <s v="SANTIAGO"/>
    <s v="RUIZ"/>
    <s v="FIGUEROA"/>
    <s v="SAMUEL SANTIAGO RUIZ FIGUEROA"/>
    <d v="2020-09-27T00:00:00"/>
    <x v="2"/>
    <n v="2"/>
    <n v="29"/>
    <s v="2 AÑOS 2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m/>
    <x v="1"/>
    <x v="17"/>
    <s v="EL REFUGIO"/>
    <m/>
    <n v="3026827827"/>
    <m/>
    <x v="0"/>
    <s v="NO SE AUTORECONOCE EN NINGUNO DE LOS ANTERIORES"/>
    <x v="1"/>
    <x v="1"/>
    <s v="NO_"/>
    <s v="NO_"/>
    <m/>
    <m/>
    <s v="ABUELO(A)"/>
    <s v="CC"/>
    <n v="40728982"/>
    <s v="ALBA"/>
    <s v="MARINA"/>
    <s v="RENDON"/>
    <s v="AGUILAR "/>
    <d v="1995-01-19T00:00:00"/>
    <s v="COLOMBIA"/>
    <s v="VALLE_DEL_CAUCA"/>
    <s v="TULUÁ"/>
    <m/>
    <m/>
    <m/>
    <m/>
    <m/>
    <m/>
    <m/>
    <s v=""/>
    <m/>
    <m/>
    <m/>
    <s v="CC"/>
    <n v="1006527178"/>
    <s v="MAIDY"/>
    <s v="ALEJANDRA"/>
    <s v="FIGUEROA"/>
    <s v="RENDON"/>
    <d v="2002-08-27T00:00:00"/>
    <n v="20"/>
    <s v="COLOMBIA"/>
    <s v="CAQUETÁ"/>
    <s v="CARTAGENA DEL CHAIRÁ"/>
    <x v="1"/>
    <x v="1"/>
    <x v="0"/>
    <d v="2021-09-28T00:00:00"/>
    <s v="SI_"/>
    <x v="1"/>
    <m/>
    <s v="NO_"/>
    <m/>
    <m/>
    <n v="39"/>
    <n v="3010"/>
    <n v="49"/>
    <m/>
    <n v="6"/>
    <m/>
    <m/>
    <x v="1"/>
    <m/>
  </r>
  <r>
    <n v="1034319423"/>
    <x v="0"/>
    <d v="2022-03-03T00:00:00"/>
    <d v="2022-10-03T00:00:00"/>
    <e v="#REF!"/>
    <e v="#N/A"/>
    <s v="TRIANGULO"/>
    <x v="0"/>
    <x v="4"/>
    <x v="4"/>
    <s v="RC"/>
    <s v="DAFNE"/>
    <s v="NOEMI"/>
    <s v="AMU"/>
    <s v="RIOS"/>
    <s v="DAFNE NOEMI AMU RIOS"/>
    <d v="2020-04-02T00:00:00"/>
    <x v="2"/>
    <n v="8"/>
    <n v="24"/>
    <s v="2 AÑOS 8 MESES 2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"/>
    <m/>
    <s v="CARR 2 BIS 92 B 44 SUR"/>
    <n v="3213764969"/>
    <m/>
    <x v="0"/>
    <s v="NO SE AUTORECONOCE EN NINGUNO DE LOS ANTERIORES"/>
    <x v="1"/>
    <x v="1"/>
    <s v="NO_"/>
    <s v="NO_"/>
    <m/>
    <m/>
    <s v="MADRE"/>
    <s v="SIN DOCUMENTO"/>
    <m/>
    <s v="YENNY"/>
    <s v="MARITZA"/>
    <s v="RIOS"/>
    <s v="MONTECINOS"/>
    <d v="1980-02-03T00:00:00"/>
    <s v="VENEZUELA"/>
    <s v="EXTERIOR"/>
    <s v="EXTERIOR"/>
    <s v="CC"/>
    <n v="1127957543"/>
    <s v="WILDER"/>
    <s v="FERNEY"/>
    <s v="AMU"/>
    <s v="ANGULO"/>
    <d v="1987-04-08T00:00:00"/>
    <n v="35"/>
    <s v="VENEZUELA"/>
    <s v="EXTERIOR"/>
    <s v="EXTERIOR"/>
    <s v="SIN DOCUMENTO"/>
    <m/>
    <s v="YENNY"/>
    <s v="MARITZA"/>
    <s v="RIOS"/>
    <s v="MONTECINOS"/>
    <d v="1980-02-03T00:00:00"/>
    <n v="42"/>
    <s v="VENEZUELA"/>
    <s v="EXTERIOR"/>
    <s v="EXTERIOR"/>
    <x v="1"/>
    <x v="1"/>
    <x v="0"/>
    <d v="2021-10-21T00:00:00"/>
    <s v="SI_"/>
    <x v="2"/>
    <d v="2021-12-04T00:00:00"/>
    <s v="NO_"/>
    <m/>
    <m/>
    <n v="38"/>
    <n v="2550"/>
    <n v="48"/>
    <m/>
    <n v="7"/>
    <m/>
    <m/>
    <x v="1"/>
    <m/>
  </r>
  <r>
    <n v="1023045953"/>
    <x v="1"/>
    <d v="2022-03-03T00:00:00"/>
    <m/>
    <m/>
    <m/>
    <s v="TRIANGULO"/>
    <x v="0"/>
    <x v="5"/>
    <x v="5"/>
    <s v="RC"/>
    <s v="LIA"/>
    <s v="SAMANTHA"/>
    <s v="QUINCHE"/>
    <s v="MARIN"/>
    <s v="LIA SAMANTHA QUINCHE MARIN"/>
    <d v="2020-11-25T00:00:00"/>
    <x v="2"/>
    <n v="1"/>
    <n v="1"/>
    <s v="2 AÑOS 1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KR 6 AESTE 90 SUR 23 PI 2"/>
    <n v="3008228734"/>
    <m/>
    <x v="0"/>
    <s v="NO SE AUTORECONOCE EN NINGUNO DE LOS ANTERIORES"/>
    <x v="1"/>
    <x v="1"/>
    <s v="NO_"/>
    <s v="NO_"/>
    <m/>
    <m/>
    <s v="MADRE"/>
    <s v="CC"/>
    <n v="1023020893"/>
    <s v="NELLY"/>
    <s v="CECILIA"/>
    <s v="ORTIZ "/>
    <m/>
    <d v="1997-05-08T00:00:00"/>
    <s v="COLOMBIA"/>
    <s v="BOGOTÁ"/>
    <s v="BOGOTÁ"/>
    <s v="CC"/>
    <n v="1022998232"/>
    <s v="JHON "/>
    <s v="FREDY"/>
    <s v="QUINCHE"/>
    <s v="AYALA"/>
    <d v="1992-06-30T00:00:00"/>
    <n v="30"/>
    <s v="COLOMBIA"/>
    <s v="BOGOTÁ"/>
    <s v="BOGOTÁ"/>
    <s v="CC"/>
    <n v="1023020893"/>
    <s v="MONICA"/>
    <s v="YOHANA"/>
    <s v="MARIN"/>
    <s v="ORTIZ"/>
    <d v="1997-05-08T00:00:00"/>
    <n v="25"/>
    <s v="COLOMBIA"/>
    <m/>
    <m/>
    <x v="1"/>
    <x v="6"/>
    <x v="0"/>
    <d v="2021-12-14T00:00:00"/>
    <s v="SI_"/>
    <x v="2"/>
    <d v="2022-01-03T00:00:00"/>
    <s v="NO_"/>
    <m/>
    <m/>
    <n v="39"/>
    <n v="2490"/>
    <n v="47"/>
    <m/>
    <m/>
    <m/>
    <m/>
    <x v="1"/>
    <m/>
  </r>
  <r>
    <n v="1023049104"/>
    <x v="1"/>
    <d v="2022-11-04T00:00:00"/>
    <m/>
    <s v="JENNYFER ALEXANDRA SANCHEZ GAONA"/>
    <m/>
    <m/>
    <x v="0"/>
    <x v="0"/>
    <x v="0"/>
    <s v="RC"/>
    <s v="LIANN"/>
    <s v="ADRIAN"/>
    <s v="CASTRO"/>
    <s v="SANCHEZ"/>
    <s v="LIANN ADRIAN CASTRO SANCHEZ"/>
    <d v="2022-09-09T00:00:00"/>
    <x v="1"/>
    <n v="3"/>
    <n v="17"/>
    <s v="0 AÑOS 3 MESES 17 DIAS "/>
    <x v="1"/>
    <x v="1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2"/>
    <m/>
    <s v="CRA 7 A BIS #108 46 SUR"/>
    <n v="3108851973"/>
    <m/>
    <x v="0"/>
    <s v="NO SE AUTORECONOCE EN NINGUNO DE LOS ANTERIORES"/>
    <x v="1"/>
    <x v="1"/>
    <s v="NO"/>
    <s v="NO"/>
    <s v="a. Pertenecientes a hogares con puntaje SISBEN"/>
    <m/>
    <s v="ABUELO(A)"/>
    <s v="CC"/>
    <n v="1033698067"/>
    <s v="ANGELA "/>
    <s v="VIVIANA"/>
    <s v="GAONA"/>
    <s v="GUERRERO"/>
    <d v="1988-06-22T00:00:00"/>
    <s v="COLOMBIA"/>
    <s v="BOGOTÁ"/>
    <s v="BOGOTÁ"/>
    <s v="TI"/>
    <n v="1022934785"/>
    <s v="LUIS"/>
    <s v="ALEJANDRO"/>
    <s v="CASTRO"/>
    <s v="GARZON"/>
    <d v="2005-06-07T00:00:00"/>
    <n v="17"/>
    <s v="COLOMBIA"/>
    <s v="BOGOTÁ"/>
    <s v="BOGOTÁ"/>
    <s v="TI"/>
    <n v="1022944806"/>
    <s v="JENNYFER"/>
    <s v="ALEXANDRA"/>
    <s v="SANCHEZ"/>
    <s v="GAONA"/>
    <d v="2006-09-05T00:00:00"/>
    <n v="16"/>
    <s v="COLOMBIA"/>
    <s v="BOGOTÁ"/>
    <s v="BOGOTÁ"/>
    <x v="0"/>
    <x v="6"/>
    <x v="0"/>
    <d v="2022-10-04T00:00:00"/>
    <s v="SI_"/>
    <x v="1"/>
    <m/>
    <s v="SI_"/>
    <s v="SI"/>
    <m/>
    <n v="38"/>
    <n v="2690"/>
    <n v="48"/>
    <s v="SI_"/>
    <n v="2"/>
    <n v="2"/>
    <m/>
    <x v="0"/>
    <m/>
  </r>
  <r>
    <n v="1022944806"/>
    <x v="0"/>
    <d v="2022-03-03T00:00:00"/>
    <d v="2022-11-04T00:00:00"/>
    <m/>
    <e v="#N/A"/>
    <m/>
    <x v="0"/>
    <x v="0"/>
    <x v="0"/>
    <s v="TI"/>
    <s v="JENNYFER"/>
    <s v="ALEXANDRA"/>
    <s v="SÁNCHEZ"/>
    <s v="GAONA"/>
    <s v="JENNYFER ALEXANDRA SÁNCHEZ GAONA"/>
    <d v="2006-09-05T00:00:00"/>
    <x v="21"/>
    <n v="3"/>
    <n v="21"/>
    <s v="16 AÑOS 3 MESES 21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CARR 7 BIS ESTE 108 SUR 46"/>
    <n v="3108851973"/>
    <m/>
    <x v="0"/>
    <s v="NO SE AUTORECONOCE EN NINGUNO DE LOS ANTERIORES"/>
    <x v="0"/>
    <x v="11"/>
    <s v="NO_"/>
    <s v="NO_"/>
    <m/>
    <m/>
    <s v="MADRE"/>
    <s v="CC"/>
    <n v="1033698067"/>
    <s v="ANGELA"/>
    <s v="VIVIANA"/>
    <s v="GAONA"/>
    <s v="GUERRERO"/>
    <d v="1988-06-19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1"/>
    <x v="6"/>
    <x v="2"/>
    <m/>
    <m/>
    <x v="0"/>
    <m/>
    <m/>
    <m/>
    <m/>
    <m/>
    <m/>
    <m/>
    <m/>
    <m/>
    <m/>
    <n v="10"/>
    <x v="0"/>
    <m/>
  </r>
  <r>
    <n v="1245079953"/>
    <x v="1"/>
    <d v="2022-08-23T00:00:00"/>
    <m/>
    <m/>
    <m/>
    <m/>
    <x v="0"/>
    <x v="0"/>
    <x v="0"/>
    <s v="RC"/>
    <s v="EMILY"/>
    <s v="CHARLOTTE"/>
    <s v="ZAMBRANO"/>
    <s v="BUITRAGO"/>
    <s v="EMILY CHARLOTTE ZAMBRANO BUITRAGO"/>
    <d v="2022-08-04T00:00:00"/>
    <x v="1"/>
    <n v="4"/>
    <n v="22"/>
    <s v="0 AÑOS 4 MESES 22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m/>
    <n v="3186322834"/>
    <n v="3208819192"/>
    <x v="0"/>
    <s v="NO SE AUTORECONOCE EN NINGUNO DE LOS ANTERIORES"/>
    <x v="1"/>
    <x v="1"/>
    <s v="NO_"/>
    <s v="NO_"/>
    <s v="o. Ingresos iguales o inferiores a 1.5 Smlv"/>
    <m/>
    <s v="PADRE"/>
    <s v="SIN DOCUMENTO"/>
    <m/>
    <s v="FRANCISCO"/>
    <s v="JAVIER"/>
    <s v="SAMBRANO"/>
    <s v="TROCONIS"/>
    <d v="1988-12-12T00:00:00"/>
    <s v="VENEZUELA"/>
    <s v="EXTERIOR"/>
    <s v="EXTERIOR"/>
    <s v="SIN DOCUMENTO"/>
    <m/>
    <s v="FRANCISCO"/>
    <s v="JAVIER"/>
    <s v="SAMBRANO"/>
    <s v="TROCONIS"/>
    <d v="1988-12-12T00:00:00"/>
    <n v="34"/>
    <s v="VENEZUELA"/>
    <s v="EXTERIOR"/>
    <s v="EXTERIOR"/>
    <s v="CC"/>
    <n v="1000619397"/>
    <s v="MARYURI"/>
    <s v="KATHERIN"/>
    <s v="BUITRAGO"/>
    <s v="CASTAÑO"/>
    <d v="2000-10-09T00:00:00"/>
    <n v="22"/>
    <s v="COLOMBIA"/>
    <s v="BOGOTÁ"/>
    <s v="BOGOTÁ"/>
    <x v="1"/>
    <x v="1"/>
    <x v="0"/>
    <d v="2022-08-22T00:00:00"/>
    <s v="SI_"/>
    <x v="1"/>
    <m/>
    <s v="SI_"/>
    <m/>
    <m/>
    <s v="35 SEMANA"/>
    <s v="2095 GR"/>
    <s v="47 CM"/>
    <s v="SI_"/>
    <m/>
    <m/>
    <m/>
    <x v="0"/>
    <m/>
  </r>
  <r>
    <n v="1000619397"/>
    <x v="0"/>
    <d v="2022-03-03T00:00:00"/>
    <d v="2022-08-22T00:00:00"/>
    <e v="#REF!"/>
    <e v="#N/A"/>
    <m/>
    <x v="0"/>
    <x v="0"/>
    <x v="0"/>
    <s v="CC"/>
    <s v="MARYURI"/>
    <s v="KATHERIN"/>
    <s v="BUITRAGO"/>
    <s v="CASTAÑO"/>
    <s v="MARYURI KATHERIN BUITRAGO CASTAÑO"/>
    <d v="2000-10-09T00:00:00"/>
    <x v="18"/>
    <n v="2"/>
    <n v="17"/>
    <s v="22 AÑOS 2 MESES 17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m/>
    <x v="1"/>
    <x v="17"/>
    <s v="EL REFUGIO"/>
    <m/>
    <n v="3186322834"/>
    <n v="3208819192"/>
    <x v="0"/>
    <s v="NO SE AUTORECONOCE EN NINGUNO DE LOS ANTERIORES"/>
    <x v="0"/>
    <x v="6"/>
    <s v="NO_"/>
    <s v="NO_"/>
    <m/>
    <m/>
    <s v="CONYUGE"/>
    <s v="SIN DOCUMENTO"/>
    <m/>
    <s v="FRANCISCO"/>
    <s v="JAVIER"/>
    <s v="SAMBRANO"/>
    <s v="TROCONIS"/>
    <d v="1988-12-12T00:00:00"/>
    <s v="VENEZUELA"/>
    <s v="EXTERIOR"/>
    <s v="EXTERIOR"/>
    <m/>
    <m/>
    <m/>
    <m/>
    <m/>
    <m/>
    <m/>
    <s v=""/>
    <m/>
    <m/>
    <m/>
    <m/>
    <m/>
    <m/>
    <m/>
    <m/>
    <m/>
    <m/>
    <s v=""/>
    <m/>
    <m/>
    <m/>
    <x v="1"/>
    <x v="1"/>
    <x v="1"/>
    <m/>
    <m/>
    <x v="0"/>
    <m/>
    <m/>
    <m/>
    <m/>
    <m/>
    <m/>
    <m/>
    <m/>
    <m/>
    <m/>
    <n v="15"/>
    <x v="0"/>
    <m/>
  </r>
  <r>
    <n v="1023046743"/>
    <x v="1"/>
    <d v="2022-04-26T00:00:00"/>
    <m/>
    <m/>
    <m/>
    <m/>
    <x v="0"/>
    <x v="5"/>
    <x v="5"/>
    <s v="RC"/>
    <s v="MAILEN"/>
    <s v="DANIELA"/>
    <s v="GUZMAN"/>
    <s v="ACOSTA"/>
    <s v="MAILEN DANIELA GUZMAN ACOSTA"/>
    <d v="2021-04-15T00:00:00"/>
    <x v="3"/>
    <n v="8"/>
    <n v="11"/>
    <s v="1 AÑOS 8 MESES 1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98 A SUR 51 ESTE 46"/>
    <n v="3138033124"/>
    <m/>
    <x v="0"/>
    <s v="NO SE AUTORECONOCE EN NINGUNO DE LOS ANTERIORES"/>
    <x v="1"/>
    <x v="1"/>
    <s v="NO_"/>
    <s v="NO_"/>
    <s v="o. Ingresos iguales o inferiores a 1.5 Smlv"/>
    <m/>
    <s v="MADRE"/>
    <s v="CC"/>
    <n v="53116084"/>
    <s v="VIVIANA"/>
    <m/>
    <s v="ACOSTA"/>
    <s v="PRIMO"/>
    <n v="31140"/>
    <s v="COLOMBIA"/>
    <s v="BOGOTÁ"/>
    <s v="BOGOTÁ"/>
    <s v="CC"/>
    <n v="1024513012"/>
    <s v="DANIEL "/>
    <s v="ORLANDO"/>
    <s v="GUZMAN"/>
    <s v="MORENO "/>
    <n v="33149"/>
    <n v="32"/>
    <s v="COLOMBIA"/>
    <s v="BOGOTÁ"/>
    <s v="BOGOTÁ"/>
    <s v="CC"/>
    <n v="53116084"/>
    <s v="VIVIANA"/>
    <m/>
    <s v="ACOSTA"/>
    <s v="PRIMO"/>
    <n v="31140"/>
    <n v="37"/>
    <s v="COLOMBIA"/>
    <s v="BOGOTÁ"/>
    <s v="BOGOTÁ"/>
    <x v="0"/>
    <x v="6"/>
    <x v="0"/>
    <m/>
    <s v="SI_"/>
    <x v="2"/>
    <n v="1"/>
    <s v="NO_"/>
    <m/>
    <m/>
    <n v="39.5"/>
    <n v="3520"/>
    <n v="50"/>
    <s v="SI_"/>
    <n v="6"/>
    <n v="10"/>
    <m/>
    <x v="1"/>
    <m/>
  </r>
  <r>
    <n v="1016120086"/>
    <x v="0"/>
    <d v="2022-03-03T00:00:00"/>
    <d v="2022-04-25T00:00:00"/>
    <e v="#REF!"/>
    <e v="#N/A"/>
    <m/>
    <x v="0"/>
    <x v="5"/>
    <x v="5"/>
    <s v="RC"/>
    <s v="EILEEN"/>
    <s v="CELESTE"/>
    <s v="PATARROYO"/>
    <s v="ZULUAGA"/>
    <s v="EILEEN CELESTE PATARROYO ZULUAGA"/>
    <d v="2020-09-10T00:00:00"/>
    <x v="2"/>
    <n v="3"/>
    <n v="16"/>
    <s v="2 AÑOS 3 MESES 1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9"/>
    <m/>
    <s v="CALLE 90 SUR 0 ESTE 16"/>
    <n v="3212881458"/>
    <m/>
    <x v="0"/>
    <s v="NO SE AUTORECONOCE EN NINGUNO DE LOS ANTERIORES"/>
    <x v="1"/>
    <x v="1"/>
    <s v="NO_"/>
    <s v="NO_"/>
    <m/>
    <m/>
    <s v="MADRE"/>
    <s v="CC"/>
    <n v="25126947"/>
    <s v="MARIA"/>
    <s v="NELLY"/>
    <s v="SALAZAR"/>
    <s v="DE ZULUAGA"/>
    <s v="25/10/21960"/>
    <s v="COLOMBIA"/>
    <s v="CALDAS"/>
    <m/>
    <m/>
    <m/>
    <m/>
    <m/>
    <m/>
    <m/>
    <m/>
    <s v=""/>
    <m/>
    <m/>
    <m/>
    <s v="CC"/>
    <n v="1016070815"/>
    <s v="ANGGIE"/>
    <s v="ALEJANDRA"/>
    <s v="ZULUAGA "/>
    <s v="SALAZAR"/>
    <d v="1994-11-08T00:00:00"/>
    <n v="28"/>
    <s v="COLOMBIA"/>
    <s v="CALDAS"/>
    <s v="MARQUETALIA"/>
    <x v="0"/>
    <x v="3"/>
    <x v="0"/>
    <d v="2021-09-20T00:00:00"/>
    <s v="NO_"/>
    <x v="0"/>
    <m/>
    <m/>
    <m/>
    <m/>
    <s v="38.6"/>
    <n v="3980"/>
    <n v="53"/>
    <m/>
    <n v="3"/>
    <n v="3"/>
    <m/>
    <x v="1"/>
    <m/>
  </r>
  <r>
    <n v="1026310277"/>
    <x v="0"/>
    <d v="2022-05-17T00:00:00"/>
    <d v="2022-10-03T00:00:00"/>
    <e v="#REF!"/>
    <e v="#N/A"/>
    <s v="TRIANGULO"/>
    <x v="0"/>
    <x v="3"/>
    <x v="3"/>
    <s v="RC"/>
    <s v="YELIANGEL"/>
    <s v="VALENTINA"/>
    <s v="VELAZCO"/>
    <s v="OROPEZA"/>
    <s v="YELIANGEL VALENTINA VELAZCO OROPEZA"/>
    <d v="2021-06-18T00:00:00"/>
    <x v="3"/>
    <n v="6"/>
    <n v="8"/>
    <s v="1 AÑOS 6 MESES 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CL 71 P SUR 27 I 22"/>
    <n v="3194393630"/>
    <m/>
    <x v="2"/>
    <s v="NO SE AUTORECONOCE EN NINGUNO DE LOS ANTERIORES"/>
    <x v="2"/>
    <x v="1"/>
    <s v="NO_"/>
    <s v="NO_"/>
    <m/>
    <m/>
    <s v="MADRE"/>
    <s v="SIN DOCUMENTO"/>
    <m/>
    <s v="YESENIA"/>
    <s v="DEL CARMEN"/>
    <s v="VELAZCO"/>
    <s v="OROPEZA"/>
    <d v="1991-05-25T00:00:00"/>
    <s v="VENEZUELA"/>
    <s v="EXTERIOR"/>
    <s v="EXTERIOR"/>
    <m/>
    <m/>
    <m/>
    <m/>
    <m/>
    <m/>
    <m/>
    <s v=""/>
    <m/>
    <m/>
    <m/>
    <m/>
    <m/>
    <m/>
    <m/>
    <m/>
    <m/>
    <m/>
    <s v=""/>
    <m/>
    <m/>
    <m/>
    <x v="1"/>
    <x v="1"/>
    <x v="2"/>
    <m/>
    <m/>
    <x v="0"/>
    <m/>
    <m/>
    <m/>
    <m/>
    <m/>
    <m/>
    <m/>
    <m/>
    <m/>
    <m/>
    <m/>
    <x v="1"/>
    <m/>
  </r>
  <r>
    <n v="1026309578"/>
    <x v="0"/>
    <d v="2022-03-03T00:00:00"/>
    <d v="2022-05-16T00:00:00"/>
    <e v="#REF!"/>
    <e v="#N/A"/>
    <m/>
    <x v="0"/>
    <x v="5"/>
    <x v="5"/>
    <s v="RC"/>
    <s v="ANGEL"/>
    <s v="MARTÍN"/>
    <s v="CRUZ"/>
    <s v="LONDOÑO"/>
    <s v="ANGEL MARTÍN CRUZ LONDOÑO"/>
    <d v="2021-02-15T00:00:00"/>
    <x v="3"/>
    <n v="10"/>
    <n v="11"/>
    <s v="1 AÑOS 10 MESES 1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CRR 5 ESTE # 97 B 59 SUR"/>
    <n v="3209382126"/>
    <m/>
    <x v="0"/>
    <s v="NO SE AUTORECONOCE EN NINGUNO DE LOS ANTERIORES"/>
    <x v="0"/>
    <x v="11"/>
    <s v="NO_"/>
    <s v="NO_"/>
    <m/>
    <m/>
    <s v="MADRE"/>
    <s v="CC"/>
    <n v="1025320115"/>
    <s v="LAURA "/>
    <s v="DANIELA"/>
    <s v="LONDOÑO"/>
    <s v="CARRILLO"/>
    <d v="1988-12-21T00:00:00"/>
    <s v="COLOMBIA"/>
    <s v="BOGOTÁ"/>
    <s v="BOGOTÁ"/>
    <s v="CC"/>
    <n v="1033700232"/>
    <s v="CESAR"/>
    <s v="AUGUSTO"/>
    <s v="CRUZ"/>
    <s v="BERDUGO"/>
    <d v="1988-09-04T00:00:00"/>
    <n v="34"/>
    <s v="COLOMBIA"/>
    <s v="BOYACÁ"/>
    <s v="TUNJA"/>
    <s v="CC"/>
    <n v="1025320115"/>
    <s v="LAURA "/>
    <s v="DANIELA"/>
    <s v="LONDOÑO"/>
    <s v="CARRILLO"/>
    <d v="1988-12-21T00:00:00"/>
    <n v="34"/>
    <s v="COLOMBIA"/>
    <s v="BOGOTÁ"/>
    <s v="BOGOTÁ"/>
    <x v="1"/>
    <x v="1"/>
    <x v="0"/>
    <d v="2021-11-25T00:00:00"/>
    <s v="SI_"/>
    <x v="1"/>
    <m/>
    <s v="NO_"/>
    <m/>
    <m/>
    <n v="38"/>
    <s v="9.8"/>
    <n v="74"/>
    <m/>
    <n v="6"/>
    <m/>
    <m/>
    <x v="1"/>
    <m/>
  </r>
  <r>
    <n v="1243859287"/>
    <x v="0"/>
    <d v="2022-03-03T00:00:00"/>
    <d v="2022-07-25T00:00:00"/>
    <e v="#REF!"/>
    <e v="#N/A"/>
    <m/>
    <x v="0"/>
    <x v="5"/>
    <x v="5"/>
    <s v="RC"/>
    <s v="MAYTE"/>
    <s v="SOFIA"/>
    <s v="VASQUEZ"/>
    <s v="ENCISO"/>
    <s v="MAYTE SOFIA VASQUEZ ENCISO"/>
    <d v="2020-08-21T00:00:00"/>
    <x v="2"/>
    <n v="4"/>
    <n v="5"/>
    <s v="2 AÑOS 4 MESES 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m/>
    <x v="1"/>
    <x v="17"/>
    <s v="EL REFUGIO"/>
    <m/>
    <n v="3046035663"/>
    <n v="3026475769"/>
    <x v="0"/>
    <s v="NO SE AUTORECONOCE EN NINGUNO DE LOS ANTERIORES"/>
    <x v="0"/>
    <x v="6"/>
    <s v="NO_"/>
    <s v="SI_"/>
    <m/>
    <m/>
    <s v="MADRE"/>
    <s v="CC"/>
    <n v="1007513181"/>
    <s v="LUISA"/>
    <s v="FERNANDA"/>
    <s v="ENSISO"/>
    <s v="CEBALLOS"/>
    <d v="1998-10-18T00:00:00"/>
    <s v="COLOMBIA"/>
    <s v="BOGOTÁ"/>
    <s v="BOGOTÁ"/>
    <s v="CC"/>
    <n v="79207871"/>
    <s v="JOSE"/>
    <s v="FERNANDO"/>
    <s v="VASQUEZ"/>
    <m/>
    <d v="1971-03-30T00:00:00"/>
    <n v="51"/>
    <s v="COLOMBIA"/>
    <s v="CUNDINAMARCA"/>
    <s v="CAPARRAPÍ"/>
    <s v="CC"/>
    <n v="1007513181"/>
    <s v="LUISA"/>
    <s v="FERNANDA"/>
    <s v="ENSISO"/>
    <s v="CEBALLOS"/>
    <d v="1998-10-18T00:00:00"/>
    <n v="24"/>
    <s v="COLOMBIA"/>
    <s v="BOGOTÁ"/>
    <s v="BOGOTÁ"/>
    <x v="1"/>
    <x v="2"/>
    <x v="0"/>
    <d v="2022-02-22T00:00:00"/>
    <s v="SI_"/>
    <x v="2"/>
    <d v="2022-02-25T00:00:00"/>
    <s v="NO_"/>
    <m/>
    <m/>
    <n v="39"/>
    <n v="2740"/>
    <n v="50"/>
    <m/>
    <n v="5"/>
    <m/>
    <m/>
    <x v="1"/>
    <m/>
  </r>
  <r>
    <n v="1026604281"/>
    <x v="0"/>
    <d v="2022-03-22T00:00:00"/>
    <d v="2022-06-13T00:00:00"/>
    <e v="#REF!"/>
    <e v="#N/A"/>
    <m/>
    <x v="0"/>
    <x v="3"/>
    <x v="3"/>
    <s v="RC"/>
    <s v="EMANUEL"/>
    <s v="DAVID"/>
    <s v="ALVAREZ"/>
    <s v="CHIRINOS"/>
    <s v="EMANUEL DAVID ALVAREZ CHIRINOS"/>
    <d v="2021-09-11T00:00:00"/>
    <x v="3"/>
    <n v="3"/>
    <n v="15"/>
    <s v="1 AÑOS 3 MESES 1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RA 7 ESTE #97 D 12 SUR"/>
    <n v="3022077945"/>
    <m/>
    <x v="0"/>
    <s v="NO SE AUTORECONOCE EN NINGUNO DE LOS ANTERIORES"/>
    <x v="1"/>
    <x v="1"/>
    <s v="NO_"/>
    <s v="NO_"/>
    <s v="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"/>
    <m/>
    <s v="MADRE"/>
    <s v="SIN DOCUMENTO"/>
    <m/>
    <s v="AURIMAR"/>
    <s v="EVELIN"/>
    <s v="CHIRINOS"/>
    <s v="BARRETO"/>
    <d v="1990-03-21T00:00:00"/>
    <s v="VENEZUELA"/>
    <s v="EXTERIOR"/>
    <m/>
    <m/>
    <m/>
    <m/>
    <m/>
    <m/>
    <m/>
    <m/>
    <s v=""/>
    <m/>
    <m/>
    <m/>
    <s v="SIN DOCUMENTO"/>
    <m/>
    <s v="AURIMAR"/>
    <s v="EVELIN"/>
    <s v="CHIRINOS"/>
    <s v="BARRETO"/>
    <d v="1990-03-21T00:00:00"/>
    <n v="32"/>
    <s v="VENEZUELA"/>
    <s v="EXTERIOR"/>
    <m/>
    <x v="1"/>
    <x v="22"/>
    <x v="0"/>
    <d v="2022-03-22T00:00:00"/>
    <s v="SI_"/>
    <x v="2"/>
    <n v="1"/>
    <m/>
    <m/>
    <m/>
    <m/>
    <m/>
    <m/>
    <m/>
    <m/>
    <m/>
    <m/>
    <x v="1"/>
    <m/>
  </r>
  <r>
    <n v="1023046832"/>
    <x v="1"/>
    <d v="2022-03-22T00:00:00"/>
    <m/>
    <m/>
    <m/>
    <m/>
    <x v="0"/>
    <x v="4"/>
    <x v="4"/>
    <s v="RC"/>
    <s v="CRISTOPHER"/>
    <s v="JAEL"/>
    <s v="LONDOÑO"/>
    <s v="RAMIREZ"/>
    <s v="CRISTOPHER JAEL LONDOÑO RAMIREZ"/>
    <d v="2021-06-24T00:00:00"/>
    <x v="3"/>
    <n v="6"/>
    <n v="2"/>
    <s v="1 AÑOS 6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n v="3024312913"/>
    <m/>
    <x v="2"/>
    <s v="NO SE AUTORECONOCE EN NINGUNO DE LOS ANTERIORES"/>
    <x v="0"/>
    <x v="0"/>
    <s v="NO_"/>
    <s v="NO_"/>
    <s v="a. Pertenecientes a hogares con puntaje SISBEN"/>
    <m/>
    <s v="MADRE"/>
    <s v="CC"/>
    <n v="1022976605"/>
    <s v="YESENIA"/>
    <s v="ANDREA"/>
    <s v="RAMIREZ"/>
    <s v="PIÑEROS"/>
    <d v="1992-04-08T00:00:00"/>
    <s v="COLOMBIA"/>
    <s v="BOGOTÁ"/>
    <s v="BOGOTÁ"/>
    <s v="CC"/>
    <n v="1022962382"/>
    <s v="WILMER"/>
    <s v="ANDRES"/>
    <s v="LONDOÑO"/>
    <s v="GOMEZ"/>
    <d v="1990-08-23T00:00:00"/>
    <n v="32"/>
    <s v="COLOMBIA"/>
    <s v="BOGOTÁ"/>
    <s v="BOGOTÁ"/>
    <s v="CC"/>
    <n v="1022976605"/>
    <s v="YESENIA"/>
    <s v="ANDREA"/>
    <s v="RAMIREZ"/>
    <s v="PIÑEROS"/>
    <d v="1992-04-08T00:00:00"/>
    <n v="30"/>
    <s v="COLOMBIA"/>
    <s v="BOGOTÁ"/>
    <s v="BOGOTÁ"/>
    <x v="1"/>
    <x v="2"/>
    <x v="0"/>
    <m/>
    <m/>
    <x v="2"/>
    <n v="3"/>
    <s v="SI_"/>
    <m/>
    <m/>
    <m/>
    <n v="2400"/>
    <m/>
    <m/>
    <m/>
    <m/>
    <m/>
    <x v="1"/>
    <m/>
  </r>
  <r>
    <n v="1016968973"/>
    <x v="1"/>
    <d v="2022-03-22T00:00:00"/>
    <m/>
    <m/>
    <m/>
    <m/>
    <x v="0"/>
    <x v="1"/>
    <x v="1"/>
    <s v="RC"/>
    <s v="ASHLEY"/>
    <s v="VANESSA"/>
    <s v="GALVIS"/>
    <s v="MALDONADO"/>
    <s v="ASHLEY VANESSA GALVIS MALDONADO"/>
    <d v="2020-06-20T00:00:00"/>
    <x v="2"/>
    <n v="6"/>
    <n v="6"/>
    <s v="2 AÑOS 6 MESES 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RRERA 10 CESTE 108 SUR 36"/>
    <n v="3012796883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YUSMARELIS"/>
    <s v="DEL CARMEN"/>
    <s v="MALDONADO"/>
    <s v="PARRA"/>
    <d v="2002-02-19T00:00:00"/>
    <s v="VENEZUELA"/>
    <s v="EXTERIOR"/>
    <s v="EXTERIOR"/>
    <s v="CC"/>
    <n v="1126429995"/>
    <s v="BRAYAL"/>
    <s v="LUIS"/>
    <s v="GALVIS"/>
    <s v="CARDENAS "/>
    <d v="1992-08-05T00:00:00"/>
    <n v="30"/>
    <s v="COLOMBIA"/>
    <s v="BOGOTÁ"/>
    <s v="BOGOTÁ"/>
    <s v="SIN DOCUMENTO"/>
    <m/>
    <s v="YUSMARELIS"/>
    <s v="DEL CARMEN"/>
    <s v="MALDONADO"/>
    <s v="PARRA"/>
    <d v="2002-02-19T00:00:00"/>
    <n v="20"/>
    <s v="VENEZUELA"/>
    <s v="EXTERIOR"/>
    <s v="EXTERIOR"/>
    <x v="0"/>
    <x v="6"/>
    <x v="0"/>
    <d v="2022-03-22T00:00:00"/>
    <s v="SI_"/>
    <x v="1"/>
    <m/>
    <s v="NO_"/>
    <m/>
    <m/>
    <n v="40"/>
    <n v="3210"/>
    <n v="47"/>
    <s v="SI_"/>
    <n v="6"/>
    <m/>
    <m/>
    <x v="1"/>
    <m/>
  </r>
  <r>
    <n v="1033829490"/>
    <x v="0"/>
    <d v="2022-06-01T00:00:00"/>
    <d v="2022-07-25T00:00:00"/>
    <e v="#REF!"/>
    <e v="#N/A"/>
    <m/>
    <x v="0"/>
    <x v="1"/>
    <x v="1"/>
    <s v="RC"/>
    <s v="KATHERIN"/>
    <s v="TATIANA"/>
    <s v="MENESES"/>
    <s v="BURGOS"/>
    <s v="KATHERIN TATIANA MENESES BURGOS"/>
    <d v="2021-02-26T00:00:00"/>
    <x v="3"/>
    <n v="10"/>
    <n v="0"/>
    <s v="1 AÑOS 10 MESES 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8"/>
    <s v="USME"/>
    <s v="CARRERA 4 ESTE # 97 D SUR 34"/>
    <s v="321 2857148"/>
    <m/>
    <x v="0"/>
    <s v="NO SE AUTORECONOCE EN NINGUNO DE LOS ANTERIORES"/>
    <x v="0"/>
    <x v="6"/>
    <s v="NO_"/>
    <s v="NO_"/>
    <m/>
    <m/>
    <s v="MADRE"/>
    <s v="CC"/>
    <n v="53005676"/>
    <s v="YENNY"/>
    <s v="VIVIANA"/>
    <s v="BURGOS"/>
    <s v="BETANCOUT"/>
    <d v="1984-07-11T00:00:00"/>
    <s v="COLOMBIA"/>
    <s v="BOGOTÁ"/>
    <s v="BOGOTÁ"/>
    <s v="CC"/>
    <n v="1022924258"/>
    <s v="ADOLFO"/>
    <m/>
    <s v="MENESES"/>
    <s v="NUÑEZ"/>
    <d v="1986-04-23T00:00:00"/>
    <n v="36"/>
    <s v="COLOMBIA"/>
    <s v="BOGOTÁ"/>
    <s v="BOGOTÁ"/>
    <s v="CC"/>
    <n v="53005676"/>
    <s v="YENNY"/>
    <s v="VIVIANA"/>
    <s v="BURGOS"/>
    <s v="BETANCOUT"/>
    <d v="1984-07-11T00:00:00"/>
    <n v="38"/>
    <s v="COLOMBIA"/>
    <s v="BOGOTÁ"/>
    <s v="BOGOTÁ"/>
    <x v="0"/>
    <x v="0"/>
    <x v="0"/>
    <d v="2022-05-27T00:00:00"/>
    <s v="SI_"/>
    <x v="2"/>
    <n v="44708"/>
    <s v="NO_"/>
    <m/>
    <m/>
    <n v="39"/>
    <n v="3070"/>
    <n v="50"/>
    <s v="SI_"/>
    <n v="6"/>
    <m/>
    <m/>
    <x v="1"/>
    <m/>
  </r>
  <r>
    <n v="1025565851"/>
    <x v="0"/>
    <d v="2022-03-22T00:00:00"/>
    <d v="2022-06-01T00:00:00"/>
    <e v="#REF!"/>
    <e v="#N/A"/>
    <m/>
    <x v="0"/>
    <x v="1"/>
    <x v="1"/>
    <s v="RC"/>
    <s v="EIMMY"/>
    <s v="LUCIANA"/>
    <s v="CAICEDO"/>
    <s v="VEGA"/>
    <s v="EIMMY LUCIANA CAICEDO VEGA"/>
    <d v="2020-05-04T00:00:00"/>
    <x v="2"/>
    <n v="7"/>
    <n v="22"/>
    <s v="2 AÑOS 7 MESES 2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CARRERA 5 A ESTE 97 D SUR  63"/>
    <n v="3142027611"/>
    <m/>
    <x v="0"/>
    <s v="NO SE AUTORECONOCE EN NINGUNO DE LOS ANTERIORES"/>
    <x v="1"/>
    <x v="1"/>
    <s v="NO_"/>
    <s v="NO_"/>
    <s v="o. Ingresos iguales o inferiores a 1.5 Smlv"/>
    <m/>
    <s v="MADRE"/>
    <s v="CC"/>
    <n v="1023000916"/>
    <s v="INGRID "/>
    <s v="TATIANA"/>
    <s v="VEGA"/>
    <s v="RAMIREZ"/>
    <d v="1994-12-31T00:00:00"/>
    <s v="COLOMBIA"/>
    <s v="BOGOTÁ"/>
    <s v="BOGOTÁ"/>
    <s v="CC"/>
    <n v="1121818603"/>
    <s v="JARRISON"/>
    <s v="FERNANDO"/>
    <s v="CAICEDO"/>
    <m/>
    <d v="1985-09-08T00:00:00"/>
    <n v="37"/>
    <s v="COLOMBIA"/>
    <s v="META"/>
    <s v="PUERTO LÓPEZ"/>
    <s v="CC"/>
    <n v="1023000916"/>
    <s v="INGRID "/>
    <s v="TATIANA"/>
    <s v="VEGA"/>
    <s v="RAMIREZ"/>
    <d v="1994-12-31T00:00:00"/>
    <n v="27"/>
    <s v="COLOMBIA"/>
    <s v="BOGOTÁ"/>
    <s v="BOGOTÁ"/>
    <x v="0"/>
    <x v="3"/>
    <x v="0"/>
    <d v="2022-03-22T00:00:00"/>
    <s v="SI_"/>
    <x v="1"/>
    <m/>
    <s v="NO_"/>
    <m/>
    <m/>
    <n v="39"/>
    <n v="2860"/>
    <n v="48"/>
    <s v="SI_"/>
    <n v="6"/>
    <m/>
    <m/>
    <x v="1"/>
    <m/>
  </r>
  <r>
    <n v="5866411"/>
    <x v="1"/>
    <d v="2022-08-23T00:00:00"/>
    <m/>
    <m/>
    <m/>
    <m/>
    <x v="0"/>
    <x v="1"/>
    <x v="1"/>
    <s v="PEP"/>
    <s v="SAMANTHA "/>
    <s v="VALENTINA "/>
    <s v="GONZALEZ"/>
    <s v="URDANETA "/>
    <s v="SAMANTHA  VALENTINA  GONZALEZ URDANETA "/>
    <d v="2021-01-12T00:00:00"/>
    <x v="3"/>
    <n v="11"/>
    <n v="14"/>
    <s v="1 AÑOS 11 MESES 14 DIAS "/>
    <x v="2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ZONA DE ASENTAMIENTO SIN LEGALIZAR "/>
    <n v="3246176340"/>
    <m/>
    <x v="0"/>
    <s v="NO SE AUTORECONOCE EN NINGUNO DE LOS ANTERIORES"/>
    <x v="1"/>
    <x v="1"/>
    <s v="NO_"/>
    <s v="NO_"/>
    <s v="o. Ingresos iguales o inferiores a 1.5 Smlv"/>
    <m/>
    <s v="MADRE"/>
    <s v="PEP"/>
    <n v="5864576"/>
    <s v="DANIELA"/>
    <s v="CAROLINA"/>
    <s v="URDANETA"/>
    <s v="PEREA"/>
    <d v="1997-12-14T00:00:00"/>
    <s v="VENEZUELA"/>
    <s v="EXTERIOR"/>
    <s v="EXTERIOR"/>
    <s v="PEP"/>
    <n v="5865962"/>
    <s v="ADRIAN"/>
    <s v="ADOLFO"/>
    <s v="GONZALEZ "/>
    <s v="URDANETA"/>
    <d v="2003-04-24T00:00:00"/>
    <n v="19"/>
    <s v="VENEZUELA"/>
    <s v="EXTERIOR"/>
    <s v="EXTERIOR"/>
    <s v="PEP"/>
    <n v="5864576"/>
    <s v="DANIELA"/>
    <s v="CAROLINA"/>
    <s v="URDANETA"/>
    <s v="PEREA"/>
    <d v="1997-12-14T00:00:00"/>
    <n v="25"/>
    <s v="VENEZUELA"/>
    <s v="EXTERIOR"/>
    <s v="EXTERIOR"/>
    <x v="1"/>
    <x v="23"/>
    <x v="0"/>
    <d v="2022-08-19T00:00:00"/>
    <s v="SI_"/>
    <x v="1"/>
    <m/>
    <s v="NO_"/>
    <m/>
    <m/>
    <n v="39"/>
    <n v="2650"/>
    <n v="48"/>
    <s v="NO_"/>
    <n v="6"/>
    <m/>
    <m/>
    <x v="1"/>
    <m/>
  </r>
  <r>
    <n v="1025157220"/>
    <x v="0"/>
    <d v="2022-03-22T00:00:00"/>
    <d v="2022-08-22T00:00:00"/>
    <e v="#REF!"/>
    <e v="#N/A"/>
    <m/>
    <x v="0"/>
    <x v="1"/>
    <x v="1"/>
    <s v="RC"/>
    <s v="ISABELLE"/>
    <s v="ANTONELLA"/>
    <s v="AMAYA"/>
    <s v="HERRERA"/>
    <s v="ISABELLE ANTONELLA AMAYA HERRERA"/>
    <d v="2020-04-08T00:00:00"/>
    <x v="2"/>
    <n v="8"/>
    <n v="18"/>
    <s v="2 AÑOS 8 MESES 1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DIAGONAL 99 SUR 6 ESTE 38"/>
    <n v="3123580398"/>
    <m/>
    <x v="0"/>
    <s v="NO SE AUTORECONOCE EN NINGUNO DE LOS ANTERIORES"/>
    <x v="1"/>
    <x v="1"/>
    <s v="NO_"/>
    <s v="NO_"/>
    <s v="o. Ingresos iguales o inferiores a 1.5 Smlv"/>
    <m/>
    <s v="MADRE"/>
    <s v="CC"/>
    <n v="1026291873"/>
    <s v="WENDY"/>
    <s v="LORENA"/>
    <s v="HERRERA "/>
    <s v="AGUDELO"/>
    <d v="1995-08-07T00:00:00"/>
    <s v="COLOMBIA"/>
    <s v="BOGOTÁ"/>
    <s v="BOGOTÁ"/>
    <m/>
    <m/>
    <m/>
    <m/>
    <m/>
    <m/>
    <m/>
    <s v=""/>
    <m/>
    <m/>
    <m/>
    <s v="CC"/>
    <n v="1026291873"/>
    <s v="WENDY"/>
    <s v="LORENA"/>
    <s v="HERRERA "/>
    <s v="AGUDELO"/>
    <d v="1995-08-07T00:00:00"/>
    <n v="27"/>
    <s v="COLOMBIA"/>
    <s v="BOGOTÁ"/>
    <s v="BOGOTÁ"/>
    <x v="0"/>
    <x v="3"/>
    <x v="0"/>
    <d v="2022-03-22T00:00:00"/>
    <s v="SI_"/>
    <x v="1"/>
    <m/>
    <s v="NO_"/>
    <m/>
    <m/>
    <n v="39"/>
    <n v="3120"/>
    <n v="51"/>
    <s v="SI_"/>
    <n v="6"/>
    <m/>
    <m/>
    <x v="1"/>
    <m/>
  </r>
  <r>
    <n v="1011259607"/>
    <x v="1"/>
    <d v="2022-07-12T00:00:00"/>
    <m/>
    <m/>
    <m/>
    <m/>
    <x v="0"/>
    <x v="1"/>
    <x v="1"/>
    <s v="RC"/>
    <s v="JOSEPH"/>
    <s v="FELIPE"/>
    <s v="AGUDELO"/>
    <s v="AGUDELO"/>
    <s v="JOSEPH FELIPE AGUDELO AGUDELO"/>
    <d v="2020-09-17T00:00:00"/>
    <x v="2"/>
    <n v="3"/>
    <n v="9"/>
    <s v="2 AÑOS 3 MESES 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DIAGONAL 99 SUR 6 ESTE 38"/>
    <n v="3123580398"/>
    <m/>
    <x v="0"/>
    <s v="NO SE AUTORECONOCE EN NINGUNO DE LOS ANTERIORES"/>
    <x v="1"/>
    <x v="1"/>
    <s v="NO_"/>
    <s v="NO_"/>
    <s v="o. Ingresos iguales o inferiores a 1.5 Smlv"/>
    <m/>
    <s v="TIO(A)"/>
    <s v="CC"/>
    <n v="52278053"/>
    <s v="BLANCA "/>
    <s v="PATRICIA "/>
    <s v="AGUDELO "/>
    <s v="ARDILA"/>
    <d v="1976-10-09T00:00:00"/>
    <s v="COLOMBIA"/>
    <s v="BOGOTÁ"/>
    <s v="BOGOTÁ"/>
    <m/>
    <m/>
    <m/>
    <m/>
    <m/>
    <m/>
    <m/>
    <s v=""/>
    <m/>
    <m/>
    <m/>
    <s v="CC"/>
    <n v="1012349378"/>
    <s v="VIVIANA"/>
    <s v="ANDREA"/>
    <s v="AGUDELO"/>
    <s v="SOCHA"/>
    <d v="1998-11-30T00:00:00"/>
    <n v="24"/>
    <s v="COLOMBIA"/>
    <s v="BOGOTÁ"/>
    <s v="BOGOTÁ"/>
    <x v="0"/>
    <x v="5"/>
    <x v="0"/>
    <d v="2022-07-11T00:00:00"/>
    <s v="SI_"/>
    <x v="2"/>
    <m/>
    <s v="NO_"/>
    <m/>
    <m/>
    <n v="39"/>
    <n v="3200"/>
    <n v="50"/>
    <s v="SI_"/>
    <n v="6"/>
    <m/>
    <m/>
    <x v="1"/>
    <m/>
  </r>
  <r>
    <n v="1243860073"/>
    <x v="0"/>
    <d v="2022-03-22T00:00:00"/>
    <d v="2022-07-11T00:00:00"/>
    <e v="#REF!"/>
    <e v="#N/A"/>
    <m/>
    <x v="0"/>
    <x v="1"/>
    <x v="1"/>
    <s v="RC"/>
    <s v="SAMUEL "/>
    <s v="ALEJANDRO"/>
    <s v="CASTRO"/>
    <s v="ESPINOSA"/>
    <s v="SAMUEL  ALEJANDRO CASTRO ESPINOSA"/>
    <d v="2020-12-26T00:00:00"/>
    <x v="2"/>
    <n v="0"/>
    <n v="0"/>
    <s v="2 AÑOS 0 MESES 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ALLE 96 F SUR  1 A 47 "/>
    <n v="3143501444"/>
    <m/>
    <x v="0"/>
    <s v="NO SE AUTORECONOCE EN NINGUNO DE LOS ANTERIORES"/>
    <x v="1"/>
    <x v="1"/>
    <s v="NO_"/>
    <s v="NO_"/>
    <s v="o. Ingresos iguales o inferiores a 1.5 Smlv"/>
    <m/>
    <s v="MADRE"/>
    <s v="CC"/>
    <n v="1022957071"/>
    <s v="LAURA"/>
    <s v="YESENIA"/>
    <s v="ESPINOZA"/>
    <m/>
    <d v="1990-01-17T00:00:00"/>
    <s v="COLOMBIA"/>
    <s v="QUINDÍO"/>
    <s v="ARMENIA"/>
    <s v="CC"/>
    <n v="1022933629"/>
    <s v="FABIO"/>
    <s v="ANCISAR"/>
    <s v="CASTRO"/>
    <s v="MENDEZ"/>
    <d v="1987-05-18T00:00:00"/>
    <n v="35"/>
    <s v="COLOMBIA"/>
    <s v="BOGOTÁ"/>
    <s v="BOGOTÁ"/>
    <s v="CC"/>
    <n v="1022957071"/>
    <s v="LAURA"/>
    <s v="YESENIA"/>
    <s v="ESPINOZA"/>
    <m/>
    <d v="1990-01-17T00:00:00"/>
    <n v="32"/>
    <s v="COLOMBIA"/>
    <s v="QUINDÍO"/>
    <s v="ARMENIA"/>
    <x v="1"/>
    <x v="0"/>
    <x v="0"/>
    <d v="2022-03-22T00:00:00"/>
    <s v="SI_"/>
    <x v="1"/>
    <m/>
    <s v="NO_"/>
    <m/>
    <m/>
    <n v="40"/>
    <n v="2970"/>
    <n v="49"/>
    <s v="SI_"/>
    <n v="6"/>
    <m/>
    <m/>
    <x v="1"/>
    <m/>
  </r>
  <r>
    <n v="1023047474"/>
    <x v="0"/>
    <d v="2022-03-15T00:00:00"/>
    <d v="2022-03-28T00:00:00"/>
    <e v="#REF!"/>
    <e v="#N/A"/>
    <m/>
    <x v="0"/>
    <x v="6"/>
    <x v="6"/>
    <s v="RC"/>
    <s v="CARLOS"/>
    <s v="ESTEBAN"/>
    <s v="AROCA"/>
    <s v="ANACONDA"/>
    <s v="CARLOS ESTEBAN AROCA ANACONDA"/>
    <d v="2021-10-03T00:00:00"/>
    <x v="3"/>
    <n v="2"/>
    <n v="23"/>
    <s v="1 AÑOS 2 MESES 2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LLE 114 A SUR NO 7 C ESTE 18"/>
    <n v="3012969633"/>
    <m/>
    <x v="0"/>
    <s v="NO SE AUTORECONOCE EN NINGUNO DE LOS ANTERIORES"/>
    <x v="1"/>
    <x v="1"/>
    <s v="NO_"/>
    <s v="NO_"/>
    <s v="a. Pertenecientes a hogares con puntaje SISBEN"/>
    <m/>
    <s v="MADRE"/>
    <s v="CC"/>
    <n v="1058671523"/>
    <s v="ROSA"/>
    <s v="ELENA"/>
    <s v="ANACONDA"/>
    <s v="CARVAJAL"/>
    <d v="1990-10-15T00:00:00"/>
    <s v="COLOMBIA"/>
    <s v="CAUCA"/>
    <s v="ARGELIA"/>
    <s v="CC"/>
    <n v="80193323"/>
    <s v="CARLOS"/>
    <s v="JULIO"/>
    <s v="AROCA"/>
    <m/>
    <d v="1984-07-01T00:00:00"/>
    <n v="38"/>
    <s v="COLOMBIA"/>
    <s v="BOGOTÁ"/>
    <s v="BOGOTÁ"/>
    <s v="CC"/>
    <n v="1058671523"/>
    <s v="ROSA"/>
    <s v="ELENA"/>
    <s v="ANACONDA"/>
    <s v="CARVAJAL"/>
    <d v="1990-10-15T00:00:00"/>
    <n v="32"/>
    <s v="COLOMBIA"/>
    <s v="CAUCA"/>
    <s v="ARGELIA"/>
    <x v="1"/>
    <x v="3"/>
    <x v="2"/>
    <m/>
    <m/>
    <x v="0"/>
    <m/>
    <m/>
    <m/>
    <m/>
    <m/>
    <m/>
    <m/>
    <m/>
    <m/>
    <m/>
    <m/>
    <x v="1"/>
    <m/>
  </r>
  <r>
    <n v="1023046704"/>
    <x v="1"/>
    <d v="2022-03-29T00:00:00"/>
    <m/>
    <m/>
    <m/>
    <m/>
    <x v="0"/>
    <x v="4"/>
    <x v="4"/>
    <s v="RC"/>
    <s v="LIAM"/>
    <s v="SANTIAGO"/>
    <s v="GUIZA"/>
    <s v="MARTINEZ"/>
    <s v="LIAM SANTIAGO GUIZA MARTINEZ"/>
    <d v="2021-06-01T00:00:00"/>
    <x v="3"/>
    <n v="6"/>
    <n v="25"/>
    <s v="1 AÑOS 6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99 SUR #7 ESTE 11"/>
    <n v="3124695063"/>
    <m/>
    <x v="0"/>
    <s v="NO SE AUTORECONOCE EN NINGUNO DE LOS ANTERIORES"/>
    <x v="2"/>
    <x v="1"/>
    <s v="NO_"/>
    <s v="NO_"/>
    <s v="o. Ingresos iguales o inferiores a 1.5 Smlv"/>
    <m/>
    <s v="MADRE"/>
    <s v="CC"/>
    <n v="1022351891"/>
    <s v="CAROL"/>
    <s v="JULIETH"/>
    <s v="MARTINEZ"/>
    <s v="TORRES"/>
    <d v="1988-06-29T00:00:00"/>
    <s v="COLOMBIA"/>
    <s v="BOGOTÁ"/>
    <s v="BOGOTÁ"/>
    <s v="CC"/>
    <n v="1022994039"/>
    <s v="LUIS"/>
    <s v="ALBERTO"/>
    <s v="GUIZA"/>
    <s v="MANRIQUE"/>
    <d v="1994-03-07T00:00:00"/>
    <n v="28"/>
    <s v="COLOMBIA"/>
    <s v="BOGOTÁ"/>
    <s v="BOGOTÁ"/>
    <s v="CC"/>
    <n v="1022351891"/>
    <s v="CAROL"/>
    <s v="JULIETH"/>
    <s v="MARTINEZ"/>
    <s v="TORRES"/>
    <d v="1988-06-29T00:00:00"/>
    <n v="34"/>
    <s v="COLOMBIA"/>
    <s v="BOGOTÁ"/>
    <s v="BOGOTÁ"/>
    <x v="1"/>
    <x v="1"/>
    <x v="0"/>
    <d v="2022-03-22T00:00:00"/>
    <s v="SI_"/>
    <x v="2"/>
    <n v="2"/>
    <s v="NO_"/>
    <m/>
    <m/>
    <m/>
    <n v="3000"/>
    <m/>
    <m/>
    <m/>
    <m/>
    <m/>
    <x v="1"/>
    <m/>
  </r>
  <r>
    <n v="1023047412"/>
    <x v="0"/>
    <d v="2022-03-15T00:00:00"/>
    <d v="2022-05-02T00:00:00"/>
    <e v="#REF!"/>
    <e v="#N/A"/>
    <m/>
    <x v="0"/>
    <x v="6"/>
    <x v="6"/>
    <s v="RC"/>
    <s v="CARINA"/>
    <m/>
    <s v="VARGAS"/>
    <s v="GUIZA"/>
    <s v="CARINA  VARGAS GUIZA"/>
    <d v="2021-10-24T00:00:00"/>
    <x v="3"/>
    <n v="2"/>
    <n v="2"/>
    <s v="1 AÑOS 2 MESES 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6C 106 NO 13"/>
    <n v="3102818720"/>
    <m/>
    <x v="0"/>
    <s v="NO SE AUTORECONOCE EN NINGUNO DE LOS ANTERIORES"/>
    <x v="1"/>
    <x v="1"/>
    <s v="NO_"/>
    <s v="NO_"/>
    <s v="o. Ingresos iguales o inferiores a 1.5 Smlv"/>
    <m/>
    <s v="MADRE"/>
    <s v="CC"/>
    <n v="1006878450"/>
    <s v="YENI"/>
    <m/>
    <s v="GUIZA"/>
    <s v="OLACHICA"/>
    <d v="1998-03-10T00:00:00"/>
    <s v="COLOMBIA"/>
    <s v="META"/>
    <s v="LA MACARENA"/>
    <s v="CC"/>
    <n v="1098170521"/>
    <s v="NELSON"/>
    <m/>
    <s v="VARGAS"/>
    <s v="LOPEZ"/>
    <d v="1988-03-17T00:00:00"/>
    <n v="34"/>
    <s v="COLOMBIA"/>
    <s v="SANTANDER"/>
    <s v="VÉLEZ"/>
    <s v="CC"/>
    <n v="1006878450"/>
    <s v="YENI"/>
    <m/>
    <s v="GUIZA"/>
    <s v="OLACHICA"/>
    <d v="1998-03-10T00:00:00"/>
    <n v="24"/>
    <s v="COLOMBIA"/>
    <s v="META"/>
    <s v="LA MACARENA"/>
    <x v="0"/>
    <x v="4"/>
    <x v="0"/>
    <d v="2022-03-15T00:00:00"/>
    <s v="SI_"/>
    <x v="2"/>
    <m/>
    <s v="NO_"/>
    <m/>
    <m/>
    <n v="40"/>
    <s v="3185 GR"/>
    <n v="51"/>
    <s v="SI_"/>
    <m/>
    <m/>
    <m/>
    <x v="1"/>
    <m/>
  </r>
  <r>
    <n v="1075326513"/>
    <x v="0"/>
    <d v="2022-03-15T00:00:00"/>
    <d v="2022-07-14T00:00:00"/>
    <e v="#REF!"/>
    <e v="#N/A"/>
    <m/>
    <x v="0"/>
    <x v="3"/>
    <x v="3"/>
    <s v="RC"/>
    <s v="RORY"/>
    <s v="SALOME"/>
    <s v="SALGUERO"/>
    <s v="CRUZ"/>
    <s v="RORY SALOME SALGUERO CRUZ"/>
    <d v="2021-11-26T00:00:00"/>
    <x v="3"/>
    <n v="1"/>
    <n v="0"/>
    <s v="1 AÑOS 1 MESES 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A ESTE NO 104 SUR 75"/>
    <n v="3164984220"/>
    <m/>
    <x v="0"/>
    <s v="NO SE AUTORECONOCE EN NINGUNO DE LOS ANTERIORES"/>
    <x v="1"/>
    <x v="1"/>
    <s v="NO_"/>
    <s v="NO_"/>
    <s v="o. Ingresos iguales o inferiores a 1.5 Smlv"/>
    <m/>
    <s v="AMIGO(A)"/>
    <s v="CC"/>
    <n v="1000691745"/>
    <s v="DELLANIRA"/>
    <m/>
    <s v="CASTILLO"/>
    <s v="OLAYA"/>
    <d v="2001-12-05T00:00:00"/>
    <s v="COLOMBIA"/>
    <s v="BOGOTÁ"/>
    <s v="BOGOTÁ"/>
    <s v="CC"/>
    <n v="1122651689"/>
    <s v="ALBEIRO"/>
    <s v="ALEJANDRO"/>
    <s v="SALGUERO"/>
    <s v="PINZON"/>
    <d v="1994-12-23T00:00:00"/>
    <n v="28"/>
    <s v="COLOMBIA"/>
    <s v="META"/>
    <s v="ACACÍAS"/>
    <s v="CC"/>
    <n v="1121962894"/>
    <s v="ANGIE"/>
    <s v="VALENTINA"/>
    <s v="CRUZ"/>
    <s v="TOVAR"/>
    <d v="1999-04-26T00:00:00"/>
    <n v="23"/>
    <s v="COLOMBIA"/>
    <s v="HUILA"/>
    <s v="NEIVA"/>
    <x v="0"/>
    <x v="5"/>
    <x v="0"/>
    <d v="2022-03-15T00:00:00"/>
    <s v="SI_"/>
    <x v="1"/>
    <m/>
    <m/>
    <m/>
    <m/>
    <n v="40"/>
    <s v="3415 GR"/>
    <n v="51"/>
    <s v="SI_"/>
    <m/>
    <m/>
    <m/>
    <x v="1"/>
    <m/>
  </r>
  <r>
    <n v="1023048242"/>
    <x v="0"/>
    <d v="2022-06-01T00:00:00"/>
    <d v="2022-10-06T00:00:00"/>
    <e v="#REF!"/>
    <e v="#N/A"/>
    <m/>
    <x v="0"/>
    <x v="2"/>
    <x v="2"/>
    <s v="RC"/>
    <s v="SCARLETT"/>
    <s v="JULIANA"/>
    <s v="BAQUERO"/>
    <s v="RIVERO"/>
    <s v="SCARLETT JULIANA BAQUERO RIVERO"/>
    <d v="2022-03-22T00:00:00"/>
    <x v="1"/>
    <n v="9"/>
    <n v="4"/>
    <s v="0 AÑOS 9 MESES 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CALLE 111 A SUR NUMERO 10 ESTE 20"/>
    <n v="3108896884"/>
    <n v="3203540576"/>
    <x v="0"/>
    <s v="NO SE AUTORECONOCE EN NINGUNO DE LOS ANTERIORES"/>
    <x v="1"/>
    <x v="1"/>
    <s v="NO_"/>
    <s v="NO_"/>
    <s v="o. Ingresos iguales o inferiores a 1.5 Smlv"/>
    <m/>
    <s v="TIO(A)"/>
    <s v="CC"/>
    <n v="55230817"/>
    <s v="INGRIS"/>
    <s v="JOHANA"/>
    <s v="RIVERO"/>
    <s v="JIMENEZ"/>
    <d v="1984-09-12T00:00:00"/>
    <s v="COLOMBIA"/>
    <s v="LA_GUAJIRA"/>
    <s v="MAICAO"/>
    <s v="CC"/>
    <n v="1022923025"/>
    <s v="LUIS"/>
    <s v="ALFREDO"/>
    <s v="BAQUERO"/>
    <s v="YACUMA"/>
    <d v="1986-04-18T00:00:00"/>
    <n v="36"/>
    <s v="COLOMBIA"/>
    <s v="TOLIMA"/>
    <s v="IBAGUÉ"/>
    <s v="CC"/>
    <n v="1042424467"/>
    <s v="CLAUDIA"/>
    <s v="INES"/>
    <s v="RIVERO"/>
    <s v="JIMENEZ"/>
    <d v="1987-10-04T00:00:00"/>
    <n v="35"/>
    <s v="COLOMBIA"/>
    <s v="ATLÁNTICO"/>
    <s v="BARRANQUILLA"/>
    <x v="0"/>
    <x v="0"/>
    <x v="0"/>
    <d v="2021-05-31T00:00:00"/>
    <s v="SI_"/>
    <x v="1"/>
    <m/>
    <s v="NO_"/>
    <m/>
    <m/>
    <n v="39"/>
    <n v="3815"/>
    <n v="50"/>
    <s v="NO_"/>
    <n v="1"/>
    <m/>
    <m/>
    <x v="2"/>
    <m/>
  </r>
  <r>
    <n v="1011262098"/>
    <x v="0"/>
    <d v="2022-03-15T00:00:00"/>
    <d v="2022-06-01T00:00:00"/>
    <e v="#REF!"/>
    <e v="#N/A"/>
    <m/>
    <x v="0"/>
    <x v="6"/>
    <x v="6"/>
    <s v="RC"/>
    <s v="AARON"/>
    <s v="DAVID"/>
    <s v="RODRIGUEZ"/>
    <s v="CARCAMO"/>
    <s v="AARON DAVID RODRIGUEZ CARCAMO"/>
    <d v="2022-01-17T00:00:00"/>
    <x v="1"/>
    <n v="11"/>
    <n v="9"/>
    <s v="0 AÑOS 11 MESES 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7 A ESTE NO 109 SUR 18"/>
    <m/>
    <n v="3117818279"/>
    <x v="0"/>
    <s v="NO SE AUTORECONOCE EN NINGUNO DE LOS ANTERIORES"/>
    <x v="1"/>
    <x v="1"/>
    <s v="NO_"/>
    <s v="NO_"/>
    <s v="o. Ingresos iguales o inferiores a 1.5 Smlv"/>
    <m/>
    <s v="MADRE"/>
    <s v="CC"/>
    <n v="1005676807"/>
    <s v="EIDYS"/>
    <s v="PAOLA"/>
    <s v="CARCAMO"/>
    <s v="GAVIRIA"/>
    <d v="1997-10-10T00:00:00"/>
    <s v="COLOMBIA"/>
    <s v="SUCRE"/>
    <s v="SAN MARCOS"/>
    <m/>
    <m/>
    <m/>
    <m/>
    <m/>
    <m/>
    <m/>
    <s v=""/>
    <m/>
    <m/>
    <m/>
    <s v="CC"/>
    <n v="1005676807"/>
    <s v="EIDYS"/>
    <s v="PAOLA"/>
    <s v="CARCAMO"/>
    <s v="GAVIRIA"/>
    <d v="1997-10-10T00:00:00"/>
    <n v="25"/>
    <s v="COLOMBIA"/>
    <s v="SUCRE"/>
    <s v="SAN MARCOS"/>
    <x v="1"/>
    <x v="1"/>
    <x v="0"/>
    <d v="2022-03-15T00:00:00"/>
    <s v="SI_"/>
    <x v="1"/>
    <m/>
    <m/>
    <m/>
    <m/>
    <n v="38"/>
    <s v="3100 GR"/>
    <n v="52"/>
    <s v="SI_"/>
    <m/>
    <m/>
    <m/>
    <x v="2"/>
    <m/>
  </r>
  <r>
    <n v="1023047680"/>
    <x v="1"/>
    <d v="2022-03-18T00:00:00"/>
    <m/>
    <m/>
    <m/>
    <m/>
    <x v="0"/>
    <x v="5"/>
    <x v="5"/>
    <s v="RC"/>
    <s v="SHARLOT"/>
    <s v="SUSET"/>
    <s v="MARTINEZ"/>
    <s v="OJEDA"/>
    <s v="SHARLOT SUSET MARTINEZ OJEDA"/>
    <d v="2021-12-18T00:00:00"/>
    <x v="3"/>
    <n v="0"/>
    <n v="8"/>
    <s v="1 AÑOS 0 MESES 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BIS A ESTE NO 99 SUR 65"/>
    <n v="3208810482"/>
    <m/>
    <x v="0"/>
    <s v="NO SE AUTORECONOCE EN NINGUNO DE LOS ANTERIORES"/>
    <x v="1"/>
    <x v="1"/>
    <s v="NO_"/>
    <s v="NO_"/>
    <s v="o. Ingresos iguales o inferiores a 1.5 Smlv"/>
    <m/>
    <s v="MADRE"/>
    <s v="PEP"/>
    <n v="5024515"/>
    <s v="REBECA"/>
    <m/>
    <s v="OJEDA"/>
    <s v="ORTEGA"/>
    <d v="1993-11-15T00:00:00"/>
    <s v="VENEZUELA"/>
    <s v="EXTERIOR"/>
    <s v="EXTERIOR"/>
    <m/>
    <m/>
    <m/>
    <m/>
    <m/>
    <m/>
    <m/>
    <s v=""/>
    <m/>
    <m/>
    <m/>
    <s v="PEP"/>
    <n v="5024515"/>
    <s v="REBECA"/>
    <m/>
    <s v="OJEDA"/>
    <s v="ORTEGA"/>
    <d v="1993-11-15T00:00:00"/>
    <n v="29"/>
    <s v="VENEZUELA"/>
    <s v="EXTERIOR"/>
    <s v="EXTERIOR"/>
    <x v="1"/>
    <x v="1"/>
    <x v="0"/>
    <d v="2022-03-15T00:00:00"/>
    <m/>
    <x v="1"/>
    <m/>
    <m/>
    <m/>
    <m/>
    <n v="38"/>
    <n v="2770"/>
    <n v="51"/>
    <s v="SI_"/>
    <m/>
    <m/>
    <m/>
    <x v="1"/>
    <m/>
  </r>
  <r>
    <n v="10475201985"/>
    <x v="0"/>
    <d v="2022-03-20T00:00:00"/>
    <d v="2022-06-01T00:00:00"/>
    <e v="#REF!"/>
    <e v="#N/A"/>
    <m/>
    <x v="0"/>
    <x v="6"/>
    <x v="6"/>
    <s v="RC"/>
    <s v="LEONARDO"/>
    <s v="VIDAL"/>
    <s v="RODRIGUEZ"/>
    <s v="CABADIA "/>
    <s v="LEONARDO VIDAL RODRIGUEZ CABADIA "/>
    <d v="2021-11-23T00:00:00"/>
    <x v="3"/>
    <n v="1"/>
    <n v="3"/>
    <s v="1 AÑOS 1 MESES 3 DIAS "/>
    <x v="2"/>
    <x v="1"/>
    <x v="0"/>
    <s v="BOLÍVAR"/>
    <s v="CARTAGENA DE INDIAS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LLE 108 SUR NO 7 D ESTE 29"/>
    <n v="3114881225"/>
    <m/>
    <x v="0"/>
    <s v="NO SE AUTORECONOCE EN NINGUNO DE LOS ANTERIORES"/>
    <x v="1"/>
    <x v="1"/>
    <s v="NO_"/>
    <s v="NO_"/>
    <s v="o. Ingresos iguales o inferiores a 1.5 Smlv"/>
    <m/>
    <s v="MADRE"/>
    <s v="TI"/>
    <n v="1043649181"/>
    <s v="YULISSA"/>
    <s v="MARIA"/>
    <s v="CABADIA"/>
    <s v="TORDECILLA"/>
    <d v="2005-12-11T00:00:00"/>
    <s v="COLOMBIA"/>
    <s v="BOLÍVAR"/>
    <s v="CARTAGENA DE INDIAS"/>
    <s v="SIN DOCUMENTO"/>
    <m/>
    <s v="LEOMAR"/>
    <s v="ANTONIO "/>
    <s v="RODRIGUEZ"/>
    <s v="HERNANDEZ"/>
    <d v="1998-03-26T00:00:00"/>
    <n v="24"/>
    <s v="VENEZUELA"/>
    <s v="EXTERIOR"/>
    <s v="EXTERIOR"/>
    <s v="TI"/>
    <n v="1043649181"/>
    <s v="YULISSA"/>
    <s v="MARIA"/>
    <s v="CABADIA"/>
    <s v="TORDECILLA"/>
    <d v="2005-12-11T00:00:00"/>
    <n v="17"/>
    <s v="COLOMBIA"/>
    <s v="BOLÍVAR"/>
    <s v="CARTAGENA DE INDIAS"/>
    <x v="1"/>
    <x v="14"/>
    <x v="0"/>
    <d v="2022-03-20T00:00:00"/>
    <s v="SI_"/>
    <x v="1"/>
    <m/>
    <s v="NO_"/>
    <m/>
    <m/>
    <n v="26"/>
    <s v="256 GR"/>
    <n v="30"/>
    <s v="SI_"/>
    <m/>
    <m/>
    <m/>
    <x v="1"/>
    <m/>
  </r>
  <r>
    <n v="1023045733"/>
    <x v="1"/>
    <d v="2022-07-26T00:00:00"/>
    <m/>
    <m/>
    <m/>
    <s v="TRIANGULO"/>
    <x v="0"/>
    <x v="1"/>
    <x v="1"/>
    <s v="RC"/>
    <s v="DEYLER"/>
    <s v="STEVE"/>
    <s v="GOMEZ"/>
    <s v="TORRES"/>
    <s v="DEYLER STEVE GOMEZ TORRES"/>
    <d v="2020-10-26T00:00:00"/>
    <x v="2"/>
    <n v="2"/>
    <n v="0"/>
    <s v="2 AÑOS 2 MESES 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s v="USME"/>
    <s v="KRR 4 ESTE # 91 SUR 34 PI 2"/>
    <n v="3133475609"/>
    <m/>
    <x v="0"/>
    <s v="NO SE AUTORECONOCE EN NINGUNO DE LOS ANTERIORES"/>
    <x v="0"/>
    <x v="11"/>
    <s v="NO_"/>
    <s v="NO_"/>
    <s v="o. Ingresos iguales o inferiores a 1.5 Smlv"/>
    <m/>
    <s v="MADRE"/>
    <s v="CC"/>
    <n v="1023006540"/>
    <s v="YURY"/>
    <s v="JULIETH"/>
    <s v="TORRES"/>
    <s v="MURILLO"/>
    <d v="1995-07-09T00:00:00"/>
    <s v="COLOMBIA"/>
    <s v="BOYACÁ"/>
    <s v="CHIQUINQUIRÁ"/>
    <m/>
    <m/>
    <m/>
    <m/>
    <m/>
    <m/>
    <m/>
    <s v=""/>
    <m/>
    <m/>
    <m/>
    <s v="CC"/>
    <n v="1023006540"/>
    <s v="YURY"/>
    <s v="JULIETH"/>
    <s v="TORRES"/>
    <s v="MURILLO"/>
    <d v="1995-07-09T00:00:00"/>
    <n v="27"/>
    <s v="COLOMBIA"/>
    <s v="BOYACÁ"/>
    <s v="CHIQUINQUIRÁ"/>
    <x v="0"/>
    <x v="3"/>
    <x v="0"/>
    <d v="2022-07-18T00:00:00"/>
    <s v="SI_"/>
    <x v="2"/>
    <d v="2022-07-18T00:00:00"/>
    <s v="NO_"/>
    <m/>
    <m/>
    <n v="39"/>
    <n v="3180"/>
    <n v="51"/>
    <s v="SI_"/>
    <n v="10"/>
    <m/>
    <m/>
    <x v="1"/>
    <m/>
  </r>
  <r>
    <n v="1021696255"/>
    <x v="0"/>
    <d v="2022-05-10T00:00:00"/>
    <d v="2022-07-25T00:00:00"/>
    <e v="#REF!"/>
    <e v="#N/A"/>
    <m/>
    <x v="0"/>
    <x v="1"/>
    <x v="1"/>
    <s v="RC"/>
    <s v="THIAGO"/>
    <s v="ESTEBAN "/>
    <s v="GONZALEZ "/>
    <s v="ORTIZ"/>
    <s v="THIAGO ESTEBAN  GONZALEZ  ORTIZ"/>
    <d v="2021-01-16T00:00:00"/>
    <x v="3"/>
    <n v="11"/>
    <n v="10"/>
    <s v="1 AÑOS 11 MESES 1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"/>
    <m/>
    <s v="CALLE 84 A SUR 2 ESTE 90"/>
    <n v="3123892938"/>
    <m/>
    <x v="0"/>
    <s v="NO SE AUTORECONOCE EN NINGUNO DE LOS ANTERIORES"/>
    <x v="1"/>
    <x v="1"/>
    <s v="NO_"/>
    <s v="NO_"/>
    <s v="o. Ingresos iguales o inferiores a 1.5 Smlv"/>
    <m/>
    <s v="MADRE"/>
    <s v="CC"/>
    <n v="1000695489"/>
    <s v="LAURA"/>
    <m/>
    <s v="ORTIZ "/>
    <s v="LOPEZ"/>
    <d v="2003-07-07T00:00:00"/>
    <s v="COLOMBIA"/>
    <s v="BOGOTÁ"/>
    <s v="BOGOTÁ"/>
    <m/>
    <m/>
    <m/>
    <m/>
    <m/>
    <m/>
    <m/>
    <s v=""/>
    <m/>
    <m/>
    <m/>
    <s v="CC"/>
    <n v="1000695489"/>
    <s v="LAURA"/>
    <m/>
    <s v="ORTIZ "/>
    <s v="LOPEZ"/>
    <d v="2003-07-07T00:00:00"/>
    <n v="19"/>
    <s v="COLOMBIA"/>
    <s v="BOGOTÁ"/>
    <s v="BOGOTÁ"/>
    <x v="1"/>
    <x v="3"/>
    <x v="0"/>
    <d v="2022-05-06T00:00:00"/>
    <s v="SI_"/>
    <x v="2"/>
    <s v="21-.11-21"/>
    <s v="NO_"/>
    <m/>
    <m/>
    <n v="39"/>
    <n v="3250"/>
    <n v="51"/>
    <s v="SI_"/>
    <n v="10"/>
    <m/>
    <m/>
    <x v="1"/>
    <m/>
  </r>
  <r>
    <n v="1013281279"/>
    <x v="0"/>
    <d v="2022-04-04T00:00:00"/>
    <d v="2022-05-09T00:00:00"/>
    <e v="#REF!"/>
    <e v="#N/A"/>
    <m/>
    <x v="0"/>
    <x v="1"/>
    <x v="1"/>
    <s v="RC"/>
    <s v="KENDALL"/>
    <s v="NICOLL"/>
    <s v="MARQUEZ"/>
    <s v="ORTIZ"/>
    <s v="KENDALL NICOLL MARQUEZ ORTIZ"/>
    <d v="2020-05-16T00:00:00"/>
    <x v="2"/>
    <n v="7"/>
    <n v="10"/>
    <s v="2 AÑOS 7 MESES 1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9"/>
    <m/>
    <s v="CARRERA 3D 97 A 06 SUR "/>
    <m/>
    <m/>
    <x v="0"/>
    <s v="NO SE AUTORECONOCE EN NINGUNO DE LOS ANTERIORES"/>
    <x v="1"/>
    <x v="1"/>
    <m/>
    <m/>
    <m/>
    <m/>
    <s v="MADRE"/>
    <s v="SIN DOCUMENTO"/>
    <m/>
    <s v="YORGELYS "/>
    <s v="DEL VALLE "/>
    <s v="ORTIZ "/>
    <s v="GONZALEZ "/>
    <d v="1997-02-10T00:00:00"/>
    <s v="VENEZUELA"/>
    <s v="EXTERIOR"/>
    <s v="EXTERIOR"/>
    <s v="PASAPORTE"/>
    <m/>
    <s v="LUIS "/>
    <s v="ADOLFO"/>
    <s v="MARQUEZ "/>
    <s v="LEAL"/>
    <d v="1991-08-08T00:00:00"/>
    <n v="31"/>
    <s v="VENEZUELA"/>
    <s v="EXTERIOR"/>
    <s v="EXTERIOR"/>
    <s v="SIN DOCUMENTO"/>
    <m/>
    <s v="YORGELYS "/>
    <s v="DEL VALLE "/>
    <s v="ORTIZ "/>
    <s v="GONZALEZ "/>
    <d v="1997-02-10T00:00:00"/>
    <n v="25"/>
    <s v="VENEZUELA"/>
    <s v="EXTERIOR"/>
    <s v="EXTERIOR"/>
    <x v="1"/>
    <x v="9"/>
    <x v="0"/>
    <d v="2022-04-04T00:00:00"/>
    <s v="SI_"/>
    <x v="2"/>
    <d v="2021-03-25T00:00:00"/>
    <s v="NO_"/>
    <m/>
    <m/>
    <n v="38"/>
    <n v="2740"/>
    <n v="48"/>
    <s v="SI_"/>
    <n v="6"/>
    <m/>
    <m/>
    <x v="1"/>
    <m/>
  </r>
  <r>
    <n v="1051681940"/>
    <x v="1"/>
    <d v="2022-10-04T00:00:00"/>
    <m/>
    <m/>
    <m/>
    <m/>
    <x v="0"/>
    <x v="5"/>
    <x v="5"/>
    <s v="RC"/>
    <s v="MIA"/>
    <s v="ISABELLA"/>
    <s v="ORTIZ"/>
    <s v="ROJAS"/>
    <s v="MIA ISABELLA ORTIZ ROJAS"/>
    <d v="2022-05-03T00:00:00"/>
    <x v="1"/>
    <n v="7"/>
    <n v="23"/>
    <s v="0 AÑOS 7 MESES 23 DIAS "/>
    <x v="2"/>
    <x v="0"/>
    <x v="0"/>
    <s v="BOLÍVAR"/>
    <s v="MOMPÓS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0"/>
    <m/>
    <s v="CARRERA 8 A 106-03"/>
    <n v="3053037480"/>
    <n v="3147017092"/>
    <x v="0"/>
    <s v="NO SE AUTORECONOCE EN NINGUNO DE LOS ANTERIORES"/>
    <x v="0"/>
    <x v="19"/>
    <s v="NO_"/>
    <s v="NO_"/>
    <m/>
    <m/>
    <s v="MADRE"/>
    <s v="SIN DOCUMENTO"/>
    <m/>
    <s v="LADY"/>
    <s v="CAROLINA"/>
    <s v="ROJAS"/>
    <s v="PAREDES"/>
    <d v="1991-08-23T00:00:00"/>
    <s v="VENEZUELA"/>
    <s v="EXTERIOR"/>
    <s v="EXTERIOR"/>
    <s v="CC"/>
    <n v="1051660277"/>
    <s v="DEIVIS"/>
    <m/>
    <s v="ORTIZ"/>
    <s v="LOPEZ"/>
    <d v="1999-04-17T00:00:00"/>
    <n v="23"/>
    <s v="COLOMBIA"/>
    <s v="BOLÍVAR"/>
    <s v="MOMPÓS"/>
    <s v="SIN DOCUMENTO"/>
    <m/>
    <s v="LADY"/>
    <s v="CAROLINA"/>
    <s v="ROJAS"/>
    <s v="PAREDES"/>
    <d v="1991-08-23T00:00:00"/>
    <n v="31"/>
    <s v="VENEZUELA"/>
    <s v="EXTERIOR"/>
    <s v="EXTERIOR"/>
    <x v="1"/>
    <x v="14"/>
    <x v="0"/>
    <d v="2022-10-03T00:00:00"/>
    <s v="SI_"/>
    <x v="2"/>
    <m/>
    <s v="NO_"/>
    <m/>
    <m/>
    <m/>
    <n v="2300"/>
    <n v="42"/>
    <m/>
    <n v="1"/>
    <s v="HASTA EL MOMENTO"/>
    <n v="36"/>
    <x v="2"/>
    <m/>
  </r>
  <r>
    <n v="1031545026"/>
    <x v="0"/>
    <d v="2022-09-05T00:00:00"/>
    <d v="2022-10-03T00:00:00"/>
    <e v="#REF!"/>
    <e v="#N/A"/>
    <m/>
    <x v="0"/>
    <x v="3"/>
    <x v="3"/>
    <s v="RC"/>
    <s v="GABRIELA"/>
    <m/>
    <s v="CAICEDO"/>
    <s v="RODRIGUEZ"/>
    <s v="GABRIELA  CAICEDO RODRIGUEZ"/>
    <d v="2021-06-12T00:00:00"/>
    <x v="3"/>
    <n v="6"/>
    <n v="14"/>
    <s v="1 AÑOS 6 MESES 1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0"/>
    <m/>
    <s v="CLLE 73 B BIS #14 A 11 SUR"/>
    <n v="3132078839"/>
    <n v="3136271403"/>
    <x v="0"/>
    <s v="NO SE AUTORECONOCE EN NINGUNO DE LOS ANTERIORES"/>
    <x v="2"/>
    <x v="1"/>
    <s v="NO_"/>
    <s v="NO_"/>
    <m/>
    <m/>
    <s v="ABUELO(A)"/>
    <s v="CC"/>
    <n v="51784216"/>
    <s v="JACQUELINE"/>
    <m/>
    <s v="ACHURY"/>
    <s v="ROMERO"/>
    <d v="1964-11-30T00:00:00"/>
    <s v="COLOMBIA"/>
    <s v="BOGOTÁ"/>
    <s v="BOGOTÁ"/>
    <m/>
    <m/>
    <m/>
    <m/>
    <m/>
    <m/>
    <m/>
    <s v=""/>
    <m/>
    <m/>
    <m/>
    <s v="CC"/>
    <n v="1022981981"/>
    <s v="LISET"/>
    <s v="ANDREA"/>
    <s v="RODRIGUEZ"/>
    <s v="ACHURY"/>
    <d v="1992-11-18T00:00:00"/>
    <n v="30"/>
    <s v="COLOMBIA"/>
    <s v="BOGOTÁ"/>
    <s v="BOGOTÁ"/>
    <x v="2"/>
    <x v="19"/>
    <x v="0"/>
    <d v="2022-08-31T00:00:00"/>
    <s v="SI_"/>
    <x v="2"/>
    <d v="2021-12-15T00:00:00"/>
    <s v="NO_"/>
    <m/>
    <m/>
    <n v="39"/>
    <s v="3200 KG"/>
    <n v="50"/>
    <m/>
    <m/>
    <m/>
    <m/>
    <x v="1"/>
    <m/>
  </r>
  <r>
    <n v="1243859593"/>
    <x v="0"/>
    <d v="2022-07-26T00:00:00"/>
    <d v="2022-09-01T00:00:00"/>
    <e v="#REF!"/>
    <e v="#N/A"/>
    <m/>
    <x v="0"/>
    <x v="5"/>
    <x v="5"/>
    <s v="RC"/>
    <s v="SAMUEL"/>
    <s v="SANTIAGO"/>
    <s v="RUIZ"/>
    <s v="FIGUEROA"/>
    <s v="SAMUEL SANTIAGO RUIZ FIGUEROA"/>
    <d v="2020-09-27T00:00:00"/>
    <x v="2"/>
    <n v="2"/>
    <n v="29"/>
    <s v="2 AÑOS 2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n v="3026826827"/>
    <n v="3024984144"/>
    <x v="0"/>
    <s v="NO SE AUTORECONOCE EN NINGUNO DE LOS ANTERIORES"/>
    <x v="1"/>
    <x v="1"/>
    <s v="NO_"/>
    <s v="SI_"/>
    <s v="f. Víctimas de hechos violentos asociados al conflicto armado, de acuerdo con las directrices establecidas en la Ley 1448 de 2011 y los Decretos ley 4633, 4634 y 4635 de 2011, así como la Sentencia T-025 de 2004 proferida por la Corte Constitucional y demás desarrollos jurisprudenciales en torno a la existencia de un estado de cosas inconstitucional; para lo cual se considerarán aquellos cuyo estado se encuentre incluido dentro del RUV."/>
    <m/>
    <s v="MADRE"/>
    <s v="CC"/>
    <n v="1006527178"/>
    <s v="MAIDY"/>
    <s v="ALEJANDRA"/>
    <s v="FIGUEROA"/>
    <s v="RENDON"/>
    <d v="2002-08-27T00:00:00"/>
    <s v="COLOMBIA"/>
    <s v="CAQUETÁ"/>
    <s v="CARTAGENA DEL CHAIRÁ"/>
    <m/>
    <m/>
    <m/>
    <m/>
    <m/>
    <m/>
    <m/>
    <s v=""/>
    <m/>
    <m/>
    <m/>
    <s v="CC"/>
    <n v="1006527178"/>
    <s v="MAIDY"/>
    <s v="ALEJANDRA"/>
    <s v="FIIGUEROA"/>
    <s v="RENDON"/>
    <d v="2002-08-27T00:00:00"/>
    <n v="20"/>
    <s v="COLOMBIA"/>
    <s v="CAQUETÁ"/>
    <s v="CARTAGENA DEL CHAIRÁ"/>
    <x v="1"/>
    <x v="1"/>
    <x v="0"/>
    <d v="2022-07-25T00:00:00"/>
    <s v="NO_"/>
    <x v="1"/>
    <m/>
    <s v="NO_"/>
    <s v="NO"/>
    <m/>
    <n v="40"/>
    <n v="3010"/>
    <n v="50"/>
    <s v="NO_"/>
    <n v="6"/>
    <n v="12"/>
    <m/>
    <x v="1"/>
    <m/>
  </r>
  <r>
    <n v="1243860262"/>
    <x v="0"/>
    <d v="2022-04-04T00:00:00"/>
    <d v="2022-07-25T00:00:00"/>
    <e v="#REF!"/>
    <e v="#N/A"/>
    <m/>
    <x v="0"/>
    <x v="4"/>
    <x v="4"/>
    <s v="RC"/>
    <s v="JUAN"/>
    <s v="JOSE"/>
    <s v="CONTRERAS"/>
    <s v="VEGA"/>
    <s v="JUAN JOSE CONTRERAS VEGA"/>
    <d v="2021-04-20T00:00:00"/>
    <x v="3"/>
    <n v="8"/>
    <n v="6"/>
    <s v="1 AÑOS 8 MESES 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ALLE 113 #8 A ESTE  36 SUR"/>
    <n v="3202371236"/>
    <m/>
    <x v="0"/>
    <s v="NO SE AUTORECONOCE EN NINGUNO DE LOS ANTERIORES"/>
    <x v="1"/>
    <x v="1"/>
    <s v="NO_"/>
    <s v="NO_"/>
    <s v="o. Ingresos iguales o inferiores a 1.5 Smlv"/>
    <m/>
    <s v="MADRE"/>
    <s v="CC"/>
    <n v="1022984620"/>
    <s v="KELLY"/>
    <s v="JOHANA"/>
    <s v="VEGA"/>
    <s v="GUEVARA"/>
    <d v="1993-03-05T00:00:00"/>
    <s v="COLOMBIA"/>
    <s v="CUNDINAMARCA"/>
    <s v="PANDI"/>
    <s v="CC"/>
    <n v="1121870635"/>
    <s v="CESAR"/>
    <s v="JOHANS"/>
    <s v="CONTRERAS"/>
    <s v="CAMARGO"/>
    <d v="1990-11-30T00:00:00"/>
    <n v="32"/>
    <s v="COLOMBIA"/>
    <s v="META"/>
    <s v="VILLAVICENCIO"/>
    <s v="CC"/>
    <n v="1022984620"/>
    <s v="KELLY"/>
    <s v="JOHANA"/>
    <s v="VEGA"/>
    <s v="GUEVARA"/>
    <d v="1993-03-05T00:00:00"/>
    <n v="29"/>
    <s v="COLOMBIA"/>
    <s v="CUNDINAMARCA"/>
    <s v="PANDI"/>
    <x v="0"/>
    <x v="5"/>
    <x v="0"/>
    <d v="2022-03-28T00:00:00"/>
    <s v="SI_"/>
    <x v="2"/>
    <n v="2"/>
    <s v="NO_"/>
    <m/>
    <m/>
    <n v="40"/>
    <n v="3615"/>
    <m/>
    <m/>
    <m/>
    <m/>
    <m/>
    <x v="1"/>
    <m/>
  </r>
  <r>
    <n v="1018519455"/>
    <x v="1"/>
    <d v="2022-04-04T00:00:00"/>
    <m/>
    <m/>
    <m/>
    <m/>
    <x v="0"/>
    <x v="4"/>
    <x v="4"/>
    <s v="RC"/>
    <s v="DIYARET"/>
    <s v="MIYELDY"/>
    <s v="VALBUENA"/>
    <s v="RODRIGUEZ"/>
    <s v="DIYARET MIYELDY VALBUENA RODRIGUEZ"/>
    <d v="2021-02-08T00:00:00"/>
    <x v="3"/>
    <n v="10"/>
    <n v="18"/>
    <s v="1 AÑOS 10 MESES 1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98BISSUR6FESTE-41"/>
    <n v="3135130025"/>
    <m/>
    <x v="0"/>
    <s v="NO SE AUTORECONOCE EN NINGUNO DE LOS ANTERIORES"/>
    <x v="1"/>
    <x v="1"/>
    <s v="NO_"/>
    <s v="NO_"/>
    <s v="o. Ingresos iguales o inferiores a 1.5 Smlv"/>
    <m/>
    <s v="MADRE"/>
    <s v="CC"/>
    <n v="52710135"/>
    <s v="DIANA"/>
    <m/>
    <s v="RODRIGUEZ"/>
    <s v="FAJARDO"/>
    <d v="1980-04-17T00:00:00"/>
    <s v="COLOMBIA"/>
    <s v="BOGOTÁ"/>
    <s v="BOGOTÁ"/>
    <s v="CC"/>
    <n v="7318279"/>
    <s v="WILLIAM"/>
    <s v="ALEXANDER"/>
    <s v="VALBUENA"/>
    <s v="FAJARDO"/>
    <d v="1981-12-21T00:00:00"/>
    <n v="41"/>
    <s v="COLOMBIA"/>
    <s v="SANTANDER"/>
    <s v="BARBOSA"/>
    <s v="CC"/>
    <n v="52710135"/>
    <s v="DIANA"/>
    <m/>
    <s v="RODRIGUEZ"/>
    <s v="FAJARDO"/>
    <d v="1980-04-17T00:00:00"/>
    <n v="42"/>
    <s v="COLOMBIA"/>
    <s v="BOGOTÁ"/>
    <s v="BOGOTÁ"/>
    <x v="3"/>
    <x v="12"/>
    <x v="0"/>
    <d v="2022-04-04T00:00:00"/>
    <s v="SI_"/>
    <x v="2"/>
    <n v="1"/>
    <s v="NO_"/>
    <m/>
    <m/>
    <n v="38"/>
    <n v="3500"/>
    <s v="50.3"/>
    <s v="NO_"/>
    <n v="6"/>
    <n v="12"/>
    <m/>
    <x v="1"/>
    <m/>
  </r>
  <r>
    <s v="201A8A78EFFC4D0BA452202C400206FB34980"/>
    <x v="0"/>
    <d v="2022-04-04T00:00:00"/>
    <d v="2022-06-28T00:00:00"/>
    <e v="#REF!"/>
    <e v="#N/A"/>
    <m/>
    <x v="0"/>
    <x v="5"/>
    <x v="5"/>
    <s v="SIN DOCUMENTO"/>
    <s v="LUISA "/>
    <s v="FERNANDA "/>
    <s v="ALBARRÁN "/>
    <s v="ALBARRÁN "/>
    <s v="LUISA  FERNANDA  ALBARRÁN  ALBARRÁN "/>
    <d v="2021-04-15T00:00:00"/>
    <x v="3"/>
    <n v="8"/>
    <n v="11"/>
    <s v="1 AÑOS 8 MESES 1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CALLE 117 SUR NO 7 B ESTE 47 "/>
    <n v="3214196293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YENNY"/>
    <s v="CAROLINA"/>
    <s v="ALBARRÁN"/>
    <s v="ALBARRÁN "/>
    <d v="1999-02-12T00:00:00"/>
    <s v="VENEZUELA"/>
    <s v="EXTERIOR"/>
    <s v="EXTERIOR"/>
    <m/>
    <m/>
    <m/>
    <m/>
    <m/>
    <m/>
    <m/>
    <s v=""/>
    <m/>
    <m/>
    <m/>
    <s v="SIN DOCUMENTO"/>
    <m/>
    <s v="YENNY"/>
    <s v="CAROLINA"/>
    <s v="ALBARRÁN"/>
    <s v="ALBARRÁN "/>
    <d v="1999-02-12T00:00:00"/>
    <n v="23"/>
    <s v="VENEZUELA"/>
    <s v="EXTERIOR"/>
    <s v="EXTERIOR"/>
    <x v="3"/>
    <x v="12"/>
    <x v="0"/>
    <m/>
    <s v="NO_"/>
    <x v="1"/>
    <m/>
    <s v="NO_"/>
    <m/>
    <m/>
    <n v="38"/>
    <n v="3960"/>
    <n v="51"/>
    <s v="NO_"/>
    <n v="6"/>
    <n v="11"/>
    <m/>
    <x v="1"/>
    <m/>
  </r>
  <r>
    <n v="1023047156"/>
    <x v="0"/>
    <d v="2022-05-10T00:00:00"/>
    <d v="2022-06-06T00:00:00"/>
    <e v="#REF!"/>
    <e v="#N/A"/>
    <m/>
    <x v="0"/>
    <x v="6"/>
    <x v="6"/>
    <s v="RC"/>
    <s v="EILYN"/>
    <s v="SOFIA"/>
    <s v="GUACHETA"/>
    <s v="PECHENE"/>
    <s v="EILYN SOFIA GUACHETA PECHENE"/>
    <d v="2021-08-18T00:00:00"/>
    <x v="3"/>
    <n v="4"/>
    <n v="8"/>
    <s v="1 AÑOS 4 MESES 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9"/>
    <m/>
    <s v="CALLE 90 C SUR 1 00-24"/>
    <n v="3125183254"/>
    <m/>
    <x v="0"/>
    <s v="NO SE AUTORECONOCE EN NINGUNO DE LOS ANTERIORES"/>
    <x v="1"/>
    <x v="1"/>
    <s v="NO_"/>
    <s v="NO_"/>
    <s v="o. Ingresos iguales o inferiores a 1.5 Smlv"/>
    <m/>
    <s v="TIO(A)"/>
    <s v="CC"/>
    <n v="25338676"/>
    <s v="EDITH"/>
    <m/>
    <s v="GUACHETA"/>
    <s v="PECHENE"/>
    <d v="1977-09-29T00:00:00"/>
    <s v="COLOMBIA"/>
    <s v="CAUCA"/>
    <s v="CAJIBÍO"/>
    <m/>
    <m/>
    <m/>
    <m/>
    <m/>
    <m/>
    <m/>
    <s v=""/>
    <m/>
    <m/>
    <m/>
    <s v="CC"/>
    <n v="1022968918"/>
    <s v="FRANCY"/>
    <s v="ELENA"/>
    <s v="GUACHETA"/>
    <s v="PECHENE"/>
    <d v="1991-05-17T00:00:00"/>
    <n v="31"/>
    <s v="COLOMBIA"/>
    <s v="CAUCA"/>
    <s v="CAJIBÍO"/>
    <x v="0"/>
    <x v="6"/>
    <x v="0"/>
    <d v="2022-05-03T00:00:00"/>
    <s v="SI_"/>
    <x v="2"/>
    <n v="1"/>
    <s v="NO_"/>
    <m/>
    <m/>
    <n v="37"/>
    <n v="3835"/>
    <n v="47"/>
    <s v="NO_"/>
    <n v="6"/>
    <m/>
    <m/>
    <x v="1"/>
    <m/>
  </r>
  <r>
    <n v="1243860783"/>
    <x v="0"/>
    <d v="2022-06-07T00:00:00"/>
    <d v="2022-10-03T00:00:00"/>
    <e v="#REF!"/>
    <e v="#N/A"/>
    <s v="SAN JUAN A"/>
    <x v="0"/>
    <x v="3"/>
    <x v="3"/>
    <s v="RC"/>
    <s v="LYAN "/>
    <s v="JOEL "/>
    <s v="VARGAS "/>
    <s v="ANDRADE"/>
    <s v="LYAN  JOEL  VARGAS  ANDRADE"/>
    <d v="2021-12-01T00:00:00"/>
    <x v="3"/>
    <n v="0"/>
    <n v="25"/>
    <s v="1 AÑOS 0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2"/>
    <m/>
    <s v="DG 68 A SUR NUMERO 14 R - 35 TORRE 17-103"/>
    <n v="3202488462"/>
    <n v="3015830002"/>
    <x v="1"/>
    <s v="NO SE AUTORECONOCE EN NINGUNO DE LOS ANTERIORES"/>
    <x v="1"/>
    <x v="1"/>
    <s v="NO_"/>
    <s v="NO_"/>
    <s v="o. Ingresos iguales o inferiores a 1.5 Smlv"/>
    <m/>
    <s v="MADRE"/>
    <s v="CC"/>
    <n v="1018479128"/>
    <s v="CINDY"/>
    <s v="KATHERINE"/>
    <s v="ANDRADE"/>
    <s v="MORA"/>
    <d v="1995-08-28T00:00:00"/>
    <s v="COLOMBIA"/>
    <s v="BOGOTÁ"/>
    <s v="BOGOTÁ"/>
    <s v="CC"/>
    <n v="1022998517"/>
    <s v="CRISTHIAN"/>
    <s v="CAMILO"/>
    <s v="VARGAS"/>
    <s v="GONZALEZ"/>
    <d v="1994-09-19T00:00:00"/>
    <n v="28"/>
    <s v="COLOMBIA"/>
    <s v="BOGOTÁ"/>
    <s v="BOGOTÁ"/>
    <s v="CC"/>
    <n v="1018479128"/>
    <s v="CINDY"/>
    <s v="KATHERINE"/>
    <s v="ANDRADE"/>
    <s v="MORA"/>
    <d v="1995-08-28T00:00:00"/>
    <n v="27"/>
    <s v="COLOMBIA"/>
    <s v="BOGOTÁ"/>
    <s v="BOGOTÁ"/>
    <x v="0"/>
    <x v="9"/>
    <x v="0"/>
    <d v="2022-06-07T00:00:00"/>
    <m/>
    <x v="2"/>
    <n v="5"/>
    <s v="SI_"/>
    <m/>
    <m/>
    <n v="36"/>
    <n v="2900"/>
    <n v="49"/>
    <s v="SI_"/>
    <n v="6"/>
    <m/>
    <m/>
    <x v="1"/>
    <m/>
  </r>
  <r>
    <n v="1023989205"/>
    <x v="0"/>
    <d v="2022-05-10T00:00:00"/>
    <d v="2022-06-06T00:00:00"/>
    <e v="#REF!"/>
    <e v="#N/A"/>
    <m/>
    <x v="0"/>
    <x v="6"/>
    <x v="6"/>
    <s v="RC"/>
    <s v="ASLLY "/>
    <s v="MICHELL"/>
    <s v="GONZALEZ"/>
    <s v="RUBIO"/>
    <s v="ASLLY  MICHELL GONZALEZ RUBIO"/>
    <d v="2021-11-03T00:00:00"/>
    <x v="3"/>
    <n v="1"/>
    <n v="23"/>
    <s v="1 AÑOS 1 MESES 2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0"/>
    <m/>
    <s v="KR 14 F NO 93 C SUR 12"/>
    <n v="3107744748"/>
    <n v="3024886609"/>
    <x v="1"/>
    <s v="NO SE AUTORECONOCE EN NINGUNO DE LOS ANTERIORES"/>
    <x v="1"/>
    <x v="1"/>
    <s v="NO_"/>
    <s v="NO_"/>
    <s v="o. Ingresos iguales o inferiores a 1.5 Smlv"/>
    <m/>
    <s v="ABUELO(A)"/>
    <s v="CC"/>
    <n v="33480014"/>
    <s v="YAMILE"/>
    <m/>
    <m/>
    <s v="RUBIO"/>
    <s v="GARCIA"/>
    <s v="COLOMBIA"/>
    <s v="META"/>
    <s v="PUERTO LLERAS"/>
    <m/>
    <m/>
    <m/>
    <m/>
    <m/>
    <m/>
    <m/>
    <s v=""/>
    <m/>
    <m/>
    <m/>
    <s v="CC"/>
    <n v="1000775619"/>
    <s v="KAREN"/>
    <s v="ALEJANDRA"/>
    <s v="GONZALEZ"/>
    <s v="RUBIO"/>
    <d v="2001-09-02T00:00:00"/>
    <n v="21"/>
    <s v="COLOMBIA"/>
    <s v="BOGOTÁ"/>
    <s v="BOGOTÁ"/>
    <x v="1"/>
    <x v="5"/>
    <x v="0"/>
    <d v="2022-05-03T00:00:00"/>
    <s v="SI_"/>
    <x v="2"/>
    <n v="3"/>
    <s v="SI_"/>
    <m/>
    <m/>
    <n v="38"/>
    <n v="1990"/>
    <n v="44"/>
    <s v="NO_"/>
    <n v="6"/>
    <m/>
    <m/>
    <x v="1"/>
    <m/>
  </r>
  <r>
    <n v="1023043525"/>
    <x v="1"/>
    <d v="2022-05-17T00:00:00"/>
    <m/>
    <m/>
    <m/>
    <m/>
    <x v="0"/>
    <x v="1"/>
    <x v="1"/>
    <s v="RC"/>
    <s v="EMILY"/>
    <s v="DANIELA"/>
    <s v="RODRIGUEZ"/>
    <s v="VARGAS"/>
    <s v="EMILY DANIELA RODRIGUEZ VARGAS"/>
    <d v="2019-06-01T00:00:00"/>
    <x v="10"/>
    <n v="6"/>
    <n v="25"/>
    <s v="3 AÑOS 6 MESES 2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VEREDA LOS SOCHES"/>
    <n v="3246030883"/>
    <m/>
    <x v="0"/>
    <s v="NO SE AUTORECONOCE EN NINGUNO DE LOS ANTERIORES"/>
    <x v="1"/>
    <x v="1"/>
    <s v="NO_"/>
    <s v="NO_"/>
    <s v="o. Ingresos iguales o inferiores a 1.5 Smlv"/>
    <m/>
    <s v="MADRE"/>
    <s v="CC"/>
    <n v="1000691601"/>
    <s v="JEIMY"/>
    <s v="DANIELA"/>
    <s v="VARGAS"/>
    <s v="GONZALEZ"/>
    <d v="2001-04-08T00:00:00"/>
    <s v="COLOMBIA"/>
    <s v="BOGOTÁ"/>
    <s v="BOGOTÁ"/>
    <m/>
    <m/>
    <m/>
    <m/>
    <m/>
    <m/>
    <m/>
    <s v=""/>
    <m/>
    <m/>
    <m/>
    <s v="CC"/>
    <n v="1000691601"/>
    <s v="JEIMY"/>
    <s v="DANIELA"/>
    <s v="VARGAS"/>
    <s v="GONZALEZ"/>
    <d v="2001-04-08T00:00:00"/>
    <n v="21"/>
    <s v="COLOMBIA"/>
    <s v="BOGOTÁ"/>
    <s v="BOGOTÁ"/>
    <x v="0"/>
    <x v="6"/>
    <x v="0"/>
    <d v="2022-05-06T00:00:00"/>
    <s v="SI_"/>
    <x v="2"/>
    <d v="2022-04-18T00:00:00"/>
    <s v="NO_"/>
    <m/>
    <m/>
    <n v="39"/>
    <n v="3200"/>
    <n v="51"/>
    <s v="SI_"/>
    <n v="8"/>
    <m/>
    <m/>
    <x v="3"/>
    <m/>
  </r>
  <r>
    <n v="1023043597"/>
    <x v="0"/>
    <d v="2022-05-17T00:00:00"/>
    <d v="2022-08-01T00:00:00"/>
    <e v="#REF!"/>
    <e v="#N/A"/>
    <m/>
    <x v="0"/>
    <x v="1"/>
    <x v="1"/>
    <s v="RC"/>
    <s v="DERECK"/>
    <s v="JOELL"/>
    <s v="VARGAS"/>
    <s v="BONILLA"/>
    <s v="DERECK JOELL VARGAS BONILLA"/>
    <d v="2019-05-29T00:00:00"/>
    <x v="10"/>
    <n v="6"/>
    <n v="27"/>
    <s v="3 AÑOS 6 MESES 2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VEREDA LOS SOCHES"/>
    <n v="3246030883"/>
    <m/>
    <x v="0"/>
    <s v="NO SE AUTORECONOCE EN NINGUNO DE LOS ANTERIORES"/>
    <x v="1"/>
    <x v="1"/>
    <s v="NO_"/>
    <s v="NO_"/>
    <s v="o. Ingresos iguales o inferiores a 1.5 Smlv"/>
    <m/>
    <s v="PADRE"/>
    <s v="CC"/>
    <n v="1007105845"/>
    <s v="EDISON"/>
    <s v="ARMANDO"/>
    <s v="VARGAS"/>
    <s v="GONZALEZ"/>
    <d v="1998-08-21T00:00:00"/>
    <s v="COLOMBIA"/>
    <s v="BOGOTÁ"/>
    <s v="BOGOTÁ"/>
    <s v="CC"/>
    <n v="1007105845"/>
    <s v="EDISON"/>
    <s v="ARMANDO"/>
    <s v="VARGAS"/>
    <s v="GONZALEZ"/>
    <d v="1998-08-21T00:00:00"/>
    <n v="24"/>
    <s v="COLOMBIA"/>
    <s v="BOGOTÁ"/>
    <s v="BOGOTÁ"/>
    <m/>
    <m/>
    <m/>
    <m/>
    <m/>
    <m/>
    <m/>
    <s v=""/>
    <m/>
    <m/>
    <m/>
    <x v="0"/>
    <x v="6"/>
    <x v="0"/>
    <d v="2022-05-13T00:00:00"/>
    <s v="SI_"/>
    <x v="2"/>
    <d v="2022-04-18T00:00:00"/>
    <s v="NO_"/>
    <m/>
    <m/>
    <n v="39"/>
    <n v="2950"/>
    <n v="49"/>
    <s v="SI_"/>
    <n v="9"/>
    <m/>
    <m/>
    <x v="3"/>
    <m/>
  </r>
  <r>
    <n v="1016750794"/>
    <x v="1"/>
    <d v="2022-05-17T00:00:00"/>
    <m/>
    <m/>
    <m/>
    <m/>
    <x v="0"/>
    <x v="3"/>
    <x v="3"/>
    <s v="RC"/>
    <s v="LESLIE"/>
    <s v="ISEL"/>
    <s v="VALENCIA"/>
    <s v="ROBLEDO"/>
    <s v="LESLIE ISEL VALENCIA ROBLEDO"/>
    <d v="2020-11-02T00:00:00"/>
    <x v="2"/>
    <n v="1"/>
    <n v="24"/>
    <s v="2 AÑOS 1 MESES 2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n v="3134938014"/>
    <m/>
    <x v="0"/>
    <s v="NO SE AUTORECONOCE EN NINGUNO DE LOS ANTERIORES"/>
    <x v="1"/>
    <x v="1"/>
    <s v="NO_"/>
    <s v="NO_"/>
    <s v="o. Ingresos iguales o inferiores a 1.5 Smlv"/>
    <m/>
    <s v="MADRE"/>
    <s v="CC"/>
    <n v="1026577395"/>
    <s v="SANDRA"/>
    <s v="MILENA"/>
    <s v="ROBLEDO"/>
    <s v="PALACIOS"/>
    <d v="1993-11-11T00:00:00"/>
    <s v="COLOMBIA"/>
    <s v="ANTIOQUIA"/>
    <s v="MEDELLÍN"/>
    <s v="CC"/>
    <n v="1077433903"/>
    <s v="JUAN"/>
    <s v="EVANGELISTA"/>
    <s v="VALENCIA"/>
    <s v="COSSIO"/>
    <m/>
    <s v=""/>
    <s v="COLOMBIA"/>
    <s v="BOGOTÁ"/>
    <m/>
    <s v="CC"/>
    <n v="1026577395"/>
    <s v="SANDRA"/>
    <s v="MILENA"/>
    <s v="ROBLEDO"/>
    <s v="PALACIOS"/>
    <d v="1993-11-11T00:00:00"/>
    <n v="29"/>
    <s v="COLOMBIA"/>
    <s v="ANTIOQUIA"/>
    <s v="MEDELLÍN"/>
    <x v="1"/>
    <x v="2"/>
    <x v="0"/>
    <d v="2022-05-16T00:00:00"/>
    <s v="SI_"/>
    <x v="2"/>
    <n v="1"/>
    <s v="SI_"/>
    <s v="NO"/>
    <n v="31"/>
    <s v="36 SEMANAS"/>
    <n v="2420"/>
    <s v="47CM"/>
    <s v="SI_"/>
    <n v="6"/>
    <n v="18"/>
    <m/>
    <x v="1"/>
    <m/>
  </r>
  <r>
    <n v="1141371569"/>
    <x v="1"/>
    <d v="2022-05-17T00:00:00"/>
    <m/>
    <m/>
    <m/>
    <m/>
    <x v="0"/>
    <x v="4"/>
    <x v="4"/>
    <s v="RC"/>
    <s v="YALETSI"/>
    <m/>
    <s v="HERNANDEZ"/>
    <s v="CHIRINOS"/>
    <s v="YALETSI  HERNANDEZ CHIRINOS"/>
    <d v="2020-05-25T00:00:00"/>
    <x v="2"/>
    <n v="7"/>
    <n v="1"/>
    <s v="2 AÑOS 7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7"/>
    <m/>
    <s v="CL 101 A SUR 14 05 TO 5 APTO 206"/>
    <n v="3003355321"/>
    <m/>
    <x v="1"/>
    <s v="NO SE AUTORECONOCE EN NINGUNO DE LOS ANTERIORES"/>
    <x v="1"/>
    <x v="1"/>
    <s v="NO_"/>
    <s v="NO_"/>
    <s v="o. Ingresos iguales o inferiores a 1.5 Smlv"/>
    <m/>
    <s v="MADRE"/>
    <s v="SIN DOCUMENTO"/>
    <s v="B2471823560E418180461403B5AEA2622987"/>
    <s v="MAGLY"/>
    <s v="LUISANA"/>
    <s v="CHIRINOS"/>
    <s v="PEREZ"/>
    <d v="1993-02-14T00:00:00"/>
    <s v="VENEZUELA"/>
    <s v="EXTERIOR"/>
    <s v="EXTERIOR"/>
    <s v="CC"/>
    <n v="1232590409"/>
    <s v="ERNESTO"/>
    <s v="JOSE"/>
    <s v="HERNANDEZ"/>
    <s v="PEÑA"/>
    <d v="1993-04-19T00:00:00"/>
    <n v="29"/>
    <s v="VENEZUELA"/>
    <s v="EXTERIOR"/>
    <s v="EXTERIOR"/>
    <s v="SIN DOCUMENTO"/>
    <s v="DAF8620A7F554569AE3B4B529D56796059863"/>
    <s v="MAGLY"/>
    <s v="LUISANA"/>
    <s v="CHIRINOS"/>
    <s v="PEREZ"/>
    <d v="1993-02-14T00:00:00"/>
    <n v="29"/>
    <s v="VENEZUELA"/>
    <s v="EXTERIOR"/>
    <s v="EXTERIOR"/>
    <x v="0"/>
    <x v="6"/>
    <x v="0"/>
    <d v="2021-02-25T00:00:00"/>
    <s v="SI_"/>
    <x v="2"/>
    <n v="1"/>
    <s v="NO_"/>
    <m/>
    <m/>
    <s v="38.3"/>
    <s v="2.57"/>
    <n v="49"/>
    <m/>
    <m/>
    <m/>
    <m/>
    <x v="1"/>
    <m/>
  </r>
  <r>
    <n v="1033825232"/>
    <x v="1"/>
    <d v="2022-05-17T00:00:00"/>
    <m/>
    <m/>
    <m/>
    <m/>
    <x v="0"/>
    <x v="5"/>
    <x v="5"/>
    <s v="RC"/>
    <s v="EVAN "/>
    <s v="JOSE"/>
    <s v="RUANO "/>
    <s v="OBREGON"/>
    <s v="EVAN  JOSE RUANO  OBREGON"/>
    <d v="2018-12-13T00:00:00"/>
    <x v="8"/>
    <n v="0"/>
    <n v="13"/>
    <s v="4 AÑOS 0 MESES 1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n v="3504155449"/>
    <m/>
    <x v="0"/>
    <s v="NO SE AUTORECONOCE EN NINGUNO DE LOS ANTERIORES"/>
    <x v="1"/>
    <x v="1"/>
    <s v="NO_"/>
    <s v="SI_"/>
    <s v="o. Ingresos iguales o inferiores a 1.5 Smlv"/>
    <m/>
    <s v="MADRE"/>
    <s v="CC"/>
    <n v="1094321616"/>
    <s v="WENDY"/>
    <s v="MAGRETH"/>
    <s v="OBREGON"/>
    <s v="AMAYA"/>
    <d v="1989-11-13T00:00:00"/>
    <s v="COLOMBIA"/>
    <s v="NORTE_DE_SANTANDER"/>
    <s v="SAN CALIXTO"/>
    <m/>
    <m/>
    <m/>
    <m/>
    <m/>
    <m/>
    <m/>
    <s v=""/>
    <m/>
    <m/>
    <m/>
    <s v="CC"/>
    <n v="1094321616"/>
    <s v="WENDY"/>
    <s v="MAGRETH"/>
    <s v="13/NO"/>
    <s v="AMAYA"/>
    <d v="1989-11-13T00:00:00"/>
    <n v="33"/>
    <s v="COLOMBIA"/>
    <s v="NORTE_DE_SANTANDER"/>
    <s v="SAN CALIXTO"/>
    <x v="2"/>
    <x v="11"/>
    <x v="0"/>
    <d v="2022-05-17T00:00:00"/>
    <s v="SI_"/>
    <x v="0"/>
    <m/>
    <s v="SI_"/>
    <m/>
    <m/>
    <n v="27"/>
    <s v="910GR"/>
    <n v="28"/>
    <m/>
    <m/>
    <m/>
    <m/>
    <x v="3"/>
    <m/>
  </r>
  <r>
    <n v="1031188048"/>
    <x v="0"/>
    <d v="2022-05-24T00:00:00"/>
    <d v="2022-10-03T00:00:00"/>
    <e v="#REF!"/>
    <e v="#N/A"/>
    <s v="TRIANGULO"/>
    <x v="0"/>
    <x v="3"/>
    <x v="3"/>
    <s v="RC"/>
    <s v="ARON"/>
    <s v="DAVID"/>
    <s v="DIAZ"/>
    <s v="MARMOLEJO"/>
    <s v="ARON DAVID DIAZ MARMOLEJO"/>
    <d v="2021-07-17T00:00:00"/>
    <x v="3"/>
    <n v="5"/>
    <n v="9"/>
    <s v="1 AÑOS 5 MESES 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CALLE 97 D  #5 A ESTE 18 ESTE"/>
    <n v="3023389185"/>
    <m/>
    <x v="0"/>
    <s v="NO SE AUTORECONOCE EN NINGUNO DE LOS ANTERIORES"/>
    <x v="1"/>
    <x v="1"/>
    <s v="NO_"/>
    <s v="NO_"/>
    <s v="o. Ingresos iguales o inferiores a 1.5 Smlv"/>
    <m/>
    <s v="ABUELO(A)"/>
    <s v="CC"/>
    <n v="35117582"/>
    <s v="ROSA"/>
    <s v="MARIA"/>
    <s v="ARROYO"/>
    <s v="ZURITA"/>
    <d v="1977-09-14T00:00:00"/>
    <s v="COLOMBIA"/>
    <s v="ANTIOQUIA"/>
    <m/>
    <s v="CC"/>
    <n v="1002085502"/>
    <s v="KEVIN"/>
    <s v="ANTIQUIA"/>
    <s v="DIAZ"/>
    <s v="ARROYO"/>
    <d v="2001-06-22T00:00:00"/>
    <n v="21"/>
    <s v="COLOMBIA"/>
    <s v="ANTIOQUIA"/>
    <s v="TARAZÁ"/>
    <s v="CC"/>
    <n v="1071430762"/>
    <s v="MARIA"/>
    <s v="ALEJANDRA"/>
    <s v="MARMOLEJO"/>
    <s v="SERRANO"/>
    <d v="2005-08-30T00:00:00"/>
    <n v="17"/>
    <s v="COLOMBIA"/>
    <s v="CÓRDOBA"/>
    <s v="TIERRALTA"/>
    <x v="0"/>
    <x v="3"/>
    <x v="0"/>
    <m/>
    <m/>
    <x v="0"/>
    <m/>
    <s v="NO_"/>
    <m/>
    <m/>
    <n v="37"/>
    <n v="2530"/>
    <m/>
    <m/>
    <n v="4"/>
    <n v="4"/>
    <n v="36"/>
    <x v="1"/>
    <m/>
  </r>
  <r>
    <n v="1243860817"/>
    <x v="1"/>
    <d v="2022-05-24T00:00:00"/>
    <m/>
    <m/>
    <m/>
    <m/>
    <x v="0"/>
    <x v="4"/>
    <x v="4"/>
    <s v="RC"/>
    <s v="MELANI"/>
    <s v="SOFIA"/>
    <s v="TIRADO "/>
    <s v="VALENCIA"/>
    <s v="MELANI SOFIA TIRADO  VALENCIA"/>
    <d v="2021-12-06T00:00:00"/>
    <x v="3"/>
    <n v="0"/>
    <n v="20"/>
    <s v="1 AÑOS 0 MESES 2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ASENTAMIENTO"/>
    <n v="3138235103"/>
    <m/>
    <x v="0"/>
    <s v="NO SE AUTORECONOCE EN NINGUNO DE LOS ANTERIORES"/>
    <x v="0"/>
    <x v="6"/>
    <s v="NO_"/>
    <s v="NO_"/>
    <s v="a. Pertenecientes a hogares con puntaje SISBEN"/>
    <m/>
    <s v="MADRE"/>
    <s v="CC"/>
    <n v="1022959673"/>
    <s v="MARIA"/>
    <s v="MAGDALENA"/>
    <s v="VALENCIA"/>
    <s v="RODRIGUEZ"/>
    <d v="1990-03-20T00:00:00"/>
    <s v="COLOMBIA"/>
    <s v="BOGOTÁ"/>
    <s v="BOGOTÁ"/>
    <m/>
    <m/>
    <m/>
    <m/>
    <m/>
    <m/>
    <m/>
    <s v=""/>
    <m/>
    <m/>
    <m/>
    <s v="CC"/>
    <n v="1022959673"/>
    <s v="MARIA"/>
    <s v="MAGADALENA"/>
    <s v="VALENCIA"/>
    <s v="RODRIGUEZ"/>
    <d v="1990-03-20T00:00:00"/>
    <n v="32"/>
    <s v="COLOMBIA"/>
    <s v="BOGOTÁ"/>
    <s v="BOGOTÁ"/>
    <x v="1"/>
    <x v="1"/>
    <x v="0"/>
    <m/>
    <s v="SI_"/>
    <x v="2"/>
    <n v="3"/>
    <s v="SI_"/>
    <m/>
    <m/>
    <n v="37"/>
    <n v="2480"/>
    <n v="47"/>
    <m/>
    <n v="5"/>
    <n v="5"/>
    <m/>
    <x v="1"/>
    <m/>
  </r>
  <r>
    <n v="1243859489"/>
    <x v="1"/>
    <d v="2022-07-26T00:00:00"/>
    <m/>
    <m/>
    <m/>
    <m/>
    <x v="0"/>
    <x v="1"/>
    <x v="1"/>
    <s v="RC"/>
    <s v="ANGEL "/>
    <s v="DAVID "/>
    <s v="BRIÑEZ"/>
    <s v="DIAZ"/>
    <s v="ANGEL  DAVID  BRIÑEZ DIAZ"/>
    <d v="2020-09-21T00:00:00"/>
    <x v="2"/>
    <n v="3"/>
    <n v="5"/>
    <s v="2 AÑOS 3 MESES 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s v="USME"/>
    <s v="ZONA DE ASENTAMIENTO SIN LEGALIZAR "/>
    <n v="3122071254"/>
    <m/>
    <x v="0"/>
    <s v="NO SE AUTORECONOCE EN NINGUNO DE LOS ANTERIORES"/>
    <x v="0"/>
    <x v="6"/>
    <s v="NO_"/>
    <s v="NO_"/>
    <s v="o. Ingresos iguales o inferiores a 1.5 Smlv"/>
    <m/>
    <s v="MADRE"/>
    <s v="TI"/>
    <n v="1020722182"/>
    <s v="MARIA"/>
    <s v="ALEJANDRA "/>
    <s v="DIAZ "/>
    <s v="CARPIO"/>
    <d v="2005-01-19T00:00:00"/>
    <s v="COLOMBIA"/>
    <s v="BOGOTÁ"/>
    <s v="BOGOTÁ"/>
    <s v="CC"/>
    <n v="1005179380"/>
    <s v="JOR"/>
    <s v="HAGGY"/>
    <s v="BRIÑEZ"/>
    <s v="CASTRO"/>
    <d v="1994-05-04T00:00:00"/>
    <n v="28"/>
    <s v="COLOMBIA"/>
    <s v="SANTANDER"/>
    <s v="BARRANCABERMEJA"/>
    <s v="TI"/>
    <n v="1020722182"/>
    <s v="MARIA"/>
    <s v="ALEJANDRA "/>
    <s v="DIAZ "/>
    <s v="CARPIO"/>
    <d v="2005-01-19T00:00:00"/>
    <n v="17"/>
    <s v="COLOMBIA"/>
    <s v="BOGOTÁ"/>
    <s v="BOGOTÁ"/>
    <x v="0"/>
    <x v="5"/>
    <x v="0"/>
    <d v="2022-07-25T00:00:00"/>
    <s v="SI_"/>
    <x v="2"/>
    <n v="1"/>
    <s v="NO_"/>
    <m/>
    <m/>
    <n v="39"/>
    <n v="2510"/>
    <m/>
    <s v="SI_"/>
    <n v="6"/>
    <m/>
    <m/>
    <x v="1"/>
    <m/>
  </r>
  <r>
    <n v="1063313739"/>
    <x v="0"/>
    <d v="2022-05-24T00:00:00"/>
    <d v="2022-07-25T00:00:00"/>
    <e v="#REF!"/>
    <e v="#N/A"/>
    <m/>
    <x v="0"/>
    <x v="1"/>
    <x v="1"/>
    <s v="RC"/>
    <s v="IAN"/>
    <s v="GAEL"/>
    <s v="BUELVAS"/>
    <s v="RESTREPO"/>
    <s v="IAN GAEL BUELVAS RESTREPO"/>
    <d v="2021-05-18T00:00:00"/>
    <x v="3"/>
    <n v="7"/>
    <n v="8"/>
    <s v="1 AÑOS 7 MESES 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R 5 ESTE 106 A SUR 16 CA"/>
    <n v="3223779531"/>
    <m/>
    <x v="0"/>
    <s v="NO SE AUTORECONOCE EN NINGUNO DE LOS ANTERIORES"/>
    <x v="0"/>
    <x v="4"/>
    <s v="NO_"/>
    <s v="NO_"/>
    <s v="o. Ingresos iguales o inferiores a 1.5 Smlv"/>
    <m/>
    <s v="MADRE"/>
    <s v="CC"/>
    <n v="1063293386"/>
    <s v="MELISSA"/>
    <m/>
    <s v="BUELVAS"/>
    <s v="RESTREPO"/>
    <d v="1993-01-03T00:00:00"/>
    <s v="COLOMBIA"/>
    <s v="CÓRDOBA"/>
    <s v="MONTELÍBANO"/>
    <m/>
    <m/>
    <m/>
    <m/>
    <m/>
    <m/>
    <m/>
    <s v=""/>
    <m/>
    <m/>
    <m/>
    <s v="CC"/>
    <n v="1063293386"/>
    <s v="MELISSA"/>
    <m/>
    <s v="BUELVAS"/>
    <s v="RESTREPO"/>
    <d v="1993-01-03T00:00:00"/>
    <n v="29"/>
    <s v="COLOMBIA"/>
    <s v="CÓRDOBA"/>
    <s v="MONTELÍBANO"/>
    <x v="1"/>
    <x v="2"/>
    <x v="0"/>
    <d v="2022-05-20T00:00:00"/>
    <s v="SI_"/>
    <x v="2"/>
    <n v="1"/>
    <s v="NO_"/>
    <m/>
    <m/>
    <n v="40"/>
    <n v="3290"/>
    <n v="51"/>
    <s v="SI_"/>
    <n v="6"/>
    <m/>
    <m/>
    <x v="1"/>
    <m/>
  </r>
  <r>
    <n v="1010849316"/>
    <x v="1"/>
    <d v="2022-07-12T00:00:00"/>
    <m/>
    <m/>
    <m/>
    <s v="TRIANGULO"/>
    <x v="0"/>
    <x v="1"/>
    <x v="1"/>
    <s v="RC"/>
    <s v="EIMMY"/>
    <s v="SALOME"/>
    <s v="FERNANDEZ "/>
    <s v="VILLAMIL"/>
    <s v="EIMMY SALOME FERNANDEZ  VILLAMIL"/>
    <d v="2020-08-19T00:00:00"/>
    <x v="2"/>
    <n v="4"/>
    <n v="7"/>
    <s v="2 AÑOS 4 MESES 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"/>
    <s v="USME"/>
    <s v="DG 97B  SUR 5 I ESTE 57 01"/>
    <n v="3134718980"/>
    <m/>
    <x v="0"/>
    <s v="NO SE AUTORECONOCE EN NINGUNO DE LOS ANTERIORES"/>
    <x v="0"/>
    <x v="0"/>
    <s v="NO_"/>
    <s v="NO_"/>
    <s v="o. Ingresos iguales o inferiores a 1.5 Smlv"/>
    <s v="NO_"/>
    <s v="ABUELO(A)"/>
    <s v="CC"/>
    <n v="52391899"/>
    <s v="CLAUDIA "/>
    <s v="LUCIA "/>
    <s v="LLANOS "/>
    <s v="PASOS"/>
    <d v="1996-09-19T00:00:00"/>
    <s v="COLOMBIA"/>
    <s v="HUILA"/>
    <s v="LA ARGENTINA"/>
    <m/>
    <m/>
    <m/>
    <m/>
    <m/>
    <m/>
    <m/>
    <s v=""/>
    <m/>
    <m/>
    <m/>
    <s v="CC"/>
    <n v="1023019256"/>
    <s v="LINA "/>
    <s v="PAOLA"/>
    <s v="VILLAMIL "/>
    <s v="LLANOS"/>
    <d v="1997-02-02T00:00:00"/>
    <n v="25"/>
    <s v="COLOMBIA"/>
    <s v="BOGOTÁ"/>
    <s v="BOGOTÁ"/>
    <x v="0"/>
    <x v="6"/>
    <x v="0"/>
    <d v="2022-07-11T00:00:00"/>
    <s v="SI_"/>
    <x v="2"/>
    <n v="1"/>
    <s v="NO_"/>
    <m/>
    <m/>
    <n v="39"/>
    <n v="3250"/>
    <n v="47"/>
    <s v="SI_"/>
    <n v="6"/>
    <m/>
    <m/>
    <x v="1"/>
    <m/>
  </r>
  <r>
    <n v="1023045442"/>
    <x v="0"/>
    <d v="2022-05-24T00:00:00"/>
    <d v="2022-07-11T00:00:00"/>
    <e v="#REF!"/>
    <e v="#N/A"/>
    <m/>
    <x v="0"/>
    <x v="1"/>
    <x v="1"/>
    <s v="RC"/>
    <s v="DYLAN"/>
    <s v="SANTIAGO"/>
    <s v="GALINDO"/>
    <s v="JIMENEZ"/>
    <s v="DYLAN SANTIAGO GALINDO JIMENEZ"/>
    <d v="2020-09-03T00:00:00"/>
    <x v="2"/>
    <n v="3"/>
    <n v="23"/>
    <s v="2 AÑOS 3 MESES 2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ALLE 97D SUR 6 ESTE 22"/>
    <n v="3222189011"/>
    <m/>
    <x v="0"/>
    <s v="NO SE AUTORECONOCE EN NINGUNO DE LOS ANTERIORES"/>
    <x v="1"/>
    <x v="1"/>
    <s v="NO_"/>
    <s v="NO_"/>
    <s v="o. Ingresos iguales o inferiores a 1.5 Smlv"/>
    <m/>
    <s v="MADRE"/>
    <s v="CC"/>
    <n v="1023012250"/>
    <s v="MARIA"/>
    <s v="LORENA"/>
    <s v="JIMENEZ"/>
    <s v="CLAVIJO"/>
    <d v="1996-03-29T00:00:00"/>
    <s v="COLOMBIA"/>
    <s v="CÓRDOBA"/>
    <s v="MONTELÍBANO"/>
    <s v="CC"/>
    <n v="1022967562"/>
    <s v="MANUEL"/>
    <s v="ANTONIO"/>
    <s v="GALINDO"/>
    <s v="SALINAS"/>
    <d v="1991-03-24T00:00:00"/>
    <n v="31"/>
    <s v="COLOMBIA"/>
    <s v="BOGOTÁ"/>
    <s v="BOGOTÁ"/>
    <s v="CC"/>
    <n v="1023012250"/>
    <s v="MARIA"/>
    <s v="LORENA"/>
    <s v="JIMENEZ"/>
    <s v="CLAVIJO"/>
    <d v="1996-03-29T00:00:00"/>
    <n v="26"/>
    <s v="COLOMBIA"/>
    <s v="BOGOTÁ"/>
    <s v="BOGOTÁ"/>
    <x v="0"/>
    <x v="1"/>
    <x v="0"/>
    <d v="2022-05-20T00:00:00"/>
    <s v="SI_"/>
    <x v="2"/>
    <n v="1"/>
    <s v="NO_"/>
    <m/>
    <m/>
    <n v="39"/>
    <n v="2950"/>
    <n v="49"/>
    <s v="SI_"/>
    <n v="6"/>
    <m/>
    <m/>
    <x v="1"/>
    <m/>
  </r>
  <r>
    <n v="1023046500"/>
    <x v="1"/>
    <d v="2022-05-24T00:00:00"/>
    <m/>
    <m/>
    <m/>
    <m/>
    <x v="0"/>
    <x v="1"/>
    <x v="1"/>
    <s v="RC"/>
    <s v="MARIANA"/>
    <s v="ISABELLA"/>
    <s v="MORENO"/>
    <s v="VARGAS"/>
    <s v="MARIANA ISABELLA MORENO VARGAS"/>
    <d v="2021-03-25T00:00:00"/>
    <x v="3"/>
    <n v="9"/>
    <n v="1"/>
    <s v="1 AÑOS 9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1"/>
    <m/>
    <s v="CALLE 87 BIS SUR # 2 PISO 2"/>
    <n v="3133379302"/>
    <m/>
    <x v="0"/>
    <s v="NO SE AUTORECONOCE EN NINGUNO DE LOS ANTERIORES"/>
    <x v="0"/>
    <x v="20"/>
    <s v="NO_"/>
    <s v="NO_"/>
    <s v="o. Ingresos iguales o inferiores a 1.5 Smlv"/>
    <m/>
    <s v="MADRE"/>
    <s v="CC"/>
    <n v="1051472948"/>
    <s v="LORENA"/>
    <s v="PATRICIA"/>
    <s v="VARGAS"/>
    <s v="MONTAÑA"/>
    <d v="2004-01-09T00:00:00"/>
    <s v="COLOMBIA"/>
    <s v="BOGOTÁ"/>
    <s v="BOGOTÁ"/>
    <s v="CC"/>
    <n v="1007751247"/>
    <s v="NELSON"/>
    <m/>
    <s v="MORENO"/>
    <s v="PEREZ"/>
    <d v="2000-09-20T00:00:00"/>
    <n v="22"/>
    <s v="COLOMBIA"/>
    <s v="BOYACÁ"/>
    <s v="SOGAMOSO"/>
    <s v="CC"/>
    <n v="1051472948"/>
    <s v="LORENA"/>
    <s v="PATRICIA"/>
    <s v="VARGAS"/>
    <s v="MONTAÑA"/>
    <d v="2004-01-09T00:00:00"/>
    <n v="18"/>
    <s v="COLOMBIA"/>
    <s v="BOGOTÁ"/>
    <s v="BOGOTÁ"/>
    <x v="0"/>
    <x v="2"/>
    <x v="0"/>
    <d v="2022-05-20T00:00:00"/>
    <s v="SI_"/>
    <x v="2"/>
    <n v="2"/>
    <s v="NO_"/>
    <m/>
    <m/>
    <n v="39"/>
    <n v="3140"/>
    <n v="50"/>
    <s v="SI_"/>
    <n v="8"/>
    <m/>
    <m/>
    <x v="1"/>
    <m/>
  </r>
  <r>
    <n v="1026602766"/>
    <x v="0"/>
    <d v="2022-05-24T00:00:00"/>
    <d v="2022-10-03T00:00:00"/>
    <e v="#REF!"/>
    <e v="#N/A"/>
    <s v="USME PUEBLO"/>
    <x v="0"/>
    <x v="5"/>
    <x v="5"/>
    <s v="RC"/>
    <s v="SHANNON"/>
    <s v="NIYIRETH"/>
    <s v="GUTIERREZ"/>
    <s v="PORTELA"/>
    <s v="SHANNON NIYIRETH GUTIERREZ PORTELA"/>
    <d v="2020-10-28T00:00:00"/>
    <x v="2"/>
    <n v="1"/>
    <n v="28"/>
    <s v="2 AÑOS 1 MESES 2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KR 14 C # 133 SUR 80"/>
    <n v="3134242164"/>
    <m/>
    <x v="0"/>
    <s v="NO SE AUTORECONOCE EN NINGUNO DE LOS ANTERIORES"/>
    <x v="2"/>
    <x v="1"/>
    <s v="NO_"/>
    <s v="NO_"/>
    <m/>
    <s v="NO_"/>
    <s v="MADRE"/>
    <s v="CC"/>
    <n v="1032365060"/>
    <s v="LEIDY"/>
    <s v="JOHANNA"/>
    <s v="PORTELA"/>
    <s v="ACEVEDO"/>
    <d v="1986-02-21T00:00:00"/>
    <s v="COLOMBIA"/>
    <s v="BOGOTÁ"/>
    <s v="BOGOTÁ"/>
    <m/>
    <m/>
    <m/>
    <m/>
    <m/>
    <m/>
    <m/>
    <s v=""/>
    <m/>
    <m/>
    <m/>
    <s v="CC"/>
    <n v="1032365060"/>
    <s v="LEIDY"/>
    <s v="JOHANNA"/>
    <s v="PORTELA"/>
    <s v="ACEVEDO"/>
    <d v="1986-02-21T00:00:00"/>
    <n v="36"/>
    <s v="COLOMBIA"/>
    <s v="BOGOTÁ"/>
    <s v="BOGOTÁ"/>
    <x v="0"/>
    <x v="5"/>
    <x v="0"/>
    <d v="2022-05-23T00:00:00"/>
    <s v="SI_"/>
    <x v="1"/>
    <n v="0"/>
    <m/>
    <m/>
    <m/>
    <m/>
    <n v="2400"/>
    <n v="46"/>
    <m/>
    <n v="6"/>
    <n v="7"/>
    <m/>
    <x v="1"/>
    <m/>
  </r>
  <r>
    <n v="1023047429"/>
    <x v="0"/>
    <d v="2022-06-28T00:00:00"/>
    <d v="2022-07-05T00:00:00"/>
    <e v="#REF!"/>
    <e v="#N/A"/>
    <s v="CAMBIO DE UNIDAD "/>
    <x v="0"/>
    <x v="3"/>
    <x v="3"/>
    <s v="RC"/>
    <s v="HELEN"/>
    <s v="DARIANA"/>
    <s v="GOMEZ"/>
    <s v="OROZCO"/>
    <s v="HELEN DARIANA GOMEZ OROZCO"/>
    <d v="2021-10-17T00:00:00"/>
    <x v="3"/>
    <n v="2"/>
    <n v="9"/>
    <s v="1 AÑOS 2 MESES 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CRA 7D ESTE # 97BSUR-25"/>
    <n v="3025240237"/>
    <n v="3053210673"/>
    <x v="0"/>
    <s v="NO SE AUTORECONOCE EN NINGUNO DE LOS ANTERIORES"/>
    <x v="0"/>
    <x v="8"/>
    <s v="NO_"/>
    <s v="NO_"/>
    <s v="o. Ingresos iguales o inferiores a 1.5 Smlv"/>
    <m/>
    <s v="MADRE"/>
    <s v="CC"/>
    <n v="1006026756"/>
    <s v="SHAIRA"/>
    <s v="MARCELA "/>
    <s v="OROZCO"/>
    <s v="CAMPOS "/>
    <m/>
    <s v="COLOMBIA"/>
    <s v="BOGOTÁ"/>
    <s v="BOGOTÁ"/>
    <m/>
    <n v="1010051018"/>
    <s v="ESTEBAN"/>
    <s v="GUILLERMO"/>
    <s v="GOMEZ"/>
    <s v="OCAMPO"/>
    <m/>
    <s v=""/>
    <s v="COLOMBIA"/>
    <s v="BOGOTÁ"/>
    <s v="BOGOTÁ"/>
    <s v="CC"/>
    <n v="1006026756"/>
    <s v="SHAIRA"/>
    <s v="MARCELA "/>
    <s v="OROZCO"/>
    <s v="CAMPOS "/>
    <d v="2001-06-01T00:00:00"/>
    <n v="21"/>
    <s v="COLOMBIA"/>
    <s v="BOGOTÁ"/>
    <s v="BOGOTÁ"/>
    <x v="0"/>
    <x v="2"/>
    <x v="0"/>
    <d v="2022-05-24T00:00:00"/>
    <s v="SI_"/>
    <x v="2"/>
    <n v="5"/>
    <s v="NO_"/>
    <s v="NO"/>
    <m/>
    <n v="40"/>
    <n v="2830"/>
    <n v="50"/>
    <m/>
    <m/>
    <m/>
    <m/>
    <x v="1"/>
    <m/>
  </r>
  <r>
    <n v="1028959151"/>
    <x v="0"/>
    <d v="2022-05-24T00:00:00"/>
    <d v="2022-06-28T00:00:00"/>
    <e v="#REF!"/>
    <e v="#N/A"/>
    <m/>
    <x v="0"/>
    <x v="3"/>
    <x v="3"/>
    <s v="RC"/>
    <s v="JENNIFER"/>
    <s v="SARITA"/>
    <s v="QUINTANA"/>
    <s v="MAESTRE"/>
    <s v="JENNIFER SARITA QUINTANA MAESTRE"/>
    <d v="2021-10-05T00:00:00"/>
    <x v="3"/>
    <n v="2"/>
    <n v="21"/>
    <s v="1 AÑOS 2 MESES 2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2"/>
    <m/>
    <s v="ZONA DE ACENTAMIENTO"/>
    <n v="3229167377"/>
    <n v="3227528230"/>
    <x v="0"/>
    <s v="NO SE AUTORECONOCE EN NINGUNO DE LOS ANTERIORES"/>
    <x v="1"/>
    <x v="1"/>
    <s v="NO_"/>
    <s v="NO_"/>
    <s v="o. Ingresos iguales o inferiores a 1.5 Smlv"/>
    <m/>
    <s v="MADRE"/>
    <s v="CC"/>
    <n v="1006576164"/>
    <s v="YEIMY"/>
    <s v="SHARITH"/>
    <s v="MAESTRE"/>
    <s v="GONZALEZ"/>
    <d v="2002-02-07T00:00:00"/>
    <s v="COLOMBIA"/>
    <s v="LA_GUAJIRA"/>
    <s v="RIOHACHA"/>
    <m/>
    <m/>
    <m/>
    <m/>
    <m/>
    <m/>
    <m/>
    <s v=""/>
    <m/>
    <m/>
    <m/>
    <s v="CC"/>
    <n v="1006576164"/>
    <s v="YEIMY"/>
    <s v="SHARITH"/>
    <s v="MAESTRE"/>
    <s v="GONZALEZ"/>
    <d v="2002-02-07T00:00:00"/>
    <n v="20"/>
    <s v="COLOMBIA"/>
    <s v="LA_GUAJIRA"/>
    <s v="RIOHACHA"/>
    <x v="1"/>
    <x v="6"/>
    <x v="1"/>
    <m/>
    <s v="NO_"/>
    <x v="1"/>
    <m/>
    <s v="NO_"/>
    <s v="NO"/>
    <m/>
    <n v="39"/>
    <m/>
    <m/>
    <m/>
    <m/>
    <m/>
    <m/>
    <x v="1"/>
    <m/>
  </r>
  <r>
    <n v="1071551363"/>
    <x v="1"/>
    <d v="2022-06-01T00:00:00"/>
    <m/>
    <m/>
    <m/>
    <m/>
    <x v="0"/>
    <x v="1"/>
    <x v="1"/>
    <s v="RC"/>
    <s v="LIAM"/>
    <s v="YOSSEF"/>
    <s v="BOBADILLA"/>
    <s v="MACIAS"/>
    <s v="LIAM YOSSEF BOBADILLA MACIAS"/>
    <d v="2020-03-09T00:00:00"/>
    <x v="2"/>
    <n v="9"/>
    <n v="17"/>
    <s v="2 AÑOS 9 MESES 1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s v="USME"/>
    <s v="VEREDA LOS SOCHES"/>
    <n v="3008526252"/>
    <s v="3|192220410"/>
    <x v="0"/>
    <s v="NO SE AUTORECONOCE EN NINGUNO DE LOS ANTERIORES"/>
    <x v="0"/>
    <x v="17"/>
    <s v="NO_"/>
    <s v="NO_"/>
    <m/>
    <m/>
    <s v="MADRE"/>
    <s v="CC"/>
    <n v="1071549575"/>
    <s v="VIVIANA "/>
    <s v="YINETH"/>
    <s v="MACIAS"/>
    <s v="GARCIA"/>
    <d v="1991-02-23T00:00:00"/>
    <s v="COLOMBIA"/>
    <s v="CUNDINAMARCA"/>
    <s v="ARBELÁEZ"/>
    <m/>
    <m/>
    <m/>
    <m/>
    <m/>
    <m/>
    <m/>
    <s v=""/>
    <m/>
    <m/>
    <m/>
    <s v="CC"/>
    <n v="1071549575"/>
    <s v="VIVIANA "/>
    <s v="YINETH"/>
    <s v="MACIAS"/>
    <s v="GARCIA"/>
    <d v="1991-02-23T00:00:00"/>
    <n v="31"/>
    <s v="COLOMBIA"/>
    <s v="CUNDINAMARCA"/>
    <s v="ARBELÁEZ"/>
    <x v="0"/>
    <x v="6"/>
    <x v="0"/>
    <d v="2022-05-27T00:00:00"/>
    <s v="SI_"/>
    <x v="2"/>
    <d v="2022-05-27T00:00:00"/>
    <s v="NO_"/>
    <m/>
    <m/>
    <n v="39"/>
    <n v="2895"/>
    <n v="48"/>
    <s v="SI_"/>
    <n v="6"/>
    <m/>
    <m/>
    <x v="1"/>
    <m/>
  </r>
  <r>
    <n v="1157968975"/>
    <x v="1"/>
    <d v="2022-11-04T00:00:00"/>
    <m/>
    <m/>
    <m/>
    <m/>
    <x v="0"/>
    <x v="7"/>
    <x v="7"/>
    <s v="RC"/>
    <s v="LYAM "/>
    <s v="FABIAN "/>
    <s v="GALINDEZ"/>
    <s v="ALVAREZ"/>
    <s v="LYAM  FABIAN  GALINDEZ ALVAREZ"/>
    <d v="2021-10-03T00:00:00"/>
    <x v="3"/>
    <n v="2"/>
    <n v="23"/>
    <s v="1 AÑOS 2 MESES 23 DIAS "/>
    <x v="2"/>
    <x v="1"/>
    <x v="0"/>
    <s v="ARAUCA"/>
    <s v="SAVANERA 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63"/>
    <m/>
    <s v="CALLE 89SUR#13BESTE-O5"/>
    <n v="3236421236"/>
    <m/>
    <x v="0"/>
    <s v="NO SE AUTORECONOCE EN NINGUNO DE LOS ANTERIORES"/>
    <x v="1"/>
    <x v="1"/>
    <s v="NO_"/>
    <s v="NO_"/>
    <s v="o. Ingresos iguales o inferiores a 1.5 Smlv"/>
    <m/>
    <s v="MADRE"/>
    <s v="SD"/>
    <m/>
    <s v="ANA "/>
    <s v="KARINA"/>
    <s v="ALVAREZ"/>
    <s v="SEIJAS"/>
    <d v="1992-11-23T00:00:00"/>
    <s v="VENEZUELA"/>
    <m/>
    <m/>
    <s v="SIN DOCUMENTO"/>
    <m/>
    <s v="ANGEL "/>
    <s v="ALCIDEZ"/>
    <s v="GALINDEZ"/>
    <s v="PINEDA "/>
    <d v="1983-07-08T00:00:00"/>
    <n v="39"/>
    <s v="VENEZUELA "/>
    <m/>
    <m/>
    <s v="SD"/>
    <m/>
    <s v="ANA "/>
    <s v="KARINA"/>
    <s v="ALVAREZ"/>
    <s v="SEIJAS"/>
    <d v="1992-11-23T00:00:00"/>
    <n v="30"/>
    <s v="VENEZUELA"/>
    <m/>
    <m/>
    <x v="1"/>
    <x v="2"/>
    <x v="0"/>
    <d v="2022-11-04T00:00:00"/>
    <s v="SI_"/>
    <x v="2"/>
    <d v="1899-12-31T00:00:00"/>
    <s v="NO_"/>
    <s v="NO"/>
    <m/>
    <n v="38"/>
    <n v="3200"/>
    <n v="50"/>
    <s v="NO_"/>
    <n v="6"/>
    <n v="12"/>
    <n v="39"/>
    <x v="1"/>
    <m/>
  </r>
  <r>
    <n v="1026604281"/>
    <x v="0"/>
    <d v="2022-07-14T00:00:00"/>
    <d v="2022-11-04T00:00:00"/>
    <m/>
    <e v="#N/A"/>
    <m/>
    <x v="0"/>
    <x v="3"/>
    <x v="3"/>
    <s v="RC"/>
    <s v="EMANUEL"/>
    <s v="DAVID"/>
    <s v="ALVAREZ"/>
    <s v="CHIRINOS"/>
    <s v="EMANUEL DAVID ALVAREZ CHIRINOS"/>
    <d v="2021-09-11T00:00:00"/>
    <x v="3"/>
    <n v="3"/>
    <n v="15"/>
    <s v="1 AÑOS 3 MESES 1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RA 7 ESTE #97 D 12 SUR"/>
    <n v="3022077945"/>
    <m/>
    <x v="0"/>
    <s v="NO SE AUTORECONOCE EN NINGUNO DE LOS ANTERIORES"/>
    <x v="1"/>
    <x v="1"/>
    <s v="NO_"/>
    <s v="NO_"/>
    <s v="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"/>
    <m/>
    <s v="MADRE"/>
    <s v="SIN DOCUMENTO"/>
    <m/>
    <s v="AURIMAR"/>
    <s v="EVELIN"/>
    <s v="CHIRINOS"/>
    <s v="BARRETO"/>
    <d v="1990-03-21T00:00:00"/>
    <s v="VENEZUELA"/>
    <s v="EXTERIOR"/>
    <m/>
    <m/>
    <m/>
    <m/>
    <m/>
    <m/>
    <m/>
    <m/>
    <s v=""/>
    <m/>
    <m/>
    <m/>
    <s v="SIN DOCUMENTO"/>
    <m/>
    <s v="AURIMAR"/>
    <s v="EVELIN"/>
    <s v="CHIRINOS"/>
    <s v="BARRETO"/>
    <d v="1990-03-21T00:00:00"/>
    <n v="32"/>
    <s v="VENEZUELA"/>
    <s v="EXTERIOR"/>
    <m/>
    <x v="1"/>
    <x v="22"/>
    <x v="0"/>
    <d v="2022-03-22T00:00:00"/>
    <s v="SI_"/>
    <x v="2"/>
    <n v="1"/>
    <m/>
    <m/>
    <m/>
    <m/>
    <m/>
    <m/>
    <m/>
    <m/>
    <m/>
    <m/>
    <x v="1"/>
    <m/>
  </r>
  <r>
    <n v="1023047573"/>
    <x v="0"/>
    <d v="2022-06-01T00:00:00"/>
    <d v="2022-07-14T00:00:00"/>
    <e v="#REF!"/>
    <e v="#N/A"/>
    <m/>
    <x v="0"/>
    <x v="3"/>
    <x v="3"/>
    <s v="RC"/>
    <s v="GUADALUPE"/>
    <m/>
    <s v="VALENCIA"/>
    <s v="ARAGON "/>
    <s v="GUADALUPE  VALENCIA ARAGON "/>
    <d v="2021-11-26T00:00:00"/>
    <x v="3"/>
    <n v="1"/>
    <n v="0"/>
    <s v="1 AÑOS 1 MESES 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0"/>
    <m/>
    <s v="KR11#67A SUR 09"/>
    <n v="3219490600"/>
    <m/>
    <x v="1"/>
    <s v="NO SE AUTORECONOCE EN NINGUNO DE LOS ANTERIORES"/>
    <x v="1"/>
    <x v="1"/>
    <s v="NO_"/>
    <s v="NO_"/>
    <s v="o. Ingresos iguales o inferiores a 1.5 Smlv"/>
    <m/>
    <s v="MADRE"/>
    <s v="CC"/>
    <n v="1023020639"/>
    <s v="MAYRA"/>
    <s v="LIZETH"/>
    <s v="ARAGON"/>
    <s v="OSPINA"/>
    <d v="1997-04-18T00:00:00"/>
    <s v="COLOMBIA"/>
    <s v="TOLIMA"/>
    <s v="NATAGAIMA"/>
    <s v="CC"/>
    <n v="1018440609"/>
    <s v="URIEL"/>
    <s v="SEBASTIAN"/>
    <s v="VALENCIA"/>
    <s v="CARDENAS"/>
    <d v="1991-01-13T00:00:00"/>
    <n v="31"/>
    <s v="COLOMBIA"/>
    <s v="BOGOTÁ"/>
    <s v="BOGOTÁ"/>
    <s v="CC"/>
    <n v="1023020639"/>
    <s v="MAYRA"/>
    <s v="LIZETH"/>
    <s v="ARAGON"/>
    <s v="OSPINA"/>
    <d v="1997-04-18T00:00:00"/>
    <n v="25"/>
    <s v="COLOMBIA"/>
    <s v="TOLIMA"/>
    <s v="NATAGAIMA"/>
    <x v="0"/>
    <x v="6"/>
    <x v="1"/>
    <m/>
    <s v="NO_"/>
    <x v="1"/>
    <m/>
    <s v="NO_"/>
    <m/>
    <m/>
    <n v="39"/>
    <n v="3050"/>
    <n v="50"/>
    <s v="NO_"/>
    <m/>
    <m/>
    <m/>
    <x v="1"/>
    <m/>
  </r>
  <r>
    <n v="1243858393"/>
    <x v="1"/>
    <d v="2022-06-01T00:00:00"/>
    <m/>
    <m/>
    <m/>
    <m/>
    <x v="0"/>
    <x v="5"/>
    <x v="5"/>
    <s v="RC"/>
    <s v="EMILY "/>
    <s v="JULIETH"/>
    <s v="ACEVEDO"/>
    <s v="SALAMANCA"/>
    <s v="EMILY  JULIETH ACEVEDO SALAMANCA"/>
    <d v="2020-04-10T00:00:00"/>
    <x v="2"/>
    <n v="8"/>
    <n v="16"/>
    <s v="2 AÑOS 8 MESES 1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CRA 8 ESTE #108-21SUR"/>
    <n v="3143980025"/>
    <m/>
    <x v="2"/>
    <s v="NO SE AUTORECONOCE EN NINGUNO DE LOS ANTERIORES"/>
    <x v="1"/>
    <x v="1"/>
    <s v="NO_"/>
    <s v="NO_"/>
    <s v="o. Ingresos iguales o inferiores a 1.5 Smlv"/>
    <m/>
    <s v="MADRE"/>
    <s v="CC"/>
    <n v="1023015275"/>
    <s v="ANGIE"/>
    <s v="KATHERINE"/>
    <s v="SALAMANCA"/>
    <s v="ROJAS"/>
    <d v="1996-07-09T00:00:00"/>
    <s v="COLOMBIA"/>
    <s v="BOYACÁ"/>
    <s v="AQUITANIA"/>
    <m/>
    <m/>
    <m/>
    <m/>
    <m/>
    <m/>
    <m/>
    <s v=""/>
    <m/>
    <m/>
    <m/>
    <s v="CC"/>
    <n v="1023015275"/>
    <s v="ANGIE"/>
    <s v="KATHERINE"/>
    <s v="SALAMANCA"/>
    <s v="ROJAS"/>
    <d v="1996-07-09T00:00:00"/>
    <n v="26"/>
    <s v="COLOMBIA"/>
    <s v="BOYACÁ"/>
    <s v="AQUITANIA"/>
    <x v="1"/>
    <x v="1"/>
    <x v="1"/>
    <m/>
    <s v="NO_"/>
    <x v="1"/>
    <m/>
    <s v="NO_"/>
    <m/>
    <m/>
    <n v="40"/>
    <n v="3220"/>
    <n v="52"/>
    <s v="NO_"/>
    <m/>
    <m/>
    <m/>
    <x v="1"/>
    <m/>
  </r>
  <r>
    <n v="1069307141"/>
    <x v="1"/>
    <d v="2022-06-01T00:00:00"/>
    <m/>
    <m/>
    <m/>
    <m/>
    <x v="0"/>
    <x v="5"/>
    <x v="5"/>
    <s v="RC"/>
    <s v="JADER"/>
    <s v="LEANDRO"/>
    <s v="GONZALEZ"/>
    <s v="MORALES"/>
    <s v="JADER LEANDRO GONZALEZ MORALES"/>
    <d v="2020-03-18T00:00:00"/>
    <x v="2"/>
    <n v="9"/>
    <n v="8"/>
    <s v="2 AÑOS 9 MESES 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m/>
    <n v="3185631821"/>
    <n v="3208759185"/>
    <x v="0"/>
    <s v="NO SE AUTORECONOCE EN NINGUNO DE LOS ANTERIORES"/>
    <x v="0"/>
    <x v="6"/>
    <s v="NO_"/>
    <s v="NO_"/>
    <s v="o. Ingresos iguales o inferiores a 1.5 Smlv"/>
    <m/>
    <s v="MADRE"/>
    <s v="CC"/>
    <n v="1075301525"/>
    <s v="MARLI "/>
    <s v="LUCERO"/>
    <s v="MORALES"/>
    <s v="RAMIREZ"/>
    <d v="1996-04-02T00:00:00"/>
    <s v="COLOMBIA"/>
    <s v="HUILA"/>
    <s v="NEIVA"/>
    <s v="CC"/>
    <n v="1033703504"/>
    <s v="JHON"/>
    <s v="JADER"/>
    <s v="GONZALEZ"/>
    <s v="MENDOZA"/>
    <d v="1988-03-23T00:00:00"/>
    <n v="34"/>
    <s v="COLOMBIA"/>
    <s v="TOLIMA"/>
    <s v="PLANADAS"/>
    <s v="CC"/>
    <n v="1075301525"/>
    <s v="MARLI"/>
    <s v="LUCERO"/>
    <s v="MORALES"/>
    <s v="RAMIREZ"/>
    <d v="1996-04-02T00:00:00"/>
    <n v="26"/>
    <s v="COLOMBIA"/>
    <s v="HUILA"/>
    <s v="NEIVA"/>
    <x v="1"/>
    <x v="6"/>
    <x v="0"/>
    <d v="2022-04-04T00:00:00"/>
    <s v="SI_"/>
    <x v="2"/>
    <m/>
    <s v="NO_"/>
    <m/>
    <m/>
    <n v="40"/>
    <n v="3830"/>
    <n v="52"/>
    <s v="SI_"/>
    <n v="6"/>
    <n v="24"/>
    <m/>
    <x v="1"/>
    <m/>
  </r>
  <r>
    <n v="1023046899"/>
    <x v="0"/>
    <d v="2022-06-01T00:00:00"/>
    <d v="2022-09-20T00:00:00"/>
    <e v="#REF!"/>
    <e v="#N/A"/>
    <m/>
    <x v="0"/>
    <x v="3"/>
    <x v="3"/>
    <s v="RC"/>
    <s v="THOMAS"/>
    <s v="FELIPE"/>
    <s v="SUESCA"/>
    <s v="URREGO"/>
    <s v="THOMAS FELIPE SUESCA URREGO"/>
    <d v="2021-06-30T00:00:00"/>
    <x v="3"/>
    <n v="5"/>
    <n v="26"/>
    <s v="1 AÑOS 5 MESES 2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A ESTE # 91SUR -28"/>
    <n v="3007940213"/>
    <m/>
    <x v="0"/>
    <s v="NO SE AUTORECONOCE EN NINGUNO DE LOS ANTERIORES"/>
    <x v="0"/>
    <x v="8"/>
    <s v="NO_"/>
    <s v="NO_"/>
    <s v="a. Pertenecientes a hogares con puntaje SISBEN"/>
    <m/>
    <s v="MADRE"/>
    <s v="CC"/>
    <n v="1022996900"/>
    <s v="LEIDY "/>
    <s v="ANDREA"/>
    <s v="URREGO"/>
    <s v="LINARES"/>
    <d v="1994-07-14T00:00:00"/>
    <s v="COLOMBIA"/>
    <s v="BOGOTÁ"/>
    <s v="BOGOTÁ"/>
    <s v="CC"/>
    <n v="1022990427"/>
    <s v="CAMILO"/>
    <s v="ANDRES"/>
    <s v="SUESCA"/>
    <s v="GONZALEZ"/>
    <d v="1993-10-23T00:00:00"/>
    <n v="29"/>
    <s v="COLOMBIA"/>
    <s v="BOGOTÁ"/>
    <s v="BOGOTÁ"/>
    <s v="CC"/>
    <n v="1022996900"/>
    <s v="LEIDY"/>
    <s v="ANDREA"/>
    <s v="URREGO"/>
    <s v="LINARES"/>
    <d v="1994-07-14T00:00:00"/>
    <n v="28"/>
    <s v="COLOMBIA"/>
    <s v="BOGOTÁ"/>
    <s v="BOGOTÁ"/>
    <x v="0"/>
    <x v="3"/>
    <x v="0"/>
    <d v="2022-03-04T00:00:00"/>
    <s v="SI_"/>
    <x v="2"/>
    <n v="1"/>
    <s v="NO_"/>
    <m/>
    <m/>
    <n v="40"/>
    <n v="3100"/>
    <n v="50"/>
    <s v="SI_"/>
    <n v="6"/>
    <m/>
    <m/>
    <x v="1"/>
    <m/>
  </r>
  <r>
    <n v="1020730043"/>
    <x v="1"/>
    <d v="2022-06-07T00:00:00"/>
    <m/>
    <m/>
    <m/>
    <m/>
    <x v="0"/>
    <x v="0"/>
    <x v="0"/>
    <s v="CC"/>
    <s v="ANA "/>
    <s v="MARIA "/>
    <s v="PALMA"/>
    <s v="MORENO "/>
    <s v="ANA  MARIA  PALMA MORENO "/>
    <d v="1998-01-22T00:00:00"/>
    <x v="24"/>
    <n v="11"/>
    <n v="4"/>
    <s v="24 AÑOS 11 MESES 4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CL 102 SUR 8 ESTE 33"/>
    <n v="3209585747"/>
    <n v="3102793129"/>
    <x v="0"/>
    <s v="NO SE AUTORECONOCE EN NINGUNO DE LOS ANTERIORES"/>
    <x v="1"/>
    <x v="1"/>
    <s v="NO_"/>
    <s v="NO_"/>
    <s v="o. Ingresos iguales o inferiores a 1.5 Smlv"/>
    <s v="NO_"/>
    <s v="MADRE"/>
    <s v="CC"/>
    <n v="52326251"/>
    <s v="ANA"/>
    <s v="JULIA"/>
    <s v="MORENO"/>
    <s v="GARCIA"/>
    <d v="1963-05-22T00:00:00"/>
    <s v="COLOMBIA"/>
    <s v="CHOCÓ"/>
    <s v="QUIBDO"/>
    <m/>
    <m/>
    <m/>
    <m/>
    <m/>
    <m/>
    <m/>
    <s v=""/>
    <m/>
    <m/>
    <m/>
    <m/>
    <m/>
    <m/>
    <m/>
    <m/>
    <m/>
    <m/>
    <s v=""/>
    <m/>
    <m/>
    <m/>
    <x v="1"/>
    <x v="1"/>
    <x v="1"/>
    <s v="NO_"/>
    <s v="NO_"/>
    <x v="1"/>
    <m/>
    <m/>
    <m/>
    <m/>
    <m/>
    <m/>
    <m/>
    <m/>
    <m/>
    <m/>
    <n v="16"/>
    <x v="0"/>
    <m/>
  </r>
  <r>
    <n v="1003526327"/>
    <x v="0"/>
    <d v="2022-06-07T00:00:00"/>
    <d v="2022-08-22T00:00:00"/>
    <e v="#REF!"/>
    <e v="#N/A"/>
    <m/>
    <x v="0"/>
    <x v="0"/>
    <x v="0"/>
    <s v="CC"/>
    <s v="FABIOLA"/>
    <s v="ANDREA"/>
    <s v="PEÑA"/>
    <s v="GUTIERREZ"/>
    <s v="FABIOLA ANDREA PEÑA GUTIERREZ"/>
    <d v="1998-05-07T00:00:00"/>
    <x v="24"/>
    <n v="7"/>
    <n v="19"/>
    <s v="24 AÑOS 7 MESES 19 DIAS "/>
    <x v="0"/>
    <x v="0"/>
    <x v="0"/>
    <s v="CUNDINAMARCA"/>
    <s v="CAJIC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L 97F SUR 6 ESTE 09"/>
    <n v="3118255581"/>
    <n v="3209573412"/>
    <x v="2"/>
    <s v="NO SE AUTORECONOCE EN NINGUNO DE LOS ANTERIORES"/>
    <x v="1"/>
    <x v="1"/>
    <s v="NO_"/>
    <s v="NO_"/>
    <s v="o. Ingresos iguales o inferiores a 1.5 Smlv"/>
    <s v="NO_"/>
    <s v="PADRE"/>
    <s v="CC"/>
    <n v="19093493"/>
    <s v="FABIO"/>
    <m/>
    <s v="PEÑA"/>
    <m/>
    <d v="1949-11-24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1"/>
    <x v="2"/>
    <x v="0"/>
    <m/>
    <m/>
    <x v="1"/>
    <m/>
    <m/>
    <m/>
    <m/>
    <m/>
    <m/>
    <m/>
    <m/>
    <m/>
    <m/>
    <n v="35"/>
    <x v="0"/>
    <m/>
  </r>
  <r>
    <n v="1023048858"/>
    <x v="1"/>
    <d v="2022-08-23T00:00:00"/>
    <m/>
    <m/>
    <m/>
    <m/>
    <x v="0"/>
    <x v="0"/>
    <x v="0"/>
    <s v="RC"/>
    <s v="ARNOL"/>
    <s v="JOEL"/>
    <s v="CAUPAZ"/>
    <s v="LOPEZ"/>
    <s v="ARNOL JOEL CAUPAZ LOPEZ"/>
    <d v="2022-07-04T00:00:00"/>
    <x v="1"/>
    <n v="5"/>
    <n v="22"/>
    <s v="0 AÑOS 5 MESES 22 DIAS "/>
    <x v="1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6 F ESTE NO 102 SUR -28"/>
    <n v="3202809839"/>
    <n v="3124015557"/>
    <x v="0"/>
    <s v="NO SE AUTORECONOCE EN NINGUNO DE LOS ANTERIORES"/>
    <x v="1"/>
    <x v="1"/>
    <s v="NO_"/>
    <s v="NO_"/>
    <s v="a. Pertenecientes a hogares con puntaje SISBEN"/>
    <m/>
    <s v="PADRE"/>
    <s v="CC"/>
    <n v="1022984580"/>
    <s v="ARNOL"/>
    <s v="DIEGO"/>
    <s v="CAUPAZ"/>
    <s v="REY"/>
    <d v="1992-12-02T00:00:00"/>
    <s v="COLOMBIA"/>
    <s v="TOLIMA"/>
    <s v="SAN ANTONIO "/>
    <s v="CC"/>
    <n v="1022984580"/>
    <s v="ARNOL"/>
    <s v="DIEGO"/>
    <s v="CAUPAZ"/>
    <s v="REY"/>
    <d v="1992-12-02T00:00:00"/>
    <n v="30"/>
    <s v="COLOMBIA"/>
    <s v="TOLIMA"/>
    <s v="SAN ANTONIO"/>
    <s v="CC"/>
    <n v="1023027580"/>
    <s v="HEYDY"/>
    <s v="CAROLINA"/>
    <s v="LOPEZ"/>
    <s v="SACHICA"/>
    <d v="1998-04-23T00:00:00"/>
    <n v="24"/>
    <s v="COLOMBIA"/>
    <s v="BOGOTÁ"/>
    <s v="BOGOTÁ"/>
    <x v="0"/>
    <x v="3"/>
    <x v="1"/>
    <d v="2022-08-22T00:00:00"/>
    <s v="SI_"/>
    <x v="1"/>
    <m/>
    <s v="NO_"/>
    <m/>
    <m/>
    <s v="39.2 SEMANAS"/>
    <s v="3375 GR"/>
    <s v="52 CM"/>
    <s v="SI_"/>
    <m/>
    <m/>
    <m/>
    <x v="0"/>
    <m/>
  </r>
  <r>
    <n v="1023027580"/>
    <x v="0"/>
    <d v="2022-06-07T00:00:00"/>
    <d v="2022-08-22T00:00:00"/>
    <e v="#REF!"/>
    <e v="#N/A"/>
    <m/>
    <x v="0"/>
    <x v="0"/>
    <x v="0"/>
    <s v="CC"/>
    <s v="HEYDY"/>
    <s v="CAROLINA"/>
    <s v="LOPEZ"/>
    <s v="SACHICA"/>
    <s v="HEYDY CAROLINA LOPEZ SACHICA"/>
    <d v="1998-04-23T00:00:00"/>
    <x v="24"/>
    <n v="8"/>
    <n v="3"/>
    <s v="24 AÑOS 8 MESES 3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6 F ESTE NO 102 SUR -28"/>
    <n v="3202809839"/>
    <n v="3124015557"/>
    <x v="0"/>
    <s v="NO SE AUTORECONOCE EN NINGUNO DE LOS ANTERIORES"/>
    <x v="0"/>
    <x v="14"/>
    <s v="NO_"/>
    <s v="NO_"/>
    <s v="a. Pertenecientes a hogares con puntaje SISBEN"/>
    <m/>
    <s v="CONYUGE"/>
    <s v="CC"/>
    <n v="1022984580"/>
    <s v="ARNOL"/>
    <s v="DIEGO"/>
    <s v="CAUPAZ"/>
    <s v="REY"/>
    <d v="1992-12-02T00:00:00"/>
    <s v="COLOMBIA"/>
    <s v="TOLIMA"/>
    <s v="SAN ANTONIO "/>
    <m/>
    <m/>
    <m/>
    <m/>
    <m/>
    <m/>
    <m/>
    <s v=""/>
    <m/>
    <m/>
    <m/>
    <m/>
    <m/>
    <m/>
    <m/>
    <m/>
    <m/>
    <m/>
    <s v=""/>
    <m/>
    <m/>
    <m/>
    <x v="0"/>
    <x v="3"/>
    <x v="0"/>
    <s v="SI_"/>
    <s v="NO_"/>
    <x v="1"/>
    <s v="NO_"/>
    <m/>
    <m/>
    <m/>
    <m/>
    <m/>
    <m/>
    <m/>
    <m/>
    <m/>
    <s v="35.4"/>
    <x v="0"/>
    <m/>
  </r>
  <r>
    <n v="1000777307"/>
    <x v="1"/>
    <d v="2022-06-07T00:00:00"/>
    <m/>
    <m/>
    <m/>
    <m/>
    <x v="0"/>
    <x v="0"/>
    <x v="0"/>
    <s v="CC"/>
    <s v="YIDZA"/>
    <s v="LORIETH"/>
    <s v="LINARES"/>
    <s v="PINEDA"/>
    <s v="YIDZA LORIETH LINARES PINEDA"/>
    <d v="2002-04-23T00:00:00"/>
    <x v="4"/>
    <n v="8"/>
    <n v="3"/>
    <s v="20 AÑOS 8 MESES 3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4"/>
    <m/>
    <s v="KR 10 C ESTE NO 107 SUR-75"/>
    <n v="3226379366"/>
    <n v="3138568171"/>
    <x v="0"/>
    <s v="NO SE AUTORECONOCE EN NINGUNO DE LOS ANTERIORES"/>
    <x v="0"/>
    <x v="8"/>
    <s v="NO_"/>
    <s v="NO_"/>
    <s v="a. Pertenecientes a hogares con puntaje SISBEN"/>
    <m/>
    <s v="MADRE"/>
    <s v="CC"/>
    <n v="52253758"/>
    <s v="MARIA"/>
    <s v="NELEY"/>
    <s v="PINEDA"/>
    <s v="ORTIZ"/>
    <d v="1974-11-12T00:00:00"/>
    <s v="COLOMBIA"/>
    <s v="FLORIAL SANTANDER"/>
    <s v="FLORIAL SANTANDER"/>
    <m/>
    <m/>
    <m/>
    <m/>
    <m/>
    <m/>
    <m/>
    <s v=""/>
    <m/>
    <m/>
    <m/>
    <m/>
    <m/>
    <m/>
    <m/>
    <m/>
    <m/>
    <m/>
    <s v=""/>
    <m/>
    <m/>
    <m/>
    <x v="1"/>
    <x v="3"/>
    <x v="0"/>
    <s v="SI_"/>
    <m/>
    <x v="0"/>
    <m/>
    <m/>
    <m/>
    <m/>
    <m/>
    <m/>
    <m/>
    <m/>
    <m/>
    <m/>
    <n v="18"/>
    <x v="0"/>
    <m/>
  </r>
  <r>
    <n v="1023049192"/>
    <x v="1"/>
    <d v="2022-11-04T00:00:00"/>
    <m/>
    <s v="SANDRA MICHEL HERRERA PIÑEROS"/>
    <m/>
    <m/>
    <x v="0"/>
    <x v="0"/>
    <x v="0"/>
    <s v="RC"/>
    <s v="HANNA"/>
    <s v="CAMILA"/>
    <s v="HERRERA"/>
    <s v="PIÑEROS"/>
    <s v="HANNA CAMILA HERRERA PIÑEROS"/>
    <d v="2022-09-17T00:00:00"/>
    <x v="1"/>
    <n v="3"/>
    <n v="9"/>
    <s v="0 AÑOS 3 MESES 9 DIAS "/>
    <x v="1"/>
    <x v="0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5"/>
    <m/>
    <s v="DG 100 C #6 F ESTE 21 SUR"/>
    <n v="3115345649"/>
    <n v="3209869189"/>
    <x v="0"/>
    <s v="NO SE AUTORECONOCE EN NINGUNO DE LOS ANTERIORES"/>
    <x v="1"/>
    <x v="1"/>
    <s v="NO"/>
    <s v="NO"/>
    <s v="a. Pertenecientes a hogares con puntaje SISBEN"/>
    <m/>
    <s v="MADRE"/>
    <s v="CC"/>
    <n v="1023005928"/>
    <s v="SANDRA "/>
    <s v="MICHEL"/>
    <s v="PIÑEROS"/>
    <s v="HASTAMORIR"/>
    <d v="1995-07-23T00:00:00"/>
    <s v="COLOMBIA"/>
    <s v="BOGOTÁ"/>
    <s v="BOGOTÁ"/>
    <s v="CC"/>
    <n v="1000513449"/>
    <s v="JORGE"/>
    <s v="ALBERTO"/>
    <s v="HERRERA"/>
    <s v="MORENO"/>
    <d v="1996-12-07T00:00:00"/>
    <n v="26"/>
    <s v="COLOMBIA"/>
    <s v="BOGOTÁ"/>
    <s v="BOGOTÁ"/>
    <s v="CC"/>
    <n v="1023005928"/>
    <s v="SANDRA"/>
    <s v="MICHEL"/>
    <s v="PIÑEROS"/>
    <s v="HASTAMORIR"/>
    <d v="1995-07-23T00:00:00"/>
    <n v="27"/>
    <s v="COLOMBIA"/>
    <s v="BOGOTÁ"/>
    <s v="BOGOTÁ"/>
    <x v="0"/>
    <x v="5"/>
    <x v="0"/>
    <d v="2022-07-04T00:00:00"/>
    <s v="SI_"/>
    <x v="1"/>
    <m/>
    <s v="NO_"/>
    <s v="SI"/>
    <m/>
    <n v="40"/>
    <n v="3090"/>
    <n v="48"/>
    <s v="SI_"/>
    <n v="2"/>
    <n v="2"/>
    <m/>
    <x v="0"/>
    <m/>
  </r>
  <r>
    <n v="1023005928"/>
    <x v="0"/>
    <d v="2022-09-02T00:00:00"/>
    <d v="2022-10-04T00:00:00"/>
    <m/>
    <e v="#N/A"/>
    <s v="TRIANGULO"/>
    <x v="0"/>
    <x v="0"/>
    <x v="0"/>
    <s v="CC"/>
    <s v="SANDRA"/>
    <s v="MICHEL"/>
    <s v="PIÑEROS"/>
    <s v="HASTAMORIR"/>
    <s v="SANDRA MICHEL PIÑEROS HASTAMORIR"/>
    <d v="1995-07-23T00:00:00"/>
    <x v="0"/>
    <n v="5"/>
    <n v="3"/>
    <s v="27 AÑOS 5 MESES 3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8"/>
    <m/>
    <s v="CALLE 94 SUR NUMERO 7 A ESTE 03"/>
    <n v="3115345649"/>
    <n v="3209869189"/>
    <x v="0"/>
    <s v="NO SE AUTORECONOCE EN NINGUNO DE LOS ANTERIORES"/>
    <x v="1"/>
    <x v="1"/>
    <s v="NO_"/>
    <s v="NO_"/>
    <s v="o. Ingresos iguales o inferiores a 1.5 Smlv"/>
    <m/>
    <s v="MADRE"/>
    <s v="CC"/>
    <n v="52118840"/>
    <s v="ARAMINTA"/>
    <m/>
    <s v="HASTAMORIR"/>
    <m/>
    <d v="1968-03-15T00:00:00"/>
    <s v="COLOMBIA"/>
    <s v="BOGOTÁ"/>
    <s v="BOGOTÁ"/>
    <s v="CC"/>
    <n v="1000513449"/>
    <s v="JORGE"/>
    <s v="ALBERTO"/>
    <s v="HERREA"/>
    <s v="MORENO"/>
    <d v="1996-12-07T00:00:00"/>
    <n v="26"/>
    <s v="COLOMBIA"/>
    <s v="BOGOTÁ"/>
    <s v="BOGOTÁ"/>
    <s v="CC"/>
    <n v="1023005928"/>
    <s v="SANDRA"/>
    <s v="MICHEL"/>
    <s v="PIÑEROS"/>
    <s v="HASTAMORIR"/>
    <d v="1995-07-23T00:00:00"/>
    <n v="27"/>
    <s v="COLOMBIA"/>
    <s v="BOGOTÁ"/>
    <s v="BOGOTÁ"/>
    <x v="0"/>
    <x v="5"/>
    <x v="0"/>
    <d v="2022-08-29T00:00:00"/>
    <m/>
    <x v="0"/>
    <m/>
    <m/>
    <m/>
    <m/>
    <m/>
    <m/>
    <m/>
    <m/>
    <m/>
    <m/>
    <s v="36 SEMANAS"/>
    <x v="0"/>
    <m/>
  </r>
  <r>
    <n v="1032515469"/>
    <x v="0"/>
    <d v="2022-08-02T00:00:00"/>
    <d v="2022-09-01T00:00:00"/>
    <e v="#REF!"/>
    <e v="#N/A"/>
    <m/>
    <x v="0"/>
    <x v="0"/>
    <x v="0"/>
    <s v="RC"/>
    <s v="ABBY"/>
    <s v="LAHIA"/>
    <s v="LINARES"/>
    <s v="GUABATIVAR"/>
    <s v="ABBY LAHIA LINARES GUABATIVAR"/>
    <d v="2022-06-22T00:00:00"/>
    <x v="1"/>
    <n v="6"/>
    <n v="4"/>
    <s v="0 AÑOS 6 MESES 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1"/>
    <m/>
    <s v="KR 9 A ESTE NO 108 SUR - 31"/>
    <n v="3132241922"/>
    <n v="3124727647"/>
    <x v="0"/>
    <s v="NO SE AUTORECONOCE EN NINGUNO DE LOS ANTERIORES"/>
    <x v="1"/>
    <x v="1"/>
    <s v="NO_"/>
    <s v="NO_"/>
    <s v="o. Ingresos iguales o inferiores a 1.5 Smlv"/>
    <m/>
    <s v="MADRE"/>
    <s v="CC"/>
    <n v="1007321936"/>
    <s v="MARIA"/>
    <s v="FERNANDA"/>
    <s v="GUABATIVAR"/>
    <s v="CHINCHILLA"/>
    <d v="2000-01-27T00:00:00"/>
    <s v="COLOMBIA"/>
    <s v="BOGOTÁ"/>
    <s v="BOGOTÁ"/>
    <s v="CC"/>
    <n v="1000031422"/>
    <s v="YORDAN "/>
    <s v="HWNBREY"/>
    <s v="LINARES"/>
    <s v="INEDA"/>
    <d v="2000-03-24T00:00:00"/>
    <n v="22"/>
    <s v="COLOMBIA"/>
    <s v="BOGOTÁ"/>
    <s v="BOGOTÁ"/>
    <s v="CC"/>
    <n v="1007321936"/>
    <s v="MARIA"/>
    <s v="FERNANDA"/>
    <s v="GUABATIVAR"/>
    <s v="CHINCHILLA"/>
    <d v="2000-01-27T00:00:00"/>
    <n v="22"/>
    <s v="COLOMBIA"/>
    <s v="BOGOTÁ"/>
    <s v="BOGOTÁ"/>
    <x v="0"/>
    <x v="3"/>
    <x v="0"/>
    <d v="2022-08-02T00:00:00"/>
    <m/>
    <x v="0"/>
    <m/>
    <s v="NO_"/>
    <m/>
    <m/>
    <n v="40"/>
    <n v="2945"/>
    <n v="45"/>
    <s v="SI_"/>
    <m/>
    <m/>
    <m/>
    <x v="2"/>
    <m/>
  </r>
  <r>
    <n v="1007321936"/>
    <x v="0"/>
    <d v="2022-06-07T00:00:00"/>
    <d v="2022-08-01T00:00:00"/>
    <e v="#REF!"/>
    <e v="#N/A"/>
    <m/>
    <x v="0"/>
    <x v="0"/>
    <x v="0"/>
    <s v="CC"/>
    <s v="MARIA"/>
    <s v="FERNANDA"/>
    <s v="GUABATIVAR"/>
    <s v="CHINCHILLA"/>
    <s v="MARIA FERNANDA GUABATIVAR CHINCHILLA"/>
    <d v="2000-01-27T00:00:00"/>
    <x v="18"/>
    <n v="10"/>
    <n v="29"/>
    <s v="22 AÑOS 10 MESES 29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11"/>
    <m/>
    <s v="KR 9 A ESTE NO 108 SUR - 31"/>
    <n v="3132241922"/>
    <n v="3124727647"/>
    <x v="0"/>
    <s v="NO SE AUTORECONOCE EN NINGUNO DE LOS ANTERIORES"/>
    <x v="1"/>
    <x v="1"/>
    <s v="NO_"/>
    <s v="NO_"/>
    <s v="o. Ingresos iguales o inferiores a 1.5 Smlv"/>
    <m/>
    <s v="CONYUGE"/>
    <s v="CC"/>
    <n v="1000031422"/>
    <s v="YORDAN"/>
    <s v="HWNBREY"/>
    <s v="LINARES"/>
    <s v="PINEDA"/>
    <d v="2000-03-24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1"/>
    <x v="3"/>
    <x v="0"/>
    <s v="SI_"/>
    <m/>
    <x v="0"/>
    <m/>
    <m/>
    <m/>
    <m/>
    <m/>
    <m/>
    <m/>
    <m/>
    <m/>
    <m/>
    <n v="38"/>
    <x v="0"/>
    <m/>
  </r>
  <r>
    <n v="1023048499"/>
    <x v="1"/>
    <d v="2022-06-07T00:00:00"/>
    <m/>
    <m/>
    <m/>
    <m/>
    <x v="0"/>
    <x v="2"/>
    <x v="2"/>
    <s v="RC"/>
    <s v="TIFFANY"/>
    <s v="VALENTINA"/>
    <s v="CASTAÑEDA"/>
    <s v="VACA"/>
    <s v="TIFFANY VALENTINA CASTAÑEDA VACA"/>
    <d v="2022-05-11T00:00:00"/>
    <x v="1"/>
    <n v="7"/>
    <n v="15"/>
    <s v="0 AÑOS 7 MESES 1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L 112 A SUR 8A ESTE 0083"/>
    <n v="3134497200"/>
    <m/>
    <x v="0"/>
    <s v="NO SE AUTORECONOCE EN NINGUNO DE LOS ANTERIORES"/>
    <x v="1"/>
    <x v="1"/>
    <s v="NO_"/>
    <s v="NO_"/>
    <s v="o. Ingresos iguales o inferiores a 1.5 Smlv"/>
    <m/>
    <s v="MADRE"/>
    <s v="CC"/>
    <n v="1007393684"/>
    <s v="YEIMY"/>
    <s v="PAOLA"/>
    <s v="VACA"/>
    <s v="MOJICA"/>
    <d v="1996-01-02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0"/>
    <x v="0"/>
    <s v="SI_ "/>
    <s v="SI_"/>
    <x v="1"/>
    <s v="NO_"/>
    <s v="NO_"/>
    <s v="SI_"/>
    <m/>
    <n v="38"/>
    <m/>
    <m/>
    <m/>
    <m/>
    <m/>
    <m/>
    <x v="2"/>
    <m/>
  </r>
  <r>
    <n v="1245079887"/>
    <x v="0"/>
    <d v="2022-08-23T00:00:00"/>
    <d v="2022-10-03T00:00:00"/>
    <e v="#REF!"/>
    <e v="#N/A"/>
    <s v="TRIANGULO"/>
    <x v="0"/>
    <x v="0"/>
    <x v="0"/>
    <s v="RC"/>
    <s v="MARIAM"/>
    <s v="SOFIA"/>
    <s v="PEREZ"/>
    <s v="GIL"/>
    <s v="MARIAM SOFIA PEREZ GIL"/>
    <d v="2022-07-13T00:00:00"/>
    <x v="1"/>
    <n v="5"/>
    <n v="13"/>
    <s v="0 AÑOS 5 MESES 13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5"/>
    <m/>
    <s v="CR 10 ESTE 89 SUR 36"/>
    <n v="3174845193"/>
    <n v="3187600715"/>
    <x v="0"/>
    <s v="NO SE AUTORECONOCE EN NINGUNO DE LOS ANTERIORES"/>
    <x v="1"/>
    <x v="1"/>
    <s v="NO_"/>
    <s v="NO_"/>
    <s v="a. Pertenecientes a hogares con puntaje SISBEN"/>
    <m/>
    <s v="ABUELO(A)"/>
    <s v="SIN DOCUMENTO"/>
    <m/>
    <s v="LISBETH"/>
    <s v="COROMOTO"/>
    <s v="MENDOZA"/>
    <s v="DIAZ"/>
    <d v="1981-06-13T00:00:00"/>
    <s v="VENEZUELA"/>
    <s v="EXTERIOR"/>
    <s v="EXTERIOR"/>
    <m/>
    <m/>
    <m/>
    <m/>
    <m/>
    <m/>
    <m/>
    <s v=""/>
    <m/>
    <m/>
    <m/>
    <s v="SIN DOCUMENTO"/>
    <m/>
    <s v="YORIANNIS"/>
    <s v="DEL CARMEN"/>
    <s v="PEREZ"/>
    <s v="GIL"/>
    <d v="2002-09-01T00:00:00"/>
    <n v="20"/>
    <s v="VENEZUELA"/>
    <s v="EXTERIOR"/>
    <s v="EXTERIOR"/>
    <x v="1"/>
    <x v="1"/>
    <x v="1"/>
    <d v="2022-08-22T00:00:00"/>
    <s v="SI_"/>
    <x v="1"/>
    <m/>
    <s v="SI_"/>
    <m/>
    <m/>
    <s v="35 SEMANAS"/>
    <s v="1900 GR"/>
    <s v="44 CM"/>
    <s v="NO_"/>
    <m/>
    <m/>
    <m/>
    <x v="0"/>
    <m/>
  </r>
  <r>
    <s v="45F133C46B0C48C8B4B7544A53EB4D0642260"/>
    <x v="0"/>
    <d v="2022-06-07T00:00:00"/>
    <d v="2022-08-22T00:00:00"/>
    <e v="#REF!"/>
    <e v="#N/A"/>
    <m/>
    <x v="0"/>
    <x v="0"/>
    <x v="0"/>
    <s v="SIN DOCUMENTO"/>
    <s v="YORIANNIS"/>
    <s v="DELCARMEN"/>
    <s v="PEREZ"/>
    <s v="GIL"/>
    <s v="YORIANNIS DELCARMEN PEREZ GIL"/>
    <d v="2002-09-01T00:00:00"/>
    <x v="4"/>
    <n v="3"/>
    <n v="25"/>
    <s v="20 AÑOS 3 MESES 25 DIAS "/>
    <x v="0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5"/>
    <m/>
    <s v="CR 10 ESTE 89 SUR 36"/>
    <n v="3174845193"/>
    <n v="3187600715"/>
    <x v="0"/>
    <s v="NO SE AUTORECONOCE EN NINGUNO DE LOS ANTERIORES"/>
    <x v="1"/>
    <x v="1"/>
    <s v="NO_"/>
    <s v="NO_"/>
    <s v="o. Ingresos iguales o inferiores a 1.5 Smlv"/>
    <m/>
    <s v="MADRE"/>
    <s v="SIN DOCUMENTO"/>
    <m/>
    <s v="LISBETH"/>
    <s v="COROMOTO"/>
    <s v="MENDOZA"/>
    <s v="DIAZ"/>
    <d v="1981-06-13T00:00:00"/>
    <s v="VENEZUELA"/>
    <s v="EXTERIOR"/>
    <s v="EXTERIOR"/>
    <m/>
    <m/>
    <m/>
    <m/>
    <m/>
    <m/>
    <m/>
    <s v=""/>
    <m/>
    <m/>
    <m/>
    <m/>
    <m/>
    <m/>
    <m/>
    <m/>
    <m/>
    <m/>
    <s v=""/>
    <m/>
    <m/>
    <m/>
    <x v="3"/>
    <x v="12"/>
    <x v="0"/>
    <s v="SI_ "/>
    <s v="SI_"/>
    <x v="1"/>
    <s v="NO_"/>
    <s v="NO_"/>
    <s v="SI_"/>
    <m/>
    <n v="38"/>
    <m/>
    <m/>
    <m/>
    <m/>
    <m/>
    <n v="30"/>
    <x v="0"/>
    <m/>
  </r>
  <r>
    <n v="1023990627"/>
    <x v="1"/>
    <d v="2022-09-02T00:00:00"/>
    <m/>
    <m/>
    <m/>
    <m/>
    <x v="0"/>
    <x v="0"/>
    <x v="0"/>
    <s v="RC"/>
    <s v="LEON"/>
    <s v="DAVID"/>
    <s v="LINARES"/>
    <s v="ZAMORA"/>
    <s v="LEON DAVID LINARES ZAMORA"/>
    <d v="2022-07-02T00:00:00"/>
    <x v="1"/>
    <n v="5"/>
    <n v="24"/>
    <s v="0 AÑOS 5 MESES 24 DIAS "/>
    <x v="1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DG 98A SUR 8 ESTE 87"/>
    <n v="3106809664"/>
    <m/>
    <x v="0"/>
    <s v="NO SE AUTORECONOCE EN NINGUNO DE LOS ANTERIORES"/>
    <x v="1"/>
    <x v="1"/>
    <s v="NO_"/>
    <s v="NO_"/>
    <s v="o. Ingresos iguales o inferiores a 1.5 Smlv"/>
    <m/>
    <s v="PADRE"/>
    <s v="CC"/>
    <n v="1015408006"/>
    <s v="LINARES"/>
    <s v="FRANCO"/>
    <s v="DANIEL"/>
    <s v="ARTURO"/>
    <m/>
    <m/>
    <m/>
    <m/>
    <s v="CC"/>
    <n v="1015408006"/>
    <s v="LINARES"/>
    <s v="FRANCO"/>
    <s v="DANIEL"/>
    <s v="ARTURO"/>
    <m/>
    <s v=""/>
    <m/>
    <m/>
    <m/>
    <s v="CC"/>
    <n v="1023864363"/>
    <s v="JHENY"/>
    <s v="JULIER"/>
    <s v="ZAMORA "/>
    <s v="DUARTE"/>
    <d v="1986-07-27T00:00:00"/>
    <n v="36"/>
    <s v="COLOMBIA"/>
    <s v="BOGOTÁ"/>
    <s v="BOGOTÁ"/>
    <x v="3"/>
    <x v="12"/>
    <x v="0"/>
    <d v="2022-08-29T00:00:00"/>
    <s v="SI_"/>
    <x v="0"/>
    <m/>
    <s v="NO_"/>
    <m/>
    <m/>
    <s v="38 SEMANAS"/>
    <s v="2640 GR"/>
    <s v="47 CM"/>
    <s v="SI_"/>
    <m/>
    <m/>
    <m/>
    <x v="0"/>
    <m/>
  </r>
  <r>
    <n v="1023864363"/>
    <x v="0"/>
    <d v="2022-06-07T00:00:00"/>
    <d v="2022-09-01T00:00:00"/>
    <e v="#REF!"/>
    <e v="#N/A"/>
    <m/>
    <x v="0"/>
    <x v="0"/>
    <x v="0"/>
    <s v="CC"/>
    <s v="JHENY"/>
    <s v="JULIER"/>
    <s v="ZAMORA "/>
    <s v="DUARTE"/>
    <s v="JHENY JULIER ZAMORA  DUARTE"/>
    <d v="1986-07-27T00:00:00"/>
    <x v="13"/>
    <n v="4"/>
    <n v="29"/>
    <s v="36 AÑOS 4 MESES 29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DG 98A SUR 8 ESTE 87"/>
    <n v="3106809664"/>
    <m/>
    <x v="0"/>
    <s v="NO SE AUTORECONOCE EN NINGUNO DE LOS ANTERIORES"/>
    <x v="1"/>
    <x v="4"/>
    <m/>
    <m/>
    <s v="o. Ingresos iguales o inferiores a 1.5 Smlv"/>
    <m/>
    <m/>
    <m/>
    <m/>
    <m/>
    <m/>
    <m/>
    <m/>
    <m/>
    <m/>
    <m/>
    <m/>
    <m/>
    <m/>
    <m/>
    <m/>
    <m/>
    <m/>
    <m/>
    <s v=""/>
    <m/>
    <m/>
    <m/>
    <m/>
    <m/>
    <m/>
    <m/>
    <m/>
    <m/>
    <m/>
    <s v=""/>
    <m/>
    <m/>
    <m/>
    <x v="0"/>
    <x v="3"/>
    <x v="1"/>
    <m/>
    <s v="NO_"/>
    <x v="0"/>
    <m/>
    <m/>
    <m/>
    <m/>
    <m/>
    <m/>
    <m/>
    <m/>
    <m/>
    <m/>
    <m/>
    <x v="0"/>
    <m/>
  </r>
  <r>
    <n v="1000931826"/>
    <x v="1"/>
    <d v="2022-06-07T00:00:00"/>
    <m/>
    <m/>
    <m/>
    <m/>
    <x v="0"/>
    <x v="0"/>
    <x v="0"/>
    <s v="CC"/>
    <s v="SHIRLEY"/>
    <s v="NORELLY"/>
    <s v="ROZO"/>
    <s v="GARRIDO"/>
    <s v="SHIRLEY NORELLY ROZO GARRIDO"/>
    <d v="2001-09-04T00:00:00"/>
    <x v="15"/>
    <n v="3"/>
    <n v="22"/>
    <s v="21 AÑOS 3 MESES 22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6D ESTE 97D SUR 44"/>
    <n v="3208833167"/>
    <n v="3124866145"/>
    <x v="0"/>
    <s v="NO SE AUTORECONOCE EN NINGUNO DE LOS ANTERIORES"/>
    <x v="0"/>
    <x v="18"/>
    <s v="NO_"/>
    <s v="NO_"/>
    <s v="a. Pertenecientes a hogares con puntaje SISBEN"/>
    <m/>
    <s v="HERMANO(A)"/>
    <s v="CC"/>
    <n v="1000929565"/>
    <s v="MICHEL"/>
    <s v="DAYANNA"/>
    <s v="ROZO"/>
    <m/>
    <m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1"/>
    <x v="1"/>
    <x v="1"/>
    <d v="2022-06-07T00:00:00"/>
    <m/>
    <x v="0"/>
    <m/>
    <m/>
    <m/>
    <m/>
    <m/>
    <m/>
    <m/>
    <m/>
    <m/>
    <m/>
    <n v="8"/>
    <x v="0"/>
    <m/>
  </r>
  <r>
    <n v="1010231306"/>
    <x v="1"/>
    <d v="2022-06-07T00:00:00"/>
    <m/>
    <m/>
    <m/>
    <m/>
    <x v="0"/>
    <x v="0"/>
    <x v="0"/>
    <s v="CC"/>
    <s v="ANGIE"/>
    <s v="JOHANNA"/>
    <s v="MAZABUEL"/>
    <s v="HURTADO"/>
    <s v="ANGIE JOHANNA MAZABUEL HURTADO"/>
    <d v="1996-12-10T00:00:00"/>
    <x v="26"/>
    <n v="0"/>
    <n v="16"/>
    <s v="26 AÑOS 0 MESES 16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6"/>
    <m/>
    <m/>
    <n v="3224737956"/>
    <n v="3177465714"/>
    <x v="3"/>
    <s v="NO SE AUTORECONOCE EN NINGUNO DE LOS ANTERIORES"/>
    <x v="0"/>
    <x v="17"/>
    <s v="NO_"/>
    <s v="NO_"/>
    <s v="a. Pertenecientes a hogares con puntaje SISBEN"/>
    <m/>
    <s v="CONYUGE"/>
    <s v="CC"/>
    <n v="1023018834"/>
    <s v="EDISSON"/>
    <s v="ALBERTO"/>
    <s v="CHIPATECUA"/>
    <s v="BARACALDO"/>
    <d v="1997-02-01T00:00:00"/>
    <s v="COLOMBIA"/>
    <s v="CUNDINAMARCA"/>
    <s v="SOACHA"/>
    <m/>
    <m/>
    <m/>
    <m/>
    <m/>
    <m/>
    <m/>
    <s v=""/>
    <m/>
    <m/>
    <m/>
    <m/>
    <m/>
    <m/>
    <m/>
    <m/>
    <m/>
    <m/>
    <s v=""/>
    <m/>
    <m/>
    <m/>
    <x v="1"/>
    <x v="4"/>
    <x v="1"/>
    <d v="2022-06-07T00:00:00"/>
    <m/>
    <x v="0"/>
    <m/>
    <m/>
    <m/>
    <m/>
    <m/>
    <m/>
    <m/>
    <m/>
    <m/>
    <m/>
    <n v="20"/>
    <x v="0"/>
    <m/>
  </r>
  <r>
    <n v="1023990310"/>
    <x v="1"/>
    <d v="2022-07-19T00:00:00"/>
    <m/>
    <m/>
    <m/>
    <m/>
    <x v="0"/>
    <x v="0"/>
    <x v="0"/>
    <s v="RC"/>
    <s v="AYLA"/>
    <s v="MICHELLE"/>
    <s v="DELGADO"/>
    <s v="FANDIÑO"/>
    <s v="AYLA MICHELLE DELGADO FANDIÑO"/>
    <d v="2022-06-24T00:00:00"/>
    <x v="1"/>
    <n v="6"/>
    <n v="2"/>
    <s v="0 AÑOS 6 MESES 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TV 7 ESTE 107 A SUR"/>
    <n v="3135622873"/>
    <m/>
    <x v="0"/>
    <s v="NO SE AUTORECONOCE EN NINGUNO DE LOS ANTERIORES"/>
    <x v="1"/>
    <x v="1"/>
    <s v="NO_"/>
    <s v="NO_"/>
    <s v="o. Ingresos iguales o inferiores a 1.5 Smlv"/>
    <m/>
    <s v="MADRE"/>
    <s v="CC"/>
    <n v="1014218058"/>
    <s v="MIREYA"/>
    <s v="ROCIO"/>
    <s v="FANDIÑO"/>
    <s v="GOMEZ"/>
    <d v="1991-01-04T00:00:00"/>
    <s v="COLOMBIA"/>
    <s v="BOYACÁ"/>
    <s v="CHINAVITA"/>
    <s v="CC"/>
    <n v="1010185025"/>
    <s v="ANDRES"/>
    <s v="FELIPE"/>
    <s v="DELGADO"/>
    <s v="PEREZ"/>
    <d v="1989-08-31T00:00:00"/>
    <n v="33"/>
    <s v="COLOMBIA"/>
    <s v="CAUCA"/>
    <s v="BUENOS AIRES"/>
    <s v="CC"/>
    <n v="1014218058"/>
    <s v="MIREYA"/>
    <s v="ROCIO"/>
    <s v="FANDIÑO"/>
    <s v="GOMEZ"/>
    <d v="1991-01-04T00:00:00"/>
    <n v="31"/>
    <s v="COLOMBIA"/>
    <s v="BOYACÁ"/>
    <s v="CHINAVITA"/>
    <x v="0"/>
    <x v="0"/>
    <x v="1"/>
    <d v="2022-07-19T00:00:00"/>
    <s v="NO_"/>
    <x v="1"/>
    <m/>
    <s v="SI_"/>
    <s v="NO"/>
    <m/>
    <s v="37 SEMANAS"/>
    <m/>
    <m/>
    <s v="NO_"/>
    <n v="0"/>
    <n v="1"/>
    <m/>
    <x v="2"/>
    <m/>
  </r>
  <r>
    <n v="1014218058"/>
    <x v="0"/>
    <d v="2022-06-07T00:00:00"/>
    <d v="2022-07-18T00:00:00"/>
    <e v="#REF!"/>
    <e v="#N/A"/>
    <m/>
    <x v="0"/>
    <x v="0"/>
    <x v="0"/>
    <s v="CC"/>
    <s v="MIREYA"/>
    <s v="ROCIO"/>
    <s v="FANDIÑO"/>
    <s v="GOMEZ"/>
    <s v="MIREYA ROCIO FANDIÑO GOMEZ"/>
    <d v="1991-01-04T00:00:00"/>
    <x v="27"/>
    <n v="11"/>
    <n v="22"/>
    <s v="31 AÑOS 11 MESES 22 DIAS "/>
    <x v="0"/>
    <x v="0"/>
    <x v="0"/>
    <s v="BOYACÁ"/>
    <s v="CHINAVIT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TV 7 ESTE 107 A SUR"/>
    <n v="3135622873"/>
    <m/>
    <x v="0"/>
    <s v="NO SE AUTORECONOCE EN NINGUNO DE LOS ANTERIORES"/>
    <x v="1"/>
    <x v="1"/>
    <s v="NO_"/>
    <s v="NO_"/>
    <s v="o. Ingresos iguales o inferiores a 1.5 Smlv"/>
    <m/>
    <s v="CONYUGE"/>
    <s v="CC"/>
    <n v="1010185025"/>
    <s v="ANDRES"/>
    <s v="FELIPE"/>
    <s v="DELGADO"/>
    <s v="PEREZ"/>
    <d v="1989-08-31T00:00:00"/>
    <s v="COLOMBIA"/>
    <s v="CAUCA"/>
    <s v="BUENOS AIRES"/>
    <m/>
    <m/>
    <m/>
    <m/>
    <m/>
    <m/>
    <m/>
    <s v=""/>
    <m/>
    <m/>
    <m/>
    <m/>
    <m/>
    <m/>
    <m/>
    <m/>
    <m/>
    <m/>
    <s v=""/>
    <m/>
    <m/>
    <m/>
    <x v="3"/>
    <x v="12"/>
    <x v="1"/>
    <d v="2022-06-07T00:00:00"/>
    <m/>
    <x v="0"/>
    <m/>
    <m/>
    <m/>
    <m/>
    <m/>
    <m/>
    <m/>
    <m/>
    <m/>
    <m/>
    <n v="34"/>
    <x v="0"/>
    <m/>
  </r>
  <r>
    <n v="1023048717"/>
    <x v="0"/>
    <d v="2022-07-19T00:00:00"/>
    <d v="2022-10-03T00:00:00"/>
    <e v="#REF!"/>
    <e v="#N/A"/>
    <s v="TRIANGULO"/>
    <x v="0"/>
    <x v="0"/>
    <x v="0"/>
    <s v="RC"/>
    <s v="LIAN"/>
    <s v="SANTIAGO"/>
    <s v="ARREDONDO"/>
    <s v="ANDRADE"/>
    <s v="LIAN SANTIAGO ARREDONDO ANDRADE"/>
    <d v="2022-06-16T00:00:00"/>
    <x v="1"/>
    <n v="6"/>
    <n v="10"/>
    <s v="0 AÑOS 6 MESES 1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7"/>
    <m/>
    <s v="CL 78 SUR 2 ESTE 52"/>
    <n v="3144742864"/>
    <m/>
    <x v="0"/>
    <s v="NO SE AUTORECONOCE EN NINGUNO DE LOS ANTERIORES"/>
    <x v="1"/>
    <x v="1"/>
    <s v="NO_"/>
    <s v="NO_"/>
    <s v="o. Ingresos iguales o inferiores a 1.5 Smlv"/>
    <m/>
    <s v="ABUELO(A)"/>
    <s v="CC"/>
    <n v="52316925"/>
    <s v="CAROL"/>
    <s v="MIREYA"/>
    <s v="ANDRADE"/>
    <m/>
    <d v="1977-03-10T00:00:00"/>
    <s v="COLOMBIA"/>
    <s v="BOGOTÁ"/>
    <s v="BOGOTÁ"/>
    <m/>
    <m/>
    <m/>
    <m/>
    <m/>
    <m/>
    <m/>
    <s v=""/>
    <m/>
    <m/>
    <m/>
    <s v="TI"/>
    <n v="1111664287"/>
    <s v="JENCY"/>
    <s v="LORENA"/>
    <s v="ARREDONDO"/>
    <s v="ANDRADE"/>
    <d v="2005-06-27T00:00:00"/>
    <n v="17"/>
    <s v="COLOMBIA"/>
    <s v="BOGOTÁ"/>
    <s v="BOGOTÁ"/>
    <x v="0"/>
    <x v="0"/>
    <x v="1"/>
    <d v="2022-07-19T00:00:00"/>
    <s v="NO_"/>
    <x v="1"/>
    <m/>
    <s v="NO_"/>
    <s v="NO"/>
    <m/>
    <s v="37 SEMANAS"/>
    <m/>
    <m/>
    <s v="SI_"/>
    <d v="1899-12-31T00:00:00"/>
    <d v="1899-12-31T00:00:00"/>
    <m/>
    <x v="2"/>
    <m/>
  </r>
  <r>
    <n v="1111664287"/>
    <x v="0"/>
    <d v="2022-06-28T00:00:00"/>
    <d v="2022-07-18T00:00:00"/>
    <e v="#REF!"/>
    <e v="#N/A"/>
    <m/>
    <x v="0"/>
    <x v="0"/>
    <x v="0"/>
    <s v="TI"/>
    <s v="JENCY"/>
    <s v="LORENA"/>
    <s v="ARREDONDO"/>
    <s v="ANDRADE"/>
    <s v="JENCY LORENA ARREDONDO ANDRADE"/>
    <d v="2005-06-27T00:00:00"/>
    <x v="29"/>
    <n v="5"/>
    <n v="29"/>
    <s v="17 AÑOS 5 MESES 29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7"/>
    <m/>
    <s v="CL 78 SUR 2 ESTE 52"/>
    <n v="3144742864"/>
    <m/>
    <x v="0"/>
    <s v="NO SE AUTORECONOCE EN NINGUNO DE LOS ANTERIORES"/>
    <x v="1"/>
    <x v="1"/>
    <s v="NO_"/>
    <s v="SI_"/>
    <s v="o. Ingresos iguales o inferiores a 1.5 Smlv"/>
    <m/>
    <s v="MADRE"/>
    <s v="CC"/>
    <n v="52316925"/>
    <s v="CAROL"/>
    <s v="MIREYA"/>
    <s v="ANDRADE"/>
    <m/>
    <d v="1977-03-10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0"/>
    <x v="1"/>
    <m/>
    <m/>
    <x v="0"/>
    <m/>
    <m/>
    <m/>
    <m/>
    <m/>
    <m/>
    <m/>
    <m/>
    <m/>
    <m/>
    <n v="37"/>
    <x v="0"/>
    <m/>
  </r>
  <r>
    <s v="1707088654CA4B568DBDC7070C9326C910903"/>
    <x v="0"/>
    <d v="2022-06-07T00:00:00"/>
    <d v="2022-06-13T00:00:00"/>
    <e v="#REF!"/>
    <e v="#N/A"/>
    <m/>
    <x v="0"/>
    <x v="0"/>
    <x v="0"/>
    <s v="SIN DOCUMENTO"/>
    <s v="TAIMAR"/>
    <s v="ANDREINA"/>
    <s v="OLMOS"/>
    <s v="ARAUJO"/>
    <s v="TAIMAR ANDREINA OLMOS ARAUJO"/>
    <d v="2002-02-04T00:00:00"/>
    <x v="4"/>
    <n v="10"/>
    <n v="22"/>
    <s v="20 AÑOS 10 MESES 22 DIAS "/>
    <x v="0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8"/>
    <m/>
    <m/>
    <n v="3208690734"/>
    <m/>
    <x v="0"/>
    <s v="NO SE AUTORECONOCE EN NINGUNO DE LOS ANTERIORES"/>
    <x v="1"/>
    <x v="1"/>
    <s v="NO_"/>
    <s v="NO_"/>
    <s v="o. Ingresos iguales o inferiores a 1.5 Smlv"/>
    <m/>
    <s v="PADRE"/>
    <s v="SIN DOCUMENTO"/>
    <m/>
    <s v="EDIXON"/>
    <s v="ALBERTO"/>
    <s v="OLMOS"/>
    <s v="PEREZ"/>
    <d v="1975-06-01T00:00:00"/>
    <s v="VENEZUELA"/>
    <s v="EXTERIOR"/>
    <s v="EXTERIOR"/>
    <m/>
    <m/>
    <m/>
    <m/>
    <m/>
    <m/>
    <m/>
    <s v=""/>
    <m/>
    <m/>
    <m/>
    <m/>
    <m/>
    <m/>
    <m/>
    <m/>
    <m/>
    <m/>
    <s v=""/>
    <m/>
    <m/>
    <m/>
    <x v="3"/>
    <x v="12"/>
    <x v="0"/>
    <d v="2022-06-07T00:00:00"/>
    <s v="NO_"/>
    <x v="0"/>
    <m/>
    <m/>
    <m/>
    <m/>
    <m/>
    <m/>
    <m/>
    <m/>
    <m/>
    <m/>
    <n v="34"/>
    <x v="0"/>
    <m/>
  </r>
  <r>
    <n v="1023048984"/>
    <x v="1"/>
    <d v="2022-08-31T00:00:00"/>
    <m/>
    <m/>
    <m/>
    <s v="TRIANGULO"/>
    <x v="0"/>
    <x v="0"/>
    <x v="0"/>
    <s v="RC"/>
    <s v="EILEN"/>
    <s v="ISABELLA"/>
    <s v="LEON"/>
    <s v="RODRIGUEZ"/>
    <s v="EILEN ISABELLA LEON RODRIGUEZ"/>
    <d v="2022-08-04T00:00:00"/>
    <x v="1"/>
    <n v="4"/>
    <n v="22"/>
    <s v="0 AÑOS 4 MESES 22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4"/>
    <m/>
    <s v="KR 6 B ESTE 91 SUR 70"/>
    <n v="3226851407"/>
    <m/>
    <x v="0"/>
    <s v="NO SE AUTORECONOCE EN NINGUNO DE LOS ANTERIORES"/>
    <x v="0"/>
    <x v="21"/>
    <s v="NO_"/>
    <s v="NO_"/>
    <s v="o. Ingresos iguales o inferiores a 1.5 Smlv"/>
    <m/>
    <s v="PADRE"/>
    <s v="CC"/>
    <n v="1023038326"/>
    <s v="JOHAN"/>
    <s v="ALEJANDRO"/>
    <s v="LEON"/>
    <s v="GUTIERREZ"/>
    <d v="1999-09-12T00:00:00"/>
    <s v="COLOMBIA"/>
    <s v="BOGOTÁ"/>
    <s v="BOGOTÁ"/>
    <s v="CC"/>
    <n v="1023038326"/>
    <s v="JOHAN"/>
    <s v="ALEJANDRO"/>
    <s v="LEON"/>
    <s v="GUTIERREZ"/>
    <m/>
    <s v=""/>
    <s v="COLOMBIA"/>
    <s v="BOGOTÁ"/>
    <s v="BOGOTÁ"/>
    <s v="CC"/>
    <n v="1023048984"/>
    <s v="LAURA"/>
    <s v="LILIANA"/>
    <s v="RODRIGUEZ"/>
    <s v="RODRIGUEZ"/>
    <d v="2000-02-20T00:00:00"/>
    <n v="22"/>
    <s v="COLOMBIA"/>
    <s v="BOGOTÁ"/>
    <s v="BOGOTÁ"/>
    <x v="3"/>
    <x v="12"/>
    <x v="0"/>
    <d v="2022-08-30T00:00:00"/>
    <s v="SI_"/>
    <x v="1"/>
    <m/>
    <m/>
    <m/>
    <m/>
    <s v="41  SEMANAS"/>
    <s v="3040 KR"/>
    <s v="49 CM"/>
    <s v="SI_"/>
    <m/>
    <m/>
    <m/>
    <x v="0"/>
    <m/>
  </r>
  <r>
    <n v="1007538585"/>
    <x v="0"/>
    <d v="2022-06-07T00:00:00"/>
    <d v="2022-08-30T00:00:00"/>
    <e v="#REF!"/>
    <e v="#N/A"/>
    <m/>
    <x v="0"/>
    <x v="0"/>
    <x v="0"/>
    <s v="CC"/>
    <s v="LAURA"/>
    <s v="LILIANA"/>
    <s v="RODRIGUEZ"/>
    <s v="RODRIGUEZ"/>
    <s v="LAURA LILIANA RODRIGUEZ RODRIGUEZ"/>
    <d v="2000-02-20T00:00:00"/>
    <x v="18"/>
    <n v="10"/>
    <n v="6"/>
    <s v="22 AÑOS 10 MESES 6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4"/>
    <m/>
    <s v="KR 6 B ESTE 91 SUR 70"/>
    <n v="3226851407"/>
    <m/>
    <x v="0"/>
    <s v="NO SE AUTORECONOCE EN NINGUNO DE LOS ANTERIORES"/>
    <x v="0"/>
    <x v="3"/>
    <s v="NO_"/>
    <s v="NO_"/>
    <s v="o. Ingresos iguales o inferiores a 1.5 Smlv"/>
    <m/>
    <s v="CONYUGE"/>
    <s v="CC"/>
    <n v="1023038326"/>
    <s v="JOHAN"/>
    <s v="ALEJANDRO"/>
    <s v="LEON"/>
    <s v="GUTIERREZ"/>
    <d v="1999-09-11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1"/>
    <x v="3"/>
    <x v="1"/>
    <d v="2022-06-07T00:00:00"/>
    <m/>
    <x v="0"/>
    <m/>
    <m/>
    <m/>
    <m/>
    <m/>
    <m/>
    <m/>
    <m/>
    <m/>
    <m/>
    <n v="32"/>
    <x v="0"/>
    <m/>
  </r>
  <r>
    <n v="1023048101"/>
    <x v="1"/>
    <d v="2022-06-07T00:00:00"/>
    <m/>
    <m/>
    <m/>
    <s v="TRIANGULO"/>
    <x v="0"/>
    <x v="2"/>
    <x v="2"/>
    <s v="RC"/>
    <s v="YERAY"/>
    <s v="JACOB"/>
    <s v="BAUTISTA"/>
    <s v="AMADO"/>
    <s v="YERAY JACOB BAUTISTA AMADO"/>
    <d v="2022-03-27T00:00:00"/>
    <x v="1"/>
    <n v="8"/>
    <n v="29"/>
    <s v="0 AÑOS 8 MESES 2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9"/>
    <m/>
    <s v="TV 2 87 B SUR 87"/>
    <n v="3214449174"/>
    <m/>
    <x v="1"/>
    <s v="NO SE AUTORECONOCE EN NINGUNO DE LOS ANTERIORES"/>
    <x v="1"/>
    <x v="1"/>
    <s v="NO_"/>
    <s v="NO_"/>
    <s v="o. Ingresos iguales o inferiores a 1.5 Smlv"/>
    <m/>
    <s v="MADRE"/>
    <s v="CC"/>
    <n v="1000137424"/>
    <s v="ANGELA"/>
    <s v="VIVIANA"/>
    <s v="AMADO"/>
    <s v="AGUILAR"/>
    <d v="2000-08-30T00:00:00"/>
    <s v="COLOMBIA"/>
    <s v="BOGOTÁ"/>
    <s v="BOGOTÁ"/>
    <s v="CC"/>
    <n v="1192720283"/>
    <s v="BRAYAN"/>
    <s v="SANTIAGO"/>
    <s v="BAUTISTA"/>
    <s v="CUEVAS"/>
    <d v="2000-01-11T00:00:00"/>
    <n v="22"/>
    <s v="COLOMBIA"/>
    <s v="CUNDINAMARCA"/>
    <s v="AGUA DE DIOS"/>
    <s v="CC"/>
    <n v="1000137424"/>
    <s v="ANGELA"/>
    <s v="VIVIANA"/>
    <s v="AMADO"/>
    <s v="AGUILAR"/>
    <d v="2000-08-30T00:00:00"/>
    <n v="22"/>
    <s v="COLOMBIA"/>
    <s v="BOGOTÁ"/>
    <s v="BOGOTÁ"/>
    <x v="0"/>
    <x v="6"/>
    <x v="1"/>
    <d v="2022-06-07T00:00:00"/>
    <m/>
    <x v="1"/>
    <m/>
    <s v="NO_"/>
    <m/>
    <m/>
    <s v="38 SEMANAS"/>
    <s v="2.5"/>
    <n v="48"/>
    <m/>
    <m/>
    <n v="2"/>
    <n v="2"/>
    <x v="2"/>
    <m/>
  </r>
  <r>
    <n v="1245079764"/>
    <x v="0"/>
    <d v="2022-06-07T00:00:00"/>
    <d v="2022-11-02T00:00:00"/>
    <m/>
    <e v="#N/A"/>
    <m/>
    <x v="0"/>
    <x v="2"/>
    <x v="2"/>
    <s v="RC"/>
    <s v="LAURA"/>
    <s v="NAHOMY"/>
    <s v="MENDEZ"/>
    <s v="SANCHEZ"/>
    <s v="LAURA NAHOMY MENDEZ SANCHEZ"/>
    <d v="2022-05-24T00:00:00"/>
    <x v="1"/>
    <n v="7"/>
    <n v="2"/>
    <s v="0 AÑOS 7 MESES 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RA 8 ESTE 108 34 SUR"/>
    <n v="3208127323"/>
    <m/>
    <x v="0"/>
    <s v="NO SE AUTORECONOCE EN NINGUNO DE LOS ANTERIORES"/>
    <x v="1"/>
    <x v="1"/>
    <s v="NO_"/>
    <s v="NO_"/>
    <s v="o. Ingresos iguales o inferiores a 1.5 Smlv"/>
    <m/>
    <s v="TIO(A)"/>
    <s v="CC"/>
    <n v="53005162"/>
    <s v="ROSMARI"/>
    <s v="NATALIA"/>
    <s v="SOSA"/>
    <s v="RAMOS"/>
    <d v="1983-02-12T00:00:00"/>
    <s v="COLOMBIA"/>
    <s v="CUNDINAMARCA"/>
    <s v="QUIPILE"/>
    <s v="CC"/>
    <n v="1007288033"/>
    <s v="JOSE"/>
    <s v="EVELIO"/>
    <s v="MENDEZ"/>
    <s v="GUARNIZO"/>
    <d v="2001-03-20T00:00:00"/>
    <n v="21"/>
    <s v="COLOMBIA"/>
    <s v="TOLIMA"/>
    <s v="CHAPARRAL"/>
    <s v="TI"/>
    <n v="1022935851"/>
    <s v="NATALY"/>
    <m/>
    <s v="SANCHEZ"/>
    <s v="SOSA"/>
    <d v="2005-08-01T00:00:00"/>
    <n v="17"/>
    <s v="COLOMBIA"/>
    <s v="CUNDINAMARCA"/>
    <s v="BOGOTA"/>
    <x v="1"/>
    <x v="1"/>
    <x v="1"/>
    <s v="NO_"/>
    <s v="NO_"/>
    <x v="1"/>
    <m/>
    <s v="SI_"/>
    <s v="SI_"/>
    <m/>
    <n v="37"/>
    <n v="2060"/>
    <m/>
    <s v="SI"/>
    <s v="ACTUAL"/>
    <s v="ACTUAL"/>
    <m/>
    <x v="2"/>
    <m/>
  </r>
  <r>
    <n v="1021694945"/>
    <x v="1"/>
    <d v="2022-06-28T00:00:00"/>
    <m/>
    <m/>
    <m/>
    <m/>
    <x v="0"/>
    <x v="1"/>
    <x v="1"/>
    <s v="RC"/>
    <s v="BENYAMIN "/>
    <s v="LEANDRO"/>
    <s v="GARAVITO"/>
    <s v="AMAYA"/>
    <s v="BENYAMIN  LEANDRO GARAVITO AMAYA"/>
    <d v="2020-02-29T00:00:00"/>
    <x v="2"/>
    <n v="9"/>
    <n v="27"/>
    <s v="2 AÑOS 9 MESES 2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m/>
    <n v="3223985308"/>
    <m/>
    <x v="0"/>
    <s v="NO SE AUTORECONOCE EN NINGUNO DE LOS ANTERIORES"/>
    <x v="0"/>
    <x v="5"/>
    <s v="NO_"/>
    <s v="NO_"/>
    <s v="o. Ingresos iguales o inferiores a 1.5 Smlv"/>
    <m/>
    <s v="MADRE"/>
    <s v="CC"/>
    <n v="1031172814"/>
    <s v="ANGIE "/>
    <s v="PAOLA"/>
    <s v="AMAYA"/>
    <s v="MORENO"/>
    <d v="1997-10-25T00:00:00"/>
    <s v="COLOMBIA"/>
    <s v="BOGOTÁ"/>
    <s v="BOGOTÁ"/>
    <s v="CC"/>
    <n v="1023015632"/>
    <s v="BRAYAN"/>
    <s v="STIVEN"/>
    <s v="GARAVITO"/>
    <s v="ZAPATA"/>
    <d v="1996-09-13T00:00:00"/>
    <n v="26"/>
    <s v="COLOMBIA"/>
    <s v="BOGOTÁ"/>
    <s v="BOGOTÁ"/>
    <s v="CC"/>
    <n v="1031172814"/>
    <s v="ANGIE "/>
    <s v="PAOLA"/>
    <s v="AMAYA "/>
    <s v="MORENO"/>
    <d v="1997-10-25T00:00:00"/>
    <n v="25"/>
    <s v="COLOMBIA"/>
    <s v="BOGOTÁ"/>
    <s v="BOGOTA"/>
    <x v="2"/>
    <x v="19"/>
    <x v="0"/>
    <d v="2022-06-28T00:00:00"/>
    <s v="SI_"/>
    <x v="2"/>
    <n v="1"/>
    <s v="NO_"/>
    <s v="SI_"/>
    <m/>
    <n v="39"/>
    <n v="3000"/>
    <n v="51"/>
    <s v="SI"/>
    <n v="6"/>
    <m/>
    <m/>
    <x v="1"/>
    <m/>
  </r>
  <r>
    <n v="1013030791"/>
    <x v="1"/>
    <d v="2022-08-02T00:00:00"/>
    <m/>
    <m/>
    <m/>
    <m/>
    <x v="0"/>
    <x v="0"/>
    <x v="0"/>
    <s v="RC"/>
    <s v="SARA"/>
    <s v="BELEN"/>
    <s v="GONZALEZ"/>
    <s v="MEDINA"/>
    <s v="SARA BELEN GONZALEZ MEDINA"/>
    <d v="2022-06-28T00:00:00"/>
    <x v="1"/>
    <n v="5"/>
    <n v="28"/>
    <s v="0 AÑOS 5 MESES 28 DIAS "/>
    <x v="1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"/>
    <m/>
    <s v="DIAGONAL 99 SUR NUMERO 2-15"/>
    <n v="3102789679"/>
    <n v="3117571681"/>
    <x v="0"/>
    <s v="NO SE AUTORECONOCE EN NINGUNO DE LOS ANTERIORES"/>
    <x v="1"/>
    <x v="1"/>
    <s v="NO_"/>
    <s v="NO_"/>
    <s v="o. Ingresos iguales o inferiores a 1.5 Smlv"/>
    <m/>
    <s v="MADRE"/>
    <s v="CC"/>
    <n v="1023016949"/>
    <s v="LUZ"/>
    <s v="ANGELICA"/>
    <s v="MEDINA"/>
    <s v="APONTE"/>
    <d v="1997-09-09T00:00:00"/>
    <s v="COLOMBIA"/>
    <s v="BOGOTÁ"/>
    <s v="BOGOTÁ"/>
    <s v="CC"/>
    <n v="80253475"/>
    <s v="LEBIS"/>
    <s v="ALEXANDER"/>
    <s v="GONZALEZ"/>
    <s v="AGUIRRE"/>
    <d v="1983-07-25T00:00:00"/>
    <n v="39"/>
    <s v="COLOMBIA"/>
    <s v="BOGOTÁ"/>
    <s v="BOGOTÁ"/>
    <s v="CC"/>
    <n v="1023016949"/>
    <s v="LUZ"/>
    <s v="ANGELICA"/>
    <s v="MEDINA"/>
    <s v="APONTE"/>
    <d v="1997-09-09T00:00:00"/>
    <n v="25"/>
    <s v="COLOMBIA"/>
    <s v="BOGOTÁ"/>
    <s v="BOGOTÁ"/>
    <x v="1"/>
    <x v="0"/>
    <x v="2"/>
    <d v="2022-08-02T00:00:00"/>
    <m/>
    <x v="0"/>
    <m/>
    <m/>
    <m/>
    <m/>
    <s v="39 SEMANAS"/>
    <n v="2800"/>
    <n v="40"/>
    <s v="SI_"/>
    <m/>
    <m/>
    <m/>
    <x v="0"/>
    <m/>
  </r>
  <r>
    <n v="1023026949"/>
    <x v="0"/>
    <d v="2022-06-28T00:00:00"/>
    <d v="2022-08-01T00:00:00"/>
    <e v="#REF!"/>
    <e v="#N/A"/>
    <m/>
    <x v="0"/>
    <x v="0"/>
    <x v="0"/>
    <s v="CC"/>
    <s v="LUZ"/>
    <s v="ANGELICA"/>
    <s v="MEDINA"/>
    <s v="APONTE"/>
    <s v="LUZ ANGELICA MEDINA APONTE"/>
    <d v="1997-09-09T00:00:00"/>
    <x v="22"/>
    <n v="3"/>
    <n v="17"/>
    <s v="25 AÑOS 3 MESES 17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"/>
    <m/>
    <s v="CL 100 1 A 19"/>
    <n v="3102789679"/>
    <m/>
    <x v="0"/>
    <s v="NO SE AUTORECONOCE EN NINGUNO DE LOS ANTERIORES"/>
    <x v="1"/>
    <x v="1"/>
    <m/>
    <m/>
    <s v="o. Ingresos iguales o inferiores a 1.5 Smlv"/>
    <m/>
    <s v="OTRO"/>
    <m/>
    <m/>
    <m/>
    <m/>
    <m/>
    <m/>
    <m/>
    <m/>
    <m/>
    <m/>
    <m/>
    <m/>
    <m/>
    <m/>
    <m/>
    <m/>
    <m/>
    <s v=""/>
    <m/>
    <m/>
    <m/>
    <m/>
    <m/>
    <m/>
    <m/>
    <m/>
    <m/>
    <m/>
    <s v=""/>
    <m/>
    <m/>
    <m/>
    <x v="1"/>
    <x v="0"/>
    <x v="0"/>
    <d v="2022-06-28T00:00:00"/>
    <s v="SI_"/>
    <x v="0"/>
    <m/>
    <m/>
    <m/>
    <m/>
    <m/>
    <m/>
    <m/>
    <m/>
    <m/>
    <m/>
    <m/>
    <x v="0"/>
    <m/>
  </r>
  <r>
    <n v="1095845727"/>
    <x v="0"/>
    <d v="2022-07-05T00:00:00"/>
    <d v="2022-10-03T00:00:00"/>
    <e v="#REF!"/>
    <e v="#N/A"/>
    <s v="TRIANGULO"/>
    <x v="0"/>
    <x v="1"/>
    <x v="1"/>
    <s v="RC"/>
    <s v="GABRIELA"/>
    <s v="EDUARLIS"/>
    <s v="CASTILLO "/>
    <s v="RODRIGUEZ"/>
    <s v="GABRIELA EDUARLIS CASTILLO  RODRIGUEZ"/>
    <d v="2019-10-07T00:00:00"/>
    <x v="10"/>
    <n v="2"/>
    <n v="19"/>
    <s v="3 AÑOS 2 MESES 1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"/>
    <m/>
    <s v="CLL  84 A SUR # 1 ESTE 24 PI 2"/>
    <n v="3169317802"/>
    <n v="3168571778"/>
    <x v="0"/>
    <s v="NO SE AUTORECONOCE EN NINGUNO DE LOS ANTERIORES"/>
    <x v="1"/>
    <x v="1"/>
    <s v="NO_"/>
    <s v="NO_"/>
    <s v="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"/>
    <s v="NO_"/>
    <s v="MADRE"/>
    <s v="SIN DOCUMENTO"/>
    <m/>
    <s v="GILMA"/>
    <s v="YERICA"/>
    <s v="RODRIGUEZ"/>
    <s v="FRANCO"/>
    <d v="1982-06-01T00:00:00"/>
    <s v="VENEZUELA"/>
    <s v="EXTERIOR"/>
    <s v="EXTERIOR"/>
    <s v="SIN DOCUMENTO"/>
    <m/>
    <s v="GABRIEL "/>
    <s v="EUARDO"/>
    <s v="CASTILLO "/>
    <s v="HERNANDEZ"/>
    <d v="1987-09-05T00:00:00"/>
    <n v="35"/>
    <s v="VENEZUELA"/>
    <s v="EXTERIOR"/>
    <s v="EXTERIOR"/>
    <s v="SIN DOCUMENTO"/>
    <m/>
    <s v="GILMA"/>
    <s v="YERICA"/>
    <s v="RODRIGUEZ"/>
    <s v="FRANCO"/>
    <d v="1982-06-01T00:00:00"/>
    <n v="40"/>
    <s v="VENEZUELA"/>
    <s v="EXTERIOR"/>
    <s v="EXTERIOR"/>
    <x v="1"/>
    <x v="2"/>
    <x v="0"/>
    <d v="2022-07-05T00:00:00"/>
    <s v="SI_"/>
    <x v="2"/>
    <m/>
    <s v="NO_"/>
    <m/>
    <m/>
    <m/>
    <n v="2520"/>
    <n v="47"/>
    <s v="SI_"/>
    <n v="6"/>
    <n v="6"/>
    <m/>
    <x v="3"/>
    <m/>
  </r>
  <r>
    <n v="1023045790"/>
    <x v="1"/>
    <d v="2022-07-05T00:00:00"/>
    <m/>
    <m/>
    <m/>
    <s v="TRIANGULO"/>
    <x v="0"/>
    <x v="1"/>
    <x v="1"/>
    <s v="RC"/>
    <s v="THIARA "/>
    <s v="SALOME"/>
    <s v="PINILLA "/>
    <s v="MURILLO"/>
    <s v="THIARA  SALOME PINILLA  MURILLO"/>
    <d v="2020-11-17T00:00:00"/>
    <x v="2"/>
    <n v="1"/>
    <n v="9"/>
    <s v="2 AÑOS 1 MESES 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R 6F ESTE # 94 SUR 49"/>
    <n v="3197174838"/>
    <n v="3214959368"/>
    <x v="0"/>
    <s v="NO SE AUTORECONOCE EN NINGUNO DE LOS ANTERIORES"/>
    <x v="0"/>
    <x v="9"/>
    <s v="NO_"/>
    <s v="NO_"/>
    <s v="a. Pertenecientes a hogares con puntaje SISBEN"/>
    <s v="SI_"/>
    <s v="TIO(A)"/>
    <s v="CC"/>
    <n v="52293957"/>
    <s v="JOAN"/>
    <s v="NELLY"/>
    <s v="ARIZA"/>
    <m/>
    <d v="1975-11-17T00:00:00"/>
    <s v="COLOMBIA"/>
    <s v="BOGOTÁ"/>
    <s v="BOGOTÁ"/>
    <m/>
    <m/>
    <m/>
    <m/>
    <m/>
    <m/>
    <m/>
    <s v=""/>
    <m/>
    <m/>
    <m/>
    <s v="CC"/>
    <n v="1023008147"/>
    <s v="TATIANA "/>
    <s v="VANESSA"/>
    <s v="MURILLO"/>
    <s v="ARIZA"/>
    <d v="1995-10-27T00:00:00"/>
    <n v="27"/>
    <s v="COLOMBIA"/>
    <s v="BOGOTÁ"/>
    <s v="BOGOTÁ"/>
    <x v="0"/>
    <x v="3"/>
    <x v="0"/>
    <s v="5-07--22"/>
    <s v="SI_"/>
    <x v="2"/>
    <m/>
    <s v="NO_"/>
    <m/>
    <m/>
    <m/>
    <n v="3535"/>
    <s v="5|"/>
    <s v="SI_"/>
    <n v="6"/>
    <n v="6"/>
    <m/>
    <x v="1"/>
    <m/>
  </r>
  <r>
    <n v="1023305546"/>
    <x v="0"/>
    <d v="2022-07-05T00:00:00"/>
    <d v="2022-09-26T00:00:00"/>
    <e v="#REF!"/>
    <e v="#N/A"/>
    <m/>
    <x v="0"/>
    <x v="4"/>
    <x v="4"/>
    <s v="RC"/>
    <s v="MILAN"/>
    <s v="DAVID"/>
    <s v="MONTES"/>
    <s v="MORENO"/>
    <s v="MILAN DAVID MONTES MORENO"/>
    <d v="2021-05-23T00:00:00"/>
    <x v="3"/>
    <n v="7"/>
    <n v="3"/>
    <s v="1 AÑOS 7 MESES 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KR 9 A ESTE 107 A SUR 19"/>
    <n v="3212858778"/>
    <m/>
    <x v="0"/>
    <s v="NO SE AUTORECONOCE EN NINGUNO DE LOS ANTERIORES"/>
    <x v="0"/>
    <x v="11"/>
    <s v="NO_"/>
    <s v="NO_"/>
    <s v="a. Pertenecientes a hogares con puntaje SISBEN"/>
    <m/>
    <s v="MADRE"/>
    <s v="CC"/>
    <n v="39024193"/>
    <s v="MARIA"/>
    <s v="VICTORIA"/>
    <s v="MORENO"/>
    <s v="PEÑALOSA"/>
    <d v="1980-03-04T00:00:00"/>
    <s v="COLOMBIA"/>
    <s v="MAGDALENA"/>
    <s v="EL BANCO"/>
    <m/>
    <m/>
    <m/>
    <m/>
    <m/>
    <m/>
    <m/>
    <s v=""/>
    <m/>
    <m/>
    <m/>
    <s v="CC"/>
    <n v="39024193"/>
    <s v="MARIA"/>
    <s v="VICTORIA"/>
    <s v="MORENO"/>
    <s v="PEÑALOSA"/>
    <d v="1980-03-04T00:00:00"/>
    <n v="42"/>
    <s v="COLOMBIA"/>
    <s v="MAGDALENA"/>
    <s v="EL BANCO"/>
    <x v="1"/>
    <x v="2"/>
    <x v="0"/>
    <d v="2022-07-06T00:00:00"/>
    <s v="NO_"/>
    <x v="1"/>
    <m/>
    <s v="NO_"/>
    <m/>
    <m/>
    <m/>
    <m/>
    <m/>
    <m/>
    <n v="6"/>
    <n v="14"/>
    <m/>
    <x v="1"/>
    <m/>
  </r>
  <r>
    <n v="1023047429"/>
    <x v="1"/>
    <d v="2022-07-26T00:00:00"/>
    <m/>
    <m/>
    <m/>
    <m/>
    <x v="0"/>
    <x v="3"/>
    <x v="3"/>
    <s v="RC"/>
    <s v="HELEN"/>
    <s v="DARIANA"/>
    <s v="GOMEZ"/>
    <s v="OROZCO"/>
    <s v="HELEN DARIANA GOMEZ OROZCO"/>
    <d v="2021-10-17T00:00:00"/>
    <x v="3"/>
    <n v="2"/>
    <n v="9"/>
    <s v="1 AÑOS 2 MESES 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CRA 7D ESTE # 97BSUR-25"/>
    <n v="3025240237"/>
    <n v="3053210673"/>
    <x v="0"/>
    <s v="NO SE AUTORECONOCE EN NINGUNO DE LOS ANTERIORES"/>
    <x v="0"/>
    <x v="8"/>
    <s v="NO_"/>
    <s v="NO_"/>
    <s v="o. Ingresos iguales o inferiores a 1.5 Smlv"/>
    <m/>
    <s v="MADRE"/>
    <s v="CC"/>
    <n v="1006026756"/>
    <s v="SHAIRA"/>
    <s v="MARCELA "/>
    <s v="OROZCO"/>
    <s v="CAMPOS "/>
    <m/>
    <s v="COLOMBIA"/>
    <s v="BOGOTÁ"/>
    <s v="BOGOTÁ"/>
    <m/>
    <n v="1010051018"/>
    <s v="ESTEBAN"/>
    <s v="GUILLERMO"/>
    <s v="GOMEZ"/>
    <s v="OCAMPO"/>
    <m/>
    <s v=""/>
    <s v=""/>
    <m/>
    <m/>
    <s v="CC"/>
    <n v="1006026756"/>
    <s v="SHAIRA"/>
    <s v="MARCELA "/>
    <s v="OROZCO"/>
    <s v="CAMPOS "/>
    <d v="2001-06-01T00:00:00"/>
    <n v="21"/>
    <s v="COLOMBIA"/>
    <s v="BOGOTÁ"/>
    <s v="BOGOTÁ"/>
    <x v="0"/>
    <x v="2"/>
    <x v="0"/>
    <d v="2022-05-24T00:00:00"/>
    <s v="SI_"/>
    <x v="2"/>
    <n v="5"/>
    <s v="NO_"/>
    <s v="NO"/>
    <m/>
    <n v="40"/>
    <n v="2830"/>
    <n v="50"/>
    <m/>
    <m/>
    <m/>
    <m/>
    <x v="1"/>
    <m/>
  </r>
  <r>
    <n v="1031188618"/>
    <x v="1"/>
    <d v="2022-08-02T00:00:00"/>
    <m/>
    <m/>
    <m/>
    <m/>
    <x v="0"/>
    <x v="2"/>
    <x v="2"/>
    <s v="RC"/>
    <s v="LIAM"/>
    <s v="SANTIAGO"/>
    <s v="CASTRO "/>
    <s v="PEÑA"/>
    <s v="LIAM SANTIAGO CASTRO  PEÑA"/>
    <d v="2022-06-14T00:00:00"/>
    <x v="1"/>
    <n v="6"/>
    <n v="12"/>
    <s v="0 AÑOS 6 MESES 1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8"/>
    <m/>
    <s v="KR 7 C ESTE NUMERO 97 D 03"/>
    <n v="3214642100"/>
    <n v="3112436332"/>
    <x v="0"/>
    <s v="NO SE AUTORECONOCE EN NINGUNO DE LOS ANTERIORES"/>
    <x v="1"/>
    <x v="1"/>
    <s v="NO_"/>
    <s v="NO_"/>
    <s v="o. Ingresos iguales o inferiores a 1.5 Smlv"/>
    <s v="NO_"/>
    <s v="ABUELO(A)"/>
    <s v="CC"/>
    <n v="65587341"/>
    <s v="MARIA"/>
    <s v="EUGENIA"/>
    <s v="ARIAS"/>
    <s v="BRIÑEZ"/>
    <d v="1970-12-25T00:00:00"/>
    <s v="COLOMBIA"/>
    <s v="TOLIMA"/>
    <s v="SALDAÑA"/>
    <s v="CC"/>
    <n v="1069303309"/>
    <s v="OSCAR"/>
    <s v="EDUARDO"/>
    <s v="CASTRO "/>
    <s v="AVELLANEDA"/>
    <d v="1989-12-05T00:00:00"/>
    <n v="33"/>
    <s v="COLOMBIA"/>
    <s v="BOGOTÁ"/>
    <s v="BOGOTÁ"/>
    <s v="CC"/>
    <n v="1032465903"/>
    <s v="WENDY"/>
    <s v="GINETH "/>
    <s v="PEÑA"/>
    <s v="ARIAS"/>
    <d v="1994-08-02T00:00:00"/>
    <n v="28"/>
    <s v="COLOMBIA"/>
    <s v="BOGOTÁ"/>
    <s v="BOGOTÁ"/>
    <x v="0"/>
    <x v="6"/>
    <x v="0"/>
    <d v="2022-07-29T00:00:00"/>
    <s v="SI_"/>
    <x v="2"/>
    <m/>
    <s v="NO_"/>
    <m/>
    <m/>
    <n v="39"/>
    <n v="2870"/>
    <n v="48"/>
    <s v="SI_"/>
    <m/>
    <m/>
    <m/>
    <x v="2"/>
    <m/>
  </r>
  <r>
    <n v="1023046133"/>
    <x v="0"/>
    <d v="2022-07-19T00:00:00"/>
    <d v="2022-08-01T00:00:00"/>
    <e v="#REF!"/>
    <e v="#N/A"/>
    <m/>
    <x v="0"/>
    <x v="4"/>
    <x v="4"/>
    <s v="RC"/>
    <s v="ISABELLA"/>
    <m/>
    <s v="GONZALEZ"/>
    <s v="MARTINEZ"/>
    <s v="ISABELLA  GONZALEZ MARTINEZ"/>
    <d v="2020-12-06T00:00:00"/>
    <x v="2"/>
    <n v="0"/>
    <n v="20"/>
    <s v="2 AÑOS 0 MESES 2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6 ESTE 106 SUR 73"/>
    <n v="3208779877"/>
    <n v="3178452525"/>
    <x v="0"/>
    <s v="NO SE AUTORECONOCE EN NINGUNO DE LOS ANTERIORES"/>
    <x v="0"/>
    <x v="2"/>
    <s v="NO_"/>
    <s v="NO_"/>
    <s v="a. Pertenecientes a hogares con puntaje SISBEN"/>
    <m/>
    <s v="MADRE"/>
    <s v="CC"/>
    <n v="1073672693"/>
    <s v="YULY"/>
    <s v="ANDREA"/>
    <s v="MARTINEZ"/>
    <s v="SALINAS"/>
    <d v="1997-05-17T00:00:00"/>
    <s v="COLOMBIA"/>
    <s v="CUNDINAMARCA"/>
    <s v="SOACHA"/>
    <s v="CC"/>
    <n v="790031416"/>
    <s v="JOSE"/>
    <s v="ALVARO"/>
    <s v="GONZALEZ"/>
    <s v="PEREIRA"/>
    <d v="1972-03-19T00:00:00"/>
    <n v="50"/>
    <s v="COLOMBIA"/>
    <s v="CUNDINAMARCA"/>
    <s v="VILLETA"/>
    <s v="CC"/>
    <n v="1073672693"/>
    <s v="YULY"/>
    <s v="ANDREA"/>
    <s v="MARTINEZ"/>
    <s v="SALINAS"/>
    <d v="1997-05-17T00:00:00"/>
    <n v="25"/>
    <s v="COLOMBIA"/>
    <s v="CUNDINAMARCA"/>
    <s v="SOACHA"/>
    <x v="1"/>
    <x v="2"/>
    <x v="0"/>
    <d v="2022-02-25T00:00:00"/>
    <s v="SI_"/>
    <x v="2"/>
    <n v="1"/>
    <s v="NO_"/>
    <s v="NO"/>
    <m/>
    <n v="39"/>
    <n v="3415"/>
    <n v="51"/>
    <s v="NO_"/>
    <n v="6"/>
    <m/>
    <m/>
    <x v="1"/>
    <m/>
  </r>
  <r>
    <n v="1023047344"/>
    <x v="1"/>
    <d v="2022-08-02T00:00:00"/>
    <m/>
    <m/>
    <m/>
    <s v="TRIANGULO"/>
    <x v="0"/>
    <x v="5"/>
    <x v="5"/>
    <s v="RC"/>
    <s v="EITHAN"/>
    <s v="ALEJANDRO"/>
    <s v="AVILA"/>
    <s v="TOVAR"/>
    <s v="EITHAN ALEJANDRO AVILA TOVAR"/>
    <d v="2021-08-22T00:00:00"/>
    <x v="3"/>
    <n v="4"/>
    <n v="4"/>
    <s v="1 AÑOS 4 MESES 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0"/>
    <m/>
    <s v="KRA6AESTE#94SUR-56"/>
    <n v="3229256255"/>
    <n v="3177516246"/>
    <x v="0"/>
    <s v="NO SE AUTORECONOCE EN NINGUNO DE LOS ANTERIORES"/>
    <x v="1"/>
    <x v="1"/>
    <s v="NO_"/>
    <s v="NO_"/>
    <s v="o. Ingresos iguales o inferiores a 1.5 Smlv"/>
    <m/>
    <s v="MADRE"/>
    <s v="CC"/>
    <n v="1023024089"/>
    <s v="KAREN"/>
    <s v="DAYANA"/>
    <s v="AVILA"/>
    <s v="TOVAR"/>
    <d v="1997-09-07T00:00:00"/>
    <s v="COLOMBIA"/>
    <s v="BOGOTÁ"/>
    <s v="BOGOTÁ"/>
    <m/>
    <m/>
    <m/>
    <m/>
    <m/>
    <m/>
    <m/>
    <s v=""/>
    <m/>
    <m/>
    <m/>
    <s v="CC"/>
    <n v="1023024089"/>
    <s v="KAREN"/>
    <s v="DAYANA"/>
    <s v="AVILA"/>
    <s v="TOVAR"/>
    <m/>
    <s v=""/>
    <s v="COLOMBIA"/>
    <s v="BOGOTÁ"/>
    <s v="BOGOTÁ"/>
    <x v="0"/>
    <x v="2"/>
    <x v="0"/>
    <d v="2022-08-03T00:00:00"/>
    <m/>
    <x v="2"/>
    <m/>
    <s v="NO_"/>
    <m/>
    <m/>
    <m/>
    <n v="3020"/>
    <n v="51"/>
    <m/>
    <s v="6 MESES"/>
    <s v="HASTA EL MOMENTO"/>
    <n v="39"/>
    <x v="1"/>
    <m/>
  </r>
  <r>
    <n v="1023045906"/>
    <x v="1"/>
    <d v="2022-08-02T00:00:00"/>
    <m/>
    <m/>
    <m/>
    <m/>
    <x v="0"/>
    <x v="5"/>
    <x v="5"/>
    <s v="RC"/>
    <s v="DEIVI "/>
    <s v="ALEXANDER"/>
    <s v="GARZON"/>
    <s v="OJEDA"/>
    <s v="DEIVI  ALEXANDER GARZON OJEDA"/>
    <d v="2020-11-19T00:00:00"/>
    <x v="2"/>
    <n v="1"/>
    <n v="7"/>
    <s v="2 AÑOS 1 MESES 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LL109SUR8AESTE15"/>
    <n v="3107746275"/>
    <m/>
    <x v="0"/>
    <s v="NO SE AUTORECONOCE EN NINGUNO DE LOS ANTERIORES"/>
    <x v="0"/>
    <x v="8"/>
    <s v="NO_"/>
    <s v="NO_"/>
    <s v="o. Ingresos iguales o inferiores a 1.5 Smlv"/>
    <m/>
    <s v="MADRE"/>
    <s v="CC"/>
    <n v="1007775164"/>
    <s v="LUZ"/>
    <s v="MARY"/>
    <s v="OJEDA"/>
    <s v="SOGAMOSO"/>
    <d v="2000-06-21T00:00:00"/>
    <s v="COLOMBIA"/>
    <s v="BOGOTÁ"/>
    <s v="BOGOTÁ"/>
    <s v="CC"/>
    <n v="1023035223"/>
    <s v="MIGUEL"/>
    <s v="ANGEL"/>
    <s v="GARZON"/>
    <s v="PULIDO"/>
    <d v="1999-04-30T00:00:00"/>
    <n v="23"/>
    <s v="COLOMBIA"/>
    <s v="BOGOTÁ"/>
    <s v="BOGOTÁ"/>
    <s v="CC"/>
    <n v="1007775164"/>
    <s v="LUZ"/>
    <s v="MARY"/>
    <s v="OJEDA"/>
    <s v="SOGAMOSO"/>
    <d v="2000-06-21T00:00:00"/>
    <n v="22"/>
    <s v="COLOMBIA"/>
    <s v="BOGOTÁ"/>
    <s v="BOGOTÁ"/>
    <x v="1"/>
    <x v="1"/>
    <x v="2"/>
    <d v="2022-08-03T00:00:00"/>
    <m/>
    <x v="0"/>
    <m/>
    <s v="NO_"/>
    <m/>
    <m/>
    <m/>
    <n v="2470"/>
    <n v="49"/>
    <m/>
    <s v="6 MESES"/>
    <s v="HASTA EL MOMENTO"/>
    <n v="37"/>
    <x v="1"/>
    <m/>
  </r>
  <r>
    <n v="1023046982"/>
    <x v="1"/>
    <d v="2022-08-02T00:00:00"/>
    <m/>
    <m/>
    <m/>
    <m/>
    <x v="0"/>
    <x v="5"/>
    <x v="5"/>
    <s v="RC"/>
    <s v="DANIEL"/>
    <s v="MATHIAS "/>
    <s v="MEJIA"/>
    <s v="CUBIDES"/>
    <s v="DANIEL MATHIAS  MEJIA CUBIDES"/>
    <d v="2021-07-24T00:00:00"/>
    <x v="3"/>
    <n v="5"/>
    <n v="2"/>
    <s v="1 AÑOS 5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1"/>
    <m/>
    <s v="CLL107SUR#6GESTE19"/>
    <n v="3103040554"/>
    <m/>
    <x v="0"/>
    <s v="NO SE AUTORECONOCE EN NINGUNO DE LOS ANTERIORES"/>
    <x v="0"/>
    <x v="6"/>
    <s v="NO_"/>
    <s v="NO_"/>
    <s v="o. Ingresos iguales o inferiores a 1.5 Smlv"/>
    <m/>
    <s v="MADRE"/>
    <s v="CC"/>
    <n v="1000990"/>
    <s v="DIANA"/>
    <s v="SOFIA"/>
    <s v="MEJIA"/>
    <s v="CUBIDES"/>
    <d v="2003-03-03T00:00:00"/>
    <s v="COLOMBIA"/>
    <s v="BOGOTÁ"/>
    <s v="BOGOTÁ"/>
    <m/>
    <m/>
    <m/>
    <m/>
    <m/>
    <m/>
    <m/>
    <s v=""/>
    <m/>
    <m/>
    <m/>
    <s v="CC"/>
    <n v="1000989499"/>
    <s v="TATIANA"/>
    <m/>
    <s v="MEJIA"/>
    <s v="CUBIDES"/>
    <m/>
    <s v=""/>
    <s v="COLOMBIA"/>
    <s v="BOGOTÁ"/>
    <s v="BOGOTÁ"/>
    <x v="1"/>
    <x v="9"/>
    <x v="0"/>
    <d v="2022-08-03T00:00:00"/>
    <s v="SI_"/>
    <x v="2"/>
    <n v="1"/>
    <s v="SI_"/>
    <m/>
    <m/>
    <m/>
    <m/>
    <m/>
    <m/>
    <s v="6 MESES"/>
    <s v="HASTA EL MOMENTO"/>
    <m/>
    <x v="1"/>
    <m/>
  </r>
  <r>
    <n v="1092349873"/>
    <x v="1"/>
    <d v="2022-08-05T00:00:00"/>
    <m/>
    <m/>
    <m/>
    <m/>
    <x v="0"/>
    <x v="0"/>
    <x v="0"/>
    <s v="TI"/>
    <s v="PAUL "/>
    <s v="MARIANA"/>
    <s v="HIGUERA "/>
    <s v="SANABRIA"/>
    <s v="PAUL  MARIANA HIGUERA  SANABRIA"/>
    <d v="2007-01-15T00:00:00"/>
    <x v="30"/>
    <n v="11"/>
    <n v="11"/>
    <s v="15 AÑOS 11 MESES 11 DIAS "/>
    <x v="0"/>
    <x v="0"/>
    <x v="0"/>
    <s v="SANTANDER"/>
    <s v="VILLA DEL ROSARIO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8 D ESTE 102 SUR 0041 01 00101"/>
    <n v="3503983889"/>
    <n v="3113695858"/>
    <x v="0"/>
    <s v="NO SE AUTORECONOCE EN NINGUNO DE LOS ANTERIORES"/>
    <x v="0"/>
    <x v="17"/>
    <s v="SI_"/>
    <s v="NO_"/>
    <s v="a. Pertenecientes a hogares con puntaje SISBEN"/>
    <m/>
    <s v="CONYUGE"/>
    <s v="CC"/>
    <n v="1000989967"/>
    <s v="JHON"/>
    <s v="FREDY"/>
    <s v="SUAREZ"/>
    <s v="CORZO"/>
    <d v="2000-11-24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1"/>
    <x v="2"/>
    <x v="0"/>
    <m/>
    <s v="NO_"/>
    <x v="1"/>
    <m/>
    <s v="NO_"/>
    <m/>
    <m/>
    <m/>
    <m/>
    <m/>
    <m/>
    <m/>
    <m/>
    <n v="13"/>
    <x v="0"/>
    <m/>
  </r>
  <r>
    <n v="1023990929"/>
    <x v="1"/>
    <d v="2022-11-04T00:00:00"/>
    <m/>
    <s v="GINA PAOLA GOMEZ TETEYE"/>
    <m/>
    <m/>
    <x v="0"/>
    <x v="0"/>
    <x v="0"/>
    <s v="RC"/>
    <s v="GAEL"/>
    <s v="ALDAIR"/>
    <s v="CAÑUBE"/>
    <s v="GOMEZ"/>
    <s v="GAEL ALDAIR CAÑUBE GOMEZ"/>
    <d v="2022-09-16T00:00:00"/>
    <x v="1"/>
    <n v="3"/>
    <n v="10"/>
    <s v="0 AÑOS 3 MESES 10 DIAS "/>
    <x v="1"/>
    <x v="1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16"/>
    <m/>
    <s v="ZONA DE ASENTAMIENTO"/>
    <n v="3202736846"/>
    <m/>
    <x v="0"/>
    <s v="INDIGENA"/>
    <x v="1"/>
    <x v="1"/>
    <s v="NO_"/>
    <s v="SI_"/>
    <s v="a. Pertenecientes a hogares con puntaje SISBEN"/>
    <m/>
    <s v="MADRE"/>
    <s v="CC"/>
    <n v="1133154221"/>
    <s v="GINA"/>
    <s v="PAOLA"/>
    <s v="GOMEZ"/>
    <s v="TETEYE"/>
    <d v="1987-09-22T00:00:00"/>
    <s v="COLOMBIA"/>
    <s v="AMAZONAS"/>
    <s v="LA CHORRERA"/>
    <s v="CC"/>
    <n v="1121215286"/>
    <s v="ALDAIR"/>
    <m/>
    <s v="CAÑUBE"/>
    <s v="GOMEZ"/>
    <d v="1995-10-07T00:00:00"/>
    <n v="27"/>
    <s v="COLOMBIA"/>
    <s v="AMAZONAS"/>
    <s v="LA CHORRERA"/>
    <s v="CC"/>
    <n v="1133154221"/>
    <s v="GINA"/>
    <s v="PAOLA"/>
    <s v="GOMEZ"/>
    <s v="TETEYE"/>
    <d v="1987-09-22T00:00:00"/>
    <n v="35"/>
    <s v="COLOMBIA"/>
    <s v="AMAZONAS"/>
    <s v="LA CHORRERA"/>
    <x v="4"/>
    <x v="16"/>
    <x v="0"/>
    <d v="2022-10-04T00:00:00"/>
    <s v="SI_"/>
    <x v="1"/>
    <m/>
    <s v="NO_"/>
    <s v="SI"/>
    <m/>
    <n v="40"/>
    <n v="3145"/>
    <n v="50"/>
    <s v="SI_"/>
    <n v="2"/>
    <n v="2"/>
    <m/>
    <x v="0"/>
    <m/>
  </r>
  <r>
    <n v="1133154221"/>
    <x v="0"/>
    <d v="2022-08-05T00:00:00"/>
    <d v="2022-11-04T00:00:00"/>
    <m/>
    <e v="#N/A"/>
    <m/>
    <x v="0"/>
    <x v="0"/>
    <x v="0"/>
    <s v="CC"/>
    <s v="GINA"/>
    <s v="PAOLA"/>
    <s v="GOMEZ"/>
    <s v="TETEYE"/>
    <s v="GINA PAOLA GOMEZ TETEYE"/>
    <d v="1987-09-22T00:00:00"/>
    <x v="28"/>
    <n v="3"/>
    <n v="4"/>
    <s v="35 AÑOS 3 MESES 4 DIAS "/>
    <x v="0"/>
    <x v="0"/>
    <x v="0"/>
    <s v="AMAZONAS"/>
    <s v="LA CHORRER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s v="ZONA SIN LEGALIKZAR EL REFUGIO"/>
    <m/>
    <n v="3202736846"/>
    <m/>
    <x v="2"/>
    <s v="INDIGENA"/>
    <x v="1"/>
    <x v="1"/>
    <s v="NO_"/>
    <s v="NO_"/>
    <s v="o. Ingresos iguales o inferiores a 1.5 Smlv"/>
    <m/>
    <s v="CONYUGE"/>
    <s v="CC"/>
    <n v="1121215286"/>
    <s v="ALDAIR"/>
    <m/>
    <s v="CAÑUBE"/>
    <s v="GOMEZ"/>
    <d v="1995-10-07T00:00:00"/>
    <s v="COLOMBIA"/>
    <s v="AMAZONAS"/>
    <s v="LA CHORRERA"/>
    <m/>
    <m/>
    <m/>
    <m/>
    <m/>
    <m/>
    <m/>
    <s v=""/>
    <m/>
    <m/>
    <m/>
    <m/>
    <m/>
    <m/>
    <m/>
    <m/>
    <m/>
    <m/>
    <s v=""/>
    <m/>
    <m/>
    <m/>
    <x v="2"/>
    <x v="24"/>
    <x v="0"/>
    <m/>
    <s v="NO_"/>
    <x v="1"/>
    <m/>
    <m/>
    <m/>
    <m/>
    <m/>
    <m/>
    <m/>
    <m/>
    <m/>
    <m/>
    <n v="16"/>
    <x v="0"/>
    <m/>
  </r>
  <r>
    <n v="1023991107"/>
    <x v="1"/>
    <d v="2022-12-05T00:00:00"/>
    <m/>
    <s v="YENIFER ANDREA BOHORQUEZ"/>
    <m/>
    <m/>
    <x v="0"/>
    <x v="0"/>
    <x v="0"/>
    <s v="RC"/>
    <s v="SHARON"/>
    <s v="SAMARA"/>
    <s v="GUZMAN"/>
    <s v="BOHORQUEZ"/>
    <s v="SHARON SAMARA GUZMAN BOHORQUEZ"/>
    <d v="2022-10-15T00:00:00"/>
    <x v="1"/>
    <n v="2"/>
    <n v="11"/>
    <s v="0 AÑOS 2 MESES 11 DIAS "/>
    <x v="1"/>
    <x v="0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5"/>
    <m/>
    <s v="CRA 7 A ESTE #100 B 22 SUR"/>
    <n v="3222371119"/>
    <m/>
    <x v="0"/>
    <s v="NO SE AUTORECONOCE EN NINGUNO DE LOS ANTERIORES"/>
    <x v="1"/>
    <x v="1"/>
    <s v="NO_"/>
    <s v="NO_"/>
    <s v="o. Ingresos iguales o inferiores a 1.5 Smlv"/>
    <s v="NO_"/>
    <s v="MADRE"/>
    <s v="CC"/>
    <n v="1023991107"/>
    <s v="YENIFER"/>
    <s v="ANDREA"/>
    <s v="BOHORQUEZ"/>
    <s v="TRUJILLO"/>
    <d v="2022-08-03T00:00:00"/>
    <s v="COLOMBIA"/>
    <s v="BOGOTÁ"/>
    <s v="BOGOTÁ"/>
    <s v="CC"/>
    <n v="1073706074"/>
    <s v="BRAYAN "/>
    <s v="ORLANDO"/>
    <s v="GUZMAN"/>
    <s v="FAGUA"/>
    <d v="1995-12-10T00:00:00"/>
    <n v="27"/>
    <s v="COLOMBIA"/>
    <s v="BOGOTÁ"/>
    <s v="BOGOTÁ"/>
    <s v="CC"/>
    <n v="1024576052"/>
    <s v="YENIFER"/>
    <s v="ANDREA"/>
    <s v="BOHORQUEZ"/>
    <s v="TRUJILLO"/>
    <d v="1996-08-03T00:00:00"/>
    <n v="26"/>
    <s v="COLOMBIA"/>
    <s v="BOGOTÁ"/>
    <s v="BOGOTÁ"/>
    <x v="0"/>
    <x v="2"/>
    <x v="0"/>
    <d v="2022-12-05T00:00:00"/>
    <s v="SI_"/>
    <x v="2"/>
    <n v="4"/>
    <s v="SI_"/>
    <s v="SI"/>
    <m/>
    <n v="37"/>
    <n v="2130"/>
    <n v="44"/>
    <s v="SI_"/>
    <n v="1"/>
    <n v="1"/>
    <m/>
    <x v="0"/>
    <m/>
  </r>
  <r>
    <n v="1024576052"/>
    <x v="0"/>
    <d v="2022-08-05T00:00:00"/>
    <d v="2022-12-05T00:00:00"/>
    <m/>
    <m/>
    <m/>
    <x v="0"/>
    <x v="0"/>
    <x v="0"/>
    <s v="CC"/>
    <s v="YENIFER"/>
    <s v="ANDREA"/>
    <s v="BOHORQUEZ"/>
    <s v="TRUJILLO"/>
    <s v="YENIFER ANDREA BOHORQUEZ TRUJILLO"/>
    <d v="1996-08-03T00:00:00"/>
    <x v="26"/>
    <n v="4"/>
    <n v="23"/>
    <s v="26 AÑOS 4 MESES 23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A ESTE NO 100 B SUR -22"/>
    <n v="3222371119"/>
    <n v="3222604791"/>
    <x v="2"/>
    <s v="NO SE AUTORECONOCE EN NINGUNO DE LOS ANTERIORES"/>
    <x v="0"/>
    <x v="4"/>
    <s v="NO_"/>
    <s v="NO_"/>
    <s v="a. Pertenecientes a hogares con puntaje SISBEN"/>
    <m/>
    <s v="OTRO"/>
    <s v="CC"/>
    <n v="39802983"/>
    <s v="GLORIA"/>
    <s v="INES"/>
    <s v="FAGUA"/>
    <m/>
    <d v="1971-04-25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2"/>
    <x v="0"/>
    <m/>
    <s v="NO_"/>
    <x v="1"/>
    <m/>
    <m/>
    <m/>
    <m/>
    <m/>
    <m/>
    <m/>
    <m/>
    <m/>
    <m/>
    <n v="26"/>
    <x v="0"/>
    <m/>
  </r>
  <r>
    <n v="1023048150"/>
    <x v="1"/>
    <d v="2022-08-05T00:00:00"/>
    <m/>
    <m/>
    <m/>
    <m/>
    <x v="0"/>
    <x v="2"/>
    <x v="2"/>
    <s v="RC"/>
    <s v="DYLAN "/>
    <s v="ALEXANDER"/>
    <s v="RODRIGUEZ"/>
    <s v="YATE"/>
    <s v="DYLAN  ALEXANDER RODRIGUEZ YATE"/>
    <d v="2022-03-16T00:00:00"/>
    <x v="1"/>
    <n v="9"/>
    <n v="10"/>
    <s v="0 AÑOS 9 MESES 1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L 113 SUR 8A ESTE "/>
    <n v="3203781051"/>
    <n v="3212662876"/>
    <x v="0"/>
    <s v="NO SE AUTORECONOCE EN NINGUNO DE LOS ANTERIORES"/>
    <x v="0"/>
    <x v="6"/>
    <m/>
    <s v="NO_"/>
    <s v="a. Pertenecientes a hogares con puntaje SISBEN"/>
    <m/>
    <s v="MADRE"/>
    <s v="CC"/>
    <n v="1023015766"/>
    <s v="DIANA"/>
    <s v="CONSTANZA"/>
    <s v="YATE "/>
    <s v="MADRIGAL "/>
    <d v="1996-08-25T00:00:00"/>
    <s v="COLOMBIA"/>
    <s v="TOLIMA"/>
    <s v="COYAIMA"/>
    <m/>
    <m/>
    <m/>
    <m/>
    <m/>
    <m/>
    <m/>
    <s v=""/>
    <m/>
    <m/>
    <m/>
    <s v="CC"/>
    <n v="1023015766"/>
    <s v="DIANA"/>
    <s v="CONSTANZA"/>
    <s v="YATE "/>
    <s v="MADRIGAL "/>
    <d v="1996-08-25T00:00:00"/>
    <n v="26"/>
    <s v="COLOMBIA"/>
    <s v="TOLIMA"/>
    <s v="COYAIMA"/>
    <x v="0"/>
    <x v="0"/>
    <x v="0"/>
    <m/>
    <s v="SI_"/>
    <x v="2"/>
    <n v="1"/>
    <s v="NO_"/>
    <m/>
    <m/>
    <n v="40"/>
    <n v="3320"/>
    <n v="51"/>
    <s v="SI_"/>
    <s v="ACTUAL"/>
    <s v="ACTUAL"/>
    <m/>
    <x v="2"/>
    <m/>
  </r>
  <r>
    <n v="1023048559"/>
    <x v="1"/>
    <d v="2022-08-05T00:00:00"/>
    <m/>
    <m/>
    <m/>
    <m/>
    <x v="0"/>
    <x v="2"/>
    <x v="2"/>
    <s v="RC"/>
    <s v="KEYLLIN"/>
    <s v="ARIANA"/>
    <s v="ALAPE"/>
    <s v="ROJAS"/>
    <s v="KEYLLIN ARIANA ALAPE ROJAS"/>
    <d v="2022-06-05T00:00:00"/>
    <x v="1"/>
    <n v="6"/>
    <n v="21"/>
    <s v="0 AÑOS 6 MESES 2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6 B ESTE  NO 97 D SUR 41"/>
    <n v="3228228460"/>
    <n v="3209102782"/>
    <x v="0"/>
    <s v="NO SE AUTORECONOCE EN NINGUNO DE LOS ANTERIORES"/>
    <x v="0"/>
    <x v="19"/>
    <m/>
    <s v="NO_"/>
    <s v="a. Pertenecientes a hogares con puntaje SISBEN"/>
    <m/>
    <s v="MADRE"/>
    <s v="CC"/>
    <n v="1006487042"/>
    <s v="MIRIAN"/>
    <s v="YORLEDY"/>
    <s v="ROJAS"/>
    <s v="MENDEZ"/>
    <d v="2001-01-24T00:00:00"/>
    <s v="COLOMBIA"/>
    <s v="CAQUETÁ"/>
    <s v="SOLITA"/>
    <s v="CC"/>
    <n v="1007789414"/>
    <s v="DUVAN"/>
    <m/>
    <s v="ALAPE"/>
    <s v="DUCUARA"/>
    <d v="1999-09-11T00:00:00"/>
    <n v="23"/>
    <s v="COLOMBIA"/>
    <s v="TOLIMA"/>
    <s v="ORTEGA"/>
    <s v="CC"/>
    <n v="1006487042"/>
    <s v="MIRIAN"/>
    <s v="YORLEDY"/>
    <s v="ROJAS"/>
    <s v="MENDEZ"/>
    <d v="2001-01-24T00:00:00"/>
    <n v="21"/>
    <s v="COLOMBIA"/>
    <s v="CAQUETÁ"/>
    <s v="SOLITA"/>
    <x v="1"/>
    <x v="0"/>
    <x v="0"/>
    <m/>
    <s v="NO_"/>
    <x v="1"/>
    <m/>
    <s v="NO_"/>
    <m/>
    <m/>
    <n v="40"/>
    <n v="3490"/>
    <n v="51"/>
    <s v="SI_"/>
    <s v="ACTUAL"/>
    <s v="ACTUAL"/>
    <m/>
    <x v="2"/>
    <m/>
  </r>
  <r>
    <n v="1023045008"/>
    <x v="1"/>
    <d v="2022-08-05T00:00:00"/>
    <m/>
    <m/>
    <m/>
    <m/>
    <x v="0"/>
    <x v="7"/>
    <x v="7"/>
    <s v="RC"/>
    <s v="CARLOS"/>
    <s v="SAMUEL"/>
    <s v="LEON"/>
    <s v="ROBAYO"/>
    <s v="CARLOS SAMUEL LEON ROBAYO"/>
    <d v="2019-11-02T00:00:00"/>
    <x v="10"/>
    <n v="1"/>
    <n v="24"/>
    <s v="3 AÑOS 1 MESES 2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 81 A SUR NO 17 ESTE - 60 "/>
    <n v="3212786780"/>
    <n v="3209900102"/>
    <x v="0"/>
    <s v="NO SE AUTORECONOCE EN NINGUNO DE LOS ANTERIORES"/>
    <x v="0"/>
    <x v="4"/>
    <m/>
    <s v="NO_"/>
    <s v="a. Pertenecientes a hogares con puntaje SISBEN"/>
    <m/>
    <s v="MADRE"/>
    <s v="CC"/>
    <n v="1010206072"/>
    <s v="JESSICA"/>
    <s v="KATHERINE"/>
    <s v="ROBAYO"/>
    <s v="MAHECHA"/>
    <d v="1992-05-15T00:00:00"/>
    <s v="COLOMBIA"/>
    <s v="BOGOTÁ"/>
    <s v="BOGOTÁ"/>
    <m/>
    <m/>
    <m/>
    <m/>
    <m/>
    <m/>
    <m/>
    <s v=""/>
    <m/>
    <m/>
    <m/>
    <s v="CC"/>
    <n v="1010206072"/>
    <s v="JESSICA"/>
    <s v="KATHERINE"/>
    <s v="ROBAYO"/>
    <s v="MAHECHA"/>
    <d v="1992-05-15T00:00:00"/>
    <n v="30"/>
    <s v="COLOMBIA"/>
    <s v="BOGOTÁ"/>
    <s v="BOGOTÁ"/>
    <x v="1"/>
    <x v="4"/>
    <x v="0"/>
    <m/>
    <m/>
    <x v="0"/>
    <m/>
    <m/>
    <m/>
    <m/>
    <m/>
    <m/>
    <m/>
    <m/>
    <m/>
    <m/>
    <m/>
    <x v="3"/>
    <m/>
  </r>
  <r>
    <n v="1028673609"/>
    <x v="1"/>
    <d v="2022-08-05T00:00:00"/>
    <m/>
    <m/>
    <m/>
    <m/>
    <x v="0"/>
    <x v="7"/>
    <x v="7"/>
    <s v="RC"/>
    <s v="MARIA"/>
    <s v="JOSE"/>
    <s v="NOZA"/>
    <s v="SANCHEZ"/>
    <s v="MARIA JOSE NOZA SANCHEZ"/>
    <d v="2018-10-26T00:00:00"/>
    <x v="8"/>
    <n v="2"/>
    <n v="0"/>
    <s v="4 AÑOS 2 MESES 0 DIAS "/>
    <x v="2"/>
    <x v="0"/>
    <x v="0"/>
    <s v="CUNDINAMARCA"/>
    <s v="SAN CRISTOBAL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 81 A SUR NO 20 ESTE - 44"/>
    <n v="3138417150"/>
    <n v="3209640510"/>
    <x v="0"/>
    <s v="NO SE AUTORECONOCE EN NINGUNO DE LOS ANTERIORES"/>
    <x v="0"/>
    <x v="4"/>
    <m/>
    <s v="NO_"/>
    <s v="a. Pertenecientes a hogares con puntaje SISBEN"/>
    <m/>
    <s v="MADRE"/>
    <s v="CC"/>
    <n v="1022945738"/>
    <s v="LUZ"/>
    <s v="ANGELA"/>
    <s v="SANCHEZ"/>
    <s v="GOMEZ"/>
    <d v="1988-01-24T00:00:00"/>
    <s v="COLOMBIA"/>
    <s v="BOGOTÁ"/>
    <s v="BOGOTÁ"/>
    <s v="CC"/>
    <n v="1033690597"/>
    <s v="JOSE"/>
    <s v="FERNEY"/>
    <s v="NOZA"/>
    <s v="ROMERO"/>
    <d v="1987-01-10T00:00:00"/>
    <n v="35"/>
    <s v="COLOMBIA"/>
    <s v="BOGOTÁ"/>
    <s v="BOGOTÁ"/>
    <s v="CC"/>
    <n v="1022945738"/>
    <s v="LUZ"/>
    <s v="ANGELA"/>
    <s v="SANCHEZ"/>
    <s v="GOMEZ"/>
    <d v="1988-01-24T00:00:00"/>
    <n v="34"/>
    <s v="COLOMBIA"/>
    <s v="BOGOTÁ"/>
    <s v="BOGOTÁ"/>
    <x v="1"/>
    <x v="3"/>
    <x v="0"/>
    <m/>
    <s v="NO_"/>
    <x v="1"/>
    <m/>
    <s v="NO_"/>
    <m/>
    <m/>
    <n v="40"/>
    <n v="3095"/>
    <n v="47"/>
    <s v="NO_"/>
    <s v="6 MESES "/>
    <s v="33 MESES "/>
    <m/>
    <x v="3"/>
    <m/>
  </r>
  <r>
    <n v="1206226100"/>
    <x v="1"/>
    <d v="2022-08-05T00:00:00"/>
    <m/>
    <m/>
    <m/>
    <m/>
    <x v="0"/>
    <x v="7"/>
    <x v="7"/>
    <s v="RC"/>
    <s v="IAN"/>
    <s v="GIOVANNI"/>
    <s v="MURCIA"/>
    <s v="VANEGAS"/>
    <s v="IAN GIOVANNI MURCIA VANEGAS"/>
    <d v="2020-06-29T00:00:00"/>
    <x v="2"/>
    <n v="5"/>
    <n v="27"/>
    <s v="2 AÑOS 5 MESES 27 DIAS "/>
    <x v="2"/>
    <x v="1"/>
    <x v="0"/>
    <s v="CUNDINAMARCA"/>
    <s v="SAN CRISTOBAL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2 F ESTE NO 88 F SUR-31"/>
    <n v="3132720785"/>
    <m/>
    <x v="0"/>
    <s v="NO SE AUTORECONOCE EN NINGUNO DE LOS ANTERIORES"/>
    <x v="0"/>
    <x v="8"/>
    <m/>
    <s v="NO_"/>
    <s v="a. Pertenecientes a hogares con puntaje SISBEN"/>
    <m/>
    <s v="MADRE"/>
    <s v="CC"/>
    <n v="28613845"/>
    <s v="FRAXEDY"/>
    <m/>
    <s v="VANEGAS"/>
    <s v="ROMERO "/>
    <d v="1979-08-20T00:00:00"/>
    <s v="COLOMBIA"/>
    <s v="TOLIMA"/>
    <s v="ATACO"/>
    <s v="CC"/>
    <n v="79916471"/>
    <s v="GIOVANNI"/>
    <m/>
    <s v="MURCIA"/>
    <s v="MONTANO"/>
    <d v="1980-03-02T00:00:00"/>
    <n v="42"/>
    <s v="COLOMBIA"/>
    <s v="TOLIMA"/>
    <s v="ATACO"/>
    <s v="CC"/>
    <n v="28613845"/>
    <s v="FRAXEDY"/>
    <m/>
    <s v="VANEGAS"/>
    <s v="ROMERO "/>
    <d v="1979-08-20T00:00:00"/>
    <n v="43"/>
    <s v="COLOMBIA"/>
    <s v="TOLIMA"/>
    <s v="ATACO"/>
    <x v="1"/>
    <x v="1"/>
    <x v="0"/>
    <m/>
    <s v="NO_"/>
    <x v="1"/>
    <m/>
    <s v="SI_"/>
    <s v="SI"/>
    <m/>
    <n v="36"/>
    <n v="1860"/>
    <m/>
    <s v="NO_"/>
    <s v="6 MESES "/>
    <s v="ACTUAL"/>
    <m/>
    <x v="1"/>
    <m/>
  </r>
  <r>
    <n v="1243859725"/>
    <x v="0"/>
    <d v="2022-08-05T00:00:00"/>
    <d v="2022-09-01T00:00:00"/>
    <e v="#REF!"/>
    <e v="#N/A"/>
    <s v="canta rana"/>
    <x v="0"/>
    <x v="3"/>
    <x v="3"/>
    <s v="RC"/>
    <s v="ISMAEL"/>
    <s v="JOSUE"/>
    <s v="BRICEÑO"/>
    <s v="MARTINEZ"/>
    <s v="ISMAEL JOSUE BRICEÑO MARTINEZ"/>
    <d v="2020-10-30T00:00:00"/>
    <x v="2"/>
    <n v="1"/>
    <n v="26"/>
    <s v="2 AÑOS 1 MESES 2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7"/>
    <m/>
    <s v="CALLE 101 A SUR 14 51 TO 2 AP 401"/>
    <n v="3214275180"/>
    <m/>
    <x v="0"/>
    <s v="NO SE AUTORECONOCE EN NINGUNO DE LOS ANTERIORES"/>
    <x v="1"/>
    <x v="1"/>
    <s v="NO_"/>
    <s v="NO_"/>
    <s v="o. Ingresos iguales o inferiores a 1.5 Smlv"/>
    <s v="SI_"/>
    <s v="ABUELO(A)"/>
    <s v="CC"/>
    <n v="1234097787"/>
    <s v="YULEIMY"/>
    <s v="BEATRIZ"/>
    <s v="MARTINEZ"/>
    <s v="ROSALES"/>
    <d v="1980-09-05T00:00:00"/>
    <s v="VENEZUELA"/>
    <s v="EXTERIOR"/>
    <s v="EXTERIOR"/>
    <m/>
    <m/>
    <m/>
    <m/>
    <m/>
    <m/>
    <m/>
    <s v=""/>
    <m/>
    <m/>
    <m/>
    <s v="CC"/>
    <n v="1140906412"/>
    <s v="KHAROLAY"/>
    <s v="DE LOS  ANGELES"/>
    <s v="BRICEÑO"/>
    <s v="MARTINEZ"/>
    <d v="1997-04-13T00:00:00"/>
    <n v="25"/>
    <s v="COLOMBIA"/>
    <s v="EXTERIOR"/>
    <s v="EXTERIOR"/>
    <x v="1"/>
    <x v="5"/>
    <x v="0"/>
    <m/>
    <s v="SI_"/>
    <x v="2"/>
    <m/>
    <s v="NO_"/>
    <m/>
    <m/>
    <s v="39 SEMANAS"/>
    <n v="2780"/>
    <n v="49"/>
    <s v="SI_"/>
    <m/>
    <m/>
    <s v=" "/>
    <x v="1"/>
    <m/>
  </r>
  <r>
    <n v="1023045551"/>
    <x v="0"/>
    <d v="2022-08-05T00:00:00"/>
    <d v="2022-08-12T00:00:00"/>
    <e v="#REF!"/>
    <e v="#N/A"/>
    <m/>
    <x v="0"/>
    <x v="3"/>
    <x v="3"/>
    <s v="RC"/>
    <s v="LOGAN"/>
    <s v="DANIEL"/>
    <s v="FRANCO"/>
    <s v="RODRIGUEZ"/>
    <s v="LOGAN DANIEL FRANCO RODRIGUEZ"/>
    <d v="2020-10-06T00:00:00"/>
    <x v="2"/>
    <n v="2"/>
    <n v="20"/>
    <s v="2 AÑOS 2 MESES 2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7"/>
    <m/>
    <s v="CALLE 101 A SUR 14-05 TO 9 AP 408"/>
    <n v="3123128494"/>
    <m/>
    <x v="0"/>
    <s v="NO SE AUTORECONOCE EN NINGUNO DE LOS ANTERIORES"/>
    <x v="1"/>
    <x v="1"/>
    <s v="NO_"/>
    <s v="NO_"/>
    <s v="o. Ingresos iguales o inferiores a 1.5 Smlv"/>
    <s v="SI_"/>
    <s v="MADRE"/>
    <s v="CC"/>
    <n v="1023011034"/>
    <s v="ASLLY"/>
    <s v="CATERIN"/>
    <s v="RODRIGUEZ"/>
    <s v="LOZANO"/>
    <d v="1996-02-26T00:00:00"/>
    <s v="COLOMBIA"/>
    <s v="BOGOTÁ"/>
    <s v="BOGOTÁ"/>
    <s v="CC"/>
    <n v="1031165767"/>
    <s v="BRIAN"/>
    <s v="STIVEN"/>
    <s v="FRANCO"/>
    <s v="VASQUEZ"/>
    <d v="1996-06-24T00:00:00"/>
    <n v="26"/>
    <s v="COLOMBIA"/>
    <s v="CALDAS"/>
    <s v="LA DORADA"/>
    <s v="CC"/>
    <n v="1023011034"/>
    <s v="ASLLY"/>
    <s v="CATERIN"/>
    <s v="RODRIGUEZ"/>
    <s v="LOZANO"/>
    <d v="1996-02-26T00:00:00"/>
    <n v="26"/>
    <s v="COLOMBIA"/>
    <s v="BOGOTÁ"/>
    <s v="BOGOTÁ"/>
    <x v="1"/>
    <x v="1"/>
    <x v="0"/>
    <m/>
    <s v="SI_"/>
    <x v="2"/>
    <m/>
    <s v="NO_"/>
    <m/>
    <m/>
    <s v="36 SEMANAS"/>
    <n v="2755"/>
    <n v="46"/>
    <s v="NO_"/>
    <m/>
    <m/>
    <m/>
    <x v="1"/>
    <m/>
  </r>
  <r>
    <s v="4392298CBA2B47649CB87C93E62377E556680"/>
    <x v="0"/>
    <d v="2022-08-05T00:00:00"/>
    <d v="2022-09-01T00:00:00"/>
    <e v="#REF!"/>
    <e v="#N/A"/>
    <m/>
    <x v="0"/>
    <x v="3"/>
    <x v="3"/>
    <s v="SIN DOCUMENTO"/>
    <s v="JEYDEN"/>
    <s v="DANIEL"/>
    <s v="BRITO"/>
    <s v="MARTINEZ"/>
    <s v="JEYDEN DANIEL BRITO MARTINEZ"/>
    <d v="2021-12-23T00:00:00"/>
    <x v="3"/>
    <n v="0"/>
    <n v="3"/>
    <s v="1 AÑOS 0 MESES 3 DIAS "/>
    <x v="2"/>
    <x v="1"/>
    <x v="2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7"/>
    <m/>
    <s v="CALLE 101 A SUR # 14-05 TO 7 AP 109"/>
    <n v="3222328466"/>
    <m/>
    <x v="0"/>
    <s v="NO SE AUTORECONOCE EN NINGUNO DE LOS ANTERIORES"/>
    <x v="1"/>
    <x v="1"/>
    <s v="NO_"/>
    <s v="NO_"/>
    <s v="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"/>
    <m/>
    <s v="MADRE"/>
    <s v="SIN DOCUMENTO"/>
    <m/>
    <s v="JUANA"/>
    <s v="VALENTINA"/>
    <s v="MARTINEZ"/>
    <s v="REYES"/>
    <d v="2004-04-08T00:00:00"/>
    <s v="VENEZUELA"/>
    <s v="EXTERIOR"/>
    <s v="EXTERIOR"/>
    <m/>
    <m/>
    <m/>
    <m/>
    <m/>
    <m/>
    <m/>
    <s v=""/>
    <m/>
    <m/>
    <m/>
    <s v="SIN DOCUMENTO"/>
    <s v="SIN DOCUMENTO"/>
    <s v="JUANA"/>
    <s v="VALENTINA"/>
    <s v="MARTINEZ"/>
    <s v="REYES"/>
    <d v="2004-04-08T00:00:00"/>
    <n v="18"/>
    <s v="VENEZUELA"/>
    <s v="EXTERIOR"/>
    <s v="EXTERIOR"/>
    <x v="3"/>
    <x v="12"/>
    <x v="0"/>
    <m/>
    <s v="SI_"/>
    <x v="1"/>
    <m/>
    <s v="NO_"/>
    <m/>
    <m/>
    <s v="35 SEMANAS"/>
    <n v="2250"/>
    <n v="45"/>
    <s v="NO_"/>
    <m/>
    <m/>
    <m/>
    <x v="1"/>
    <m/>
  </r>
  <r>
    <n v="1029154897"/>
    <x v="0"/>
    <d v="2022-08-05T00:00:00"/>
    <d v="2022-09-01T00:00:00"/>
    <e v="#REF!"/>
    <e v="#N/A"/>
    <s v="canta rana"/>
    <x v="0"/>
    <x v="5"/>
    <x v="5"/>
    <s v="RC"/>
    <s v="ZOE"/>
    <m/>
    <s v="RODRIGUEZ"/>
    <s v="LUGO"/>
    <s v="ZOE  RODRIGUEZ LUGO"/>
    <d v="2019-12-31T00:00:00"/>
    <x v="2"/>
    <n v="11"/>
    <n v="25"/>
    <s v="2 AÑOS 11 MESES 2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2"/>
    <m/>
    <s v="CALLE 109 SUR # 9-46"/>
    <n v="3163577706"/>
    <m/>
    <x v="0"/>
    <s v="NO SE AUTORECONOCE EN NINGUNO DE LOS ANTERIORES"/>
    <x v="1"/>
    <x v="1"/>
    <s v="NO_"/>
    <s v="NO_"/>
    <s v="o. Ingresos iguales o inferiores a 1.5 Smlv"/>
    <m/>
    <s v="ABUELO(A)"/>
    <s v="CC"/>
    <n v="65827560"/>
    <s v="MARIA "/>
    <s v="DEICY"/>
    <s v="LUGO"/>
    <m/>
    <d v="1976-10-06T00:00:00"/>
    <s v="COLOMBIA"/>
    <s v="TOLIMA"/>
    <s v="CHAPARRAL"/>
    <m/>
    <m/>
    <m/>
    <m/>
    <m/>
    <m/>
    <m/>
    <s v=""/>
    <m/>
    <m/>
    <m/>
    <s v="CC"/>
    <n v="1106785922"/>
    <s v="LINA"/>
    <s v="GABRIELA"/>
    <s v="RODRIGUEZ"/>
    <s v="LUGO"/>
    <d v="1995-10-17T00:00:00"/>
    <n v="27"/>
    <s v="COLOMBIA"/>
    <s v="TOLIMA"/>
    <s v="CHAPARRAL"/>
    <x v="1"/>
    <x v="3"/>
    <x v="0"/>
    <m/>
    <s v="SI_"/>
    <x v="2"/>
    <m/>
    <s v="NO_"/>
    <m/>
    <m/>
    <s v="38 SEMANAS"/>
    <n v="2555"/>
    <n v="49"/>
    <s v="NO_"/>
    <m/>
    <m/>
    <m/>
    <x v="1"/>
    <m/>
  </r>
  <r>
    <n v="1140937330"/>
    <x v="0"/>
    <d v="2022-08-05T00:00:00"/>
    <d v="2022-09-01T00:00:00"/>
    <e v="#REF!"/>
    <e v="#N/A"/>
    <s v="canta rana"/>
    <x v="0"/>
    <x v="5"/>
    <x v="5"/>
    <s v="RC"/>
    <s v="KLOYS"/>
    <s v="ROMINA"/>
    <s v="SUAREZ"/>
    <s v="ALVAREZ"/>
    <s v="KLOYS ROMINA SUAREZ ALVAREZ"/>
    <d v="2020-03-08T00:00:00"/>
    <x v="2"/>
    <n v="9"/>
    <n v="18"/>
    <s v="2 AÑOS 9 MESES 1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7"/>
    <m/>
    <s v="CALLE 101 A # 14-05"/>
    <n v="3212616963"/>
    <m/>
    <x v="0"/>
    <s v="NO SE AUTORECONOCE EN NINGUNO DE LOS ANTERIORES"/>
    <x v="0"/>
    <x v="1"/>
    <s v="NO_"/>
    <s v="NO_"/>
    <s v="a. Pertenecientes a hogares con puntaje SISBEN"/>
    <m/>
    <s v="PADRE"/>
    <s v="CC"/>
    <n v="1140907789"/>
    <s v="YORMAN"/>
    <s v="JOSE"/>
    <s v="SUAREZ"/>
    <s v="ROJANO"/>
    <d v="1992-10-20T00:00:00"/>
    <s v="VENEZUELA"/>
    <s v="EXTERIOR"/>
    <s v="EXTERIOR"/>
    <s v="CC"/>
    <n v="1140907789"/>
    <s v="YORMAN"/>
    <s v="JOSE"/>
    <s v="SUAREZ"/>
    <s v="ROJANO"/>
    <d v="1992-10-20T00:00:00"/>
    <n v="30"/>
    <s v="VENEZUELA"/>
    <s v="EXTERIOR"/>
    <s v="EXTERIOR"/>
    <s v="SIN DOCUMENTO"/>
    <m/>
    <s v="YOELIN"/>
    <s v="RAMONA"/>
    <s v="ALVAREZ"/>
    <s v="ALVAREZ"/>
    <d v="1995-09-07T00:00:00"/>
    <n v="27"/>
    <s v="VENEZUELA"/>
    <s v="EXTERIOR"/>
    <s v="EXTERIOR"/>
    <x v="1"/>
    <x v="1"/>
    <x v="0"/>
    <m/>
    <s v="SI_"/>
    <x v="1"/>
    <m/>
    <s v="NO_"/>
    <m/>
    <m/>
    <s v="38 SEMANAS"/>
    <n v="2900"/>
    <n v="50"/>
    <s v="SI_"/>
    <m/>
    <m/>
    <m/>
    <x v="1"/>
    <m/>
  </r>
  <r>
    <n v="1023044612"/>
    <x v="0"/>
    <d v="2022-08-05T00:00:00"/>
    <d v="2022-09-01T00:00:00"/>
    <e v="#REF!"/>
    <e v="#N/A"/>
    <s v="canta rana"/>
    <x v="0"/>
    <x v="5"/>
    <x v="5"/>
    <s v="RC"/>
    <s v="IRVING"/>
    <s v="JOSE"/>
    <s v="PEREZ"/>
    <s v="POLANCO"/>
    <s v="IRVING JOSE PEREZ POLANCO"/>
    <d v="2019-11-29T00:00:00"/>
    <x v="10"/>
    <n v="0"/>
    <n v="27"/>
    <s v="3 AÑOS 0 MESES 2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7"/>
    <m/>
    <s v="CALLE 191C A SUR 14-51 TO 7 AP 503"/>
    <n v="3219178406"/>
    <m/>
    <x v="0"/>
    <s v="NO SE AUTORECONOCE EN NINGUNO DE LOS ANTERIORES"/>
    <x v="0"/>
    <x v="8"/>
    <s v="NO_"/>
    <s v="NO_"/>
    <s v="a. Pertenecientes a hogares con puntaje SISBEN"/>
    <m/>
    <s v="MADRE"/>
    <s v="PEP"/>
    <n v="5631137"/>
    <s v="MAIRA"/>
    <s v="VIVIANNYS"/>
    <s v="POLANCO"/>
    <s v="CONTRERAS"/>
    <d v="1996-08-09T00:00:00"/>
    <s v="VENEZUELA"/>
    <s v="EXTERIOR"/>
    <s v="EXTERIOR"/>
    <s v="SIN DOCUMENTO"/>
    <m/>
    <s v="JOSE"/>
    <s v="RAFAEL"/>
    <s v="PEREZ"/>
    <s v="PEREZ"/>
    <d v="1984-01-26T00:00:00"/>
    <n v="38"/>
    <s v="VENEZUELA"/>
    <s v="EXTERIOR"/>
    <s v="EXTERIOR"/>
    <s v="PEP"/>
    <n v="5631137"/>
    <s v="MAIRA"/>
    <s v="VIVIANNYS"/>
    <s v="POLANCO"/>
    <s v="CONTRERAS"/>
    <d v="1996-08-09T00:00:00"/>
    <n v="26"/>
    <s v="VENEZUELA"/>
    <s v="EXTERIOR"/>
    <s v="EXTERIOR"/>
    <x v="1"/>
    <x v="1"/>
    <x v="0"/>
    <m/>
    <s v="SI_"/>
    <x v="0"/>
    <m/>
    <s v="NO_"/>
    <m/>
    <m/>
    <s v="41 SEMANAS"/>
    <n v="2730"/>
    <n v="49"/>
    <s v="SI_"/>
    <m/>
    <m/>
    <m/>
    <x v="3"/>
    <m/>
  </r>
  <r>
    <n v="10006534683"/>
    <x v="0"/>
    <d v="2022-08-05T00:00:00"/>
    <d v="2022-09-01T00:00:00"/>
    <e v="#REF!"/>
    <e v="#N/A"/>
    <s v="canta rana"/>
    <x v="0"/>
    <x v="0"/>
    <x v="0"/>
    <s v="CC"/>
    <s v="NIDIA"/>
    <s v="YULIETH"/>
    <s v="CARDENAS"/>
    <s v="PERILLA"/>
    <s v="NIDIA YULIETH CARDENAS PERILLA"/>
    <d v="2001-01-06T00:00:00"/>
    <x v="15"/>
    <n v="11"/>
    <n v="20"/>
    <s v="21 AÑOS 11 MESES 20 DIAS "/>
    <x v="0"/>
    <x v="0"/>
    <x v="0"/>
    <s v="CASANARE"/>
    <s v="VILLANUEV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3"/>
    <m/>
    <s v="CL 101 ASUR 14 51 TO 9 AP 112"/>
    <s v="315 2050233"/>
    <m/>
    <x v="0"/>
    <s v="NO SE AUTORECONOCE EN NINGUNO DE LOS ANTERIORES"/>
    <x v="0"/>
    <x v="19"/>
    <s v="NO_"/>
    <s v="NO_"/>
    <s v="a. Pertenecientes a hogares con puntaje SISBEN"/>
    <m/>
    <s v="CONYUGE"/>
    <s v="CC"/>
    <n v="1122237798"/>
    <s v="FRABKLIN"/>
    <m/>
    <s v="BARAHONA"/>
    <s v="MORA"/>
    <d v="1990-02-06T00:00:00"/>
    <s v="COLOMBIA"/>
    <s v="GUAVIARE"/>
    <s v="EL RETORNO"/>
    <m/>
    <m/>
    <m/>
    <m/>
    <m/>
    <m/>
    <m/>
    <s v=""/>
    <m/>
    <m/>
    <m/>
    <m/>
    <m/>
    <m/>
    <m/>
    <m/>
    <m/>
    <m/>
    <s v=""/>
    <m/>
    <m/>
    <m/>
    <x v="1"/>
    <x v="6"/>
    <x v="1"/>
    <d v="2022-08-05T00:00:00"/>
    <s v="NO_"/>
    <x v="1"/>
    <m/>
    <s v="NO_"/>
    <m/>
    <m/>
    <m/>
    <m/>
    <m/>
    <m/>
    <m/>
    <m/>
    <n v="8"/>
    <x v="0"/>
    <m/>
  </r>
  <r>
    <n v="1023048523"/>
    <x v="0"/>
    <d v="2022-08-05T00:00:00"/>
    <d v="2022-09-01T00:00:00"/>
    <e v="#REF!"/>
    <e v="#N/A"/>
    <s v="canta rana"/>
    <x v="0"/>
    <x v="2"/>
    <x v="2"/>
    <s v="RC"/>
    <s v="SAMUEL "/>
    <s v="ESTEBAN"/>
    <s v="DEVIA"/>
    <s v="BUELVAS"/>
    <s v="SAMUEL  ESTEBAN DEVIA BUELVAS"/>
    <d v="2022-05-31T00:00:00"/>
    <x v="1"/>
    <n v="6"/>
    <n v="25"/>
    <s v="0 AÑOS 6 MESES 2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3"/>
    <m/>
    <s v="CL 104 SUR 14 80 TO 6 APT 406"/>
    <n v="3183882723"/>
    <m/>
    <x v="0"/>
    <s v="NO SE AUTORECONOCE EN NINGUNO DE LOS ANTERIORES"/>
    <x v="1"/>
    <x v="1"/>
    <s v="NO_"/>
    <s v="NO_"/>
    <s v="o. Ingresos iguales o inferiores a 1.5 Smlv"/>
    <m/>
    <s v="MADRE"/>
    <s v="CC"/>
    <n v="1070591655"/>
    <s v="NATALIA"/>
    <s v="JIMENA"/>
    <s v="BUELVAS"/>
    <s v="RODRIGUEZ"/>
    <d v="1988-02-19T00:00:00"/>
    <s v="COLOMBIA"/>
    <s v="CUNDINAMARCA"/>
    <s v="GIRARDOT"/>
    <s v="CC"/>
    <n v="1013605285"/>
    <s v="CRISTIAN"/>
    <s v="CAMILO"/>
    <s v="DEVIA"/>
    <s v="GONZALEZ"/>
    <d v="1989-06-27T00:00:00"/>
    <n v="33"/>
    <s v="COLOMBIA"/>
    <s v="BOGOTÁ"/>
    <s v="BOGOTÁ"/>
    <s v="CC"/>
    <n v="1070591655"/>
    <s v="NATALIA"/>
    <s v="JIMENA"/>
    <s v="BUELVAS"/>
    <s v="RODRIGUEZ"/>
    <d v="1988-02-19T00:00:00"/>
    <n v="34"/>
    <s v="COLOMBIA"/>
    <s v="CUNDINAMARCA"/>
    <s v="GIRARDOT"/>
    <x v="0"/>
    <x v="5"/>
    <x v="0"/>
    <d v="2022-08-05T00:00:00"/>
    <s v="NO_"/>
    <x v="2"/>
    <n v="2"/>
    <s v="NO_"/>
    <m/>
    <m/>
    <n v="40"/>
    <n v="3090"/>
    <n v="49.5"/>
    <m/>
    <n v="2"/>
    <n v="2"/>
    <m/>
    <x v="2"/>
    <m/>
  </r>
  <r>
    <n v="1022935813"/>
    <x v="1"/>
    <d v="2022-08-16T00:00:00"/>
    <m/>
    <m/>
    <m/>
    <m/>
    <x v="0"/>
    <x v="0"/>
    <x v="0"/>
    <s v="TI"/>
    <s v="GINA"/>
    <s v="PAOLA"/>
    <s v="SANCHEZ"/>
    <s v="RODRIGUEZ"/>
    <s v="GINA PAOLA SANCHEZ RODRIGUEZ"/>
    <d v="2005-07-29T00:00:00"/>
    <x v="29"/>
    <n v="4"/>
    <n v="27"/>
    <s v="17 AÑOS 4 MESES 27 DIAS "/>
    <x v="0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6"/>
    <m/>
    <s v="KR 10 BIS ESTE 89 SUR 09"/>
    <n v="3103145420"/>
    <n v="3138526208"/>
    <x v="0"/>
    <s v="NO SE AUTORECONOCE EN NINGUNO DE LOS ANTERIORES"/>
    <x v="2"/>
    <x v="1"/>
    <s v="NO_"/>
    <s v="NO_"/>
    <s v="o. Ingresos iguales o inferiores a 1.5 Smlv"/>
    <m/>
    <s v="CONYUGE"/>
    <s v="CC"/>
    <n v="1005852748"/>
    <s v="CARLOS"/>
    <s v="IVAN"/>
    <s v="MEDINA"/>
    <s v="CELIS"/>
    <d v="2002-08-27T00:00:00"/>
    <s v="COLOMBIA"/>
    <s v="TOLIMA"/>
    <s v="CHAPARRAL"/>
    <m/>
    <m/>
    <m/>
    <m/>
    <m/>
    <m/>
    <m/>
    <s v=""/>
    <m/>
    <m/>
    <m/>
    <m/>
    <m/>
    <m/>
    <m/>
    <m/>
    <m/>
    <m/>
    <s v=""/>
    <m/>
    <m/>
    <m/>
    <x v="0"/>
    <x v="0"/>
    <x v="0"/>
    <d v="2022-08-19T00:00:00"/>
    <s v="SI_"/>
    <x v="1"/>
    <m/>
    <s v="NO_"/>
    <m/>
    <m/>
    <m/>
    <m/>
    <m/>
    <m/>
    <m/>
    <m/>
    <n v="20"/>
    <x v="0"/>
    <m/>
  </r>
  <r>
    <n v="1243859893"/>
    <x v="1"/>
    <d v="2022-08-23T00:00:00"/>
    <m/>
    <m/>
    <m/>
    <m/>
    <x v="0"/>
    <x v="1"/>
    <x v="1"/>
    <s v="RC"/>
    <s v="EVELYN "/>
    <s v="NIKOL"/>
    <s v="CORTES"/>
    <s v="TIMON"/>
    <s v="EVELYN  NIKOL CORTES TIMON"/>
    <d v="2020-12-19T00:00:00"/>
    <x v="2"/>
    <n v="0"/>
    <n v="7"/>
    <s v="2 AÑOS 0 MESES 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2"/>
    <m/>
    <s v="CLL 110 SUR D ESTE 75"/>
    <n v="3103040351"/>
    <m/>
    <x v="0"/>
    <s v="NO SE AUTORECONOCE EN NINGUNO DE LOS ANTERIORES"/>
    <x v="0"/>
    <x v="12"/>
    <s v="NO_"/>
    <s v="NO_"/>
    <s v="o. Ingresos iguales o inferiores a 1.5 Smlv"/>
    <m/>
    <s v="MADRE"/>
    <s v="CC"/>
    <n v="1007519385"/>
    <s v="LUISA "/>
    <s v="FERNANDA"/>
    <s v="TIMON"/>
    <s v="YAÑEZ"/>
    <d v="2000-07-16T00:00:00"/>
    <s v="COLOMBIA"/>
    <s v="BOGOTÁ"/>
    <s v="BOGOTÁ"/>
    <s v="CC"/>
    <n v="100139464"/>
    <s v="ANDERSON"/>
    <s v="ANDRES"/>
    <s v="CORTES"/>
    <s v="ARANZA"/>
    <d v="2000-04-28T00:00:00"/>
    <n v="22"/>
    <s v="COLOMBIA"/>
    <s v="BOGOTÁ"/>
    <s v="BOGOTÁ"/>
    <s v="CC"/>
    <n v="1007519385"/>
    <s v="LUISA "/>
    <s v="FERNANDA"/>
    <s v="TIMON"/>
    <s v="YAÑEZ"/>
    <d v="2000-07-16T00:00:00"/>
    <n v="22"/>
    <s v="COLOMBIA"/>
    <s v="BOGOTÁ"/>
    <s v="BOGOTÁ"/>
    <x v="0"/>
    <x v="0"/>
    <x v="0"/>
    <d v="2022-08-19T00:00:00"/>
    <s v="SI_"/>
    <x v="2"/>
    <n v="1"/>
    <s v="NO_"/>
    <m/>
    <m/>
    <n v="40"/>
    <n v="2975"/>
    <n v="49"/>
    <s v="NO_"/>
    <n v="6"/>
    <m/>
    <m/>
    <x v="1"/>
    <m/>
  </r>
  <r>
    <n v="1016754016"/>
    <x v="0"/>
    <d v="2022-09-02T00:00:00"/>
    <d v="2022-10-03T00:00:00"/>
    <e v="#REF!"/>
    <e v="#N/A"/>
    <s v="TRIANGULO"/>
    <x v="0"/>
    <x v="0"/>
    <x v="0"/>
    <s v="RC"/>
    <s v="ANTHONY"/>
    <s v="DAMYAN"/>
    <s v="SALAMANCA"/>
    <s v="TORRES"/>
    <s v="ANTHONY DAMYAN SALAMANCA TORRES"/>
    <d v="2022-06-14T00:00:00"/>
    <x v="1"/>
    <n v="6"/>
    <n v="12"/>
    <s v="0 AÑOS 6 MESES 1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"/>
    <m/>
    <s v="KR 4 ESTE NO 91 SUR-34 CA1"/>
    <n v="3152603745"/>
    <n v="3195586188"/>
    <x v="0"/>
    <s v="NO SE AUTORECONOCE EN NINGUNO DE LOS ANTERIORES"/>
    <x v="1"/>
    <x v="1"/>
    <s v="NO_"/>
    <s v="NO_"/>
    <s v="o. Ingresos iguales o inferiores a 1.5 Smlv"/>
    <s v="NO_"/>
    <s v="PADRE"/>
    <s v="CC"/>
    <n v="1023877924"/>
    <s v="MANUEL"/>
    <s v="IVAN"/>
    <s v="SALAMANCA"/>
    <s v="SALAMANCA"/>
    <m/>
    <m/>
    <m/>
    <m/>
    <s v="CC"/>
    <n v="1023877924"/>
    <s v="MANUEL"/>
    <s v="IVAN"/>
    <s v="SALAMANCA"/>
    <s v="SALAMANCA"/>
    <m/>
    <s v=""/>
    <m/>
    <m/>
    <m/>
    <s v="CC"/>
    <n v="1022974556"/>
    <s v="JEIMMY"/>
    <s v="PAOLA"/>
    <s v="TORRES"/>
    <s v="MURILLO"/>
    <d v="1991-12-22T00:00:00"/>
    <n v="31"/>
    <s v="COLOMBIA"/>
    <s v="BOYACÁ"/>
    <s v="CHIQUINQUIRÁ"/>
    <x v="0"/>
    <x v="5"/>
    <x v="0"/>
    <d v="2022-08-29T00:00:00"/>
    <s v="SI_"/>
    <x v="2"/>
    <n v="1"/>
    <s v="SI_"/>
    <m/>
    <m/>
    <s v="35 SEMANAS"/>
    <s v="2400 GR"/>
    <s v="46 CM"/>
    <s v="NO_"/>
    <n v="1"/>
    <m/>
    <m/>
    <x v="2"/>
    <m/>
  </r>
  <r>
    <n v="1011110767"/>
    <x v="1"/>
    <d v="2022-09-05T00:00:00"/>
    <m/>
    <m/>
    <m/>
    <m/>
    <x v="0"/>
    <x v="7"/>
    <x v="7"/>
    <s v="RC"/>
    <s v="JEREMY"/>
    <s v="MANUEL"/>
    <s v="ANGULO"/>
    <s v="MENDOZA"/>
    <s v="JEREMY MANUEL ANGULO MENDOZA"/>
    <d v="2020-01-13T00:00:00"/>
    <x v="2"/>
    <n v="11"/>
    <n v="13"/>
    <s v="2 AÑOS 11 MESES 1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 81 SUR NO 18 ESTE - 71"/>
    <n v="3203628612"/>
    <m/>
    <x v="0"/>
    <s v="NO SE AUTORECONOCE EN NINGUNO DE LOS ANTERIORES"/>
    <x v="1"/>
    <x v="1"/>
    <s v="NO_"/>
    <s v="NO_"/>
    <s v="o. Ingresos iguales o inferiores a 1.5 Smlv"/>
    <s v="SI_"/>
    <s v="MADRE"/>
    <s v="PEP"/>
    <n v="4557812"/>
    <s v="YORVELIS"/>
    <m/>
    <s v="MENDOZA"/>
    <s v="FERNANDEZ"/>
    <d v="1989-02-13T00:00:00"/>
    <s v="VENEZUELA"/>
    <s v="EXTERIOR"/>
    <s v="EXTERIOR"/>
    <m/>
    <m/>
    <m/>
    <m/>
    <m/>
    <m/>
    <m/>
    <s v=""/>
    <m/>
    <m/>
    <m/>
    <s v="PEP"/>
    <n v="4557812"/>
    <s v="YORVELIS"/>
    <m/>
    <s v="MENDOZA"/>
    <s v="FERNANDEZ"/>
    <d v="1989-02-13T00:00:00"/>
    <n v="33"/>
    <s v="VENEZUELA"/>
    <s v="EXTERIOR"/>
    <s v="EXTERIOR"/>
    <x v="3"/>
    <x v="12"/>
    <x v="0"/>
    <d v="2022-09-04T00:00:00"/>
    <s v="SI_"/>
    <x v="1"/>
    <m/>
    <s v="NO_"/>
    <s v="NO"/>
    <m/>
    <m/>
    <m/>
    <m/>
    <s v="NO_"/>
    <m/>
    <m/>
    <m/>
    <x v="1"/>
    <m/>
  </r>
  <r>
    <n v="1235051447"/>
    <x v="1"/>
    <d v="2022-09-05T00:00:00"/>
    <m/>
    <m/>
    <m/>
    <m/>
    <x v="0"/>
    <x v="7"/>
    <x v="7"/>
    <s v="RC"/>
    <s v="MARILENA"/>
    <s v="PAOLA "/>
    <s v="MARTINEZ"/>
    <s v="MENDOZA"/>
    <s v="MARILENA PAOLA  MARTINEZ MENDOZA"/>
    <d v="2021-03-17T00:00:00"/>
    <x v="3"/>
    <n v="9"/>
    <n v="9"/>
    <s v="1 AÑOS 9 MESES 9 DIAS "/>
    <x v="2"/>
    <x v="0"/>
    <x v="0"/>
    <s v="BOLÍVAR"/>
    <s v="CARTAGENA DE INDIAS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 81 SUR NO 18 ESTE - 71"/>
    <n v="3209247244"/>
    <n v="3203628612"/>
    <x v="0"/>
    <s v="NO SE AUTORECONOCE EN NINGUNO DE LOS ANTERIORES"/>
    <x v="1"/>
    <x v="1"/>
    <s v="NO_"/>
    <s v="NO_"/>
    <s v="o. Ingresos iguales o inferiores a 1.5 Smlv"/>
    <s v="SI_"/>
    <s v="MADRE"/>
    <s v="SIN DOCUMENTO"/>
    <m/>
    <s v="KARLA"/>
    <s v="PAOLA"/>
    <s v="MENDOZA"/>
    <s v="FERNANDEZ"/>
    <d v="2000-12-01T00:00:00"/>
    <s v="VENEZUELA"/>
    <s v="EXTERIOR"/>
    <s v="EXTERIOR"/>
    <m/>
    <m/>
    <m/>
    <m/>
    <m/>
    <m/>
    <m/>
    <s v=""/>
    <m/>
    <m/>
    <m/>
    <s v="SIN DOCUMENTO"/>
    <m/>
    <s v="KARLA"/>
    <s v="PAOLA"/>
    <s v="MENDOZA"/>
    <s v="FERNANDEZ"/>
    <d v="2000-12-01T00:00:00"/>
    <n v="22"/>
    <s v="VENEZUELA"/>
    <s v="EXTERIOR"/>
    <s v="EXTERIOR"/>
    <x v="1"/>
    <x v="8"/>
    <x v="0"/>
    <d v="2022-09-04T00:00:00"/>
    <s v="SI_"/>
    <x v="1"/>
    <m/>
    <s v="NO_"/>
    <s v="NO"/>
    <m/>
    <s v="40 SEMANA "/>
    <n v="3900"/>
    <n v="47"/>
    <s v="NO_"/>
    <s v="6 MESES "/>
    <s v="12 MESES "/>
    <m/>
    <x v="1"/>
    <m/>
  </r>
  <r>
    <n v="1023989676"/>
    <x v="0"/>
    <d v="2022-09-05T00:00:00"/>
    <d v="2022-10-24T00:00:00"/>
    <m/>
    <e v="#N/A"/>
    <m/>
    <x v="0"/>
    <x v="7"/>
    <x v="7"/>
    <s v="RC"/>
    <s v="ELIANNYS"/>
    <s v="PAOLA "/>
    <s v="BARRIENTOS"/>
    <s v="ALVARADO"/>
    <s v="ELIANNYS PAOLA  BARRIENTOS ALVARADO"/>
    <d v="2020-11-17T00:00:00"/>
    <x v="2"/>
    <n v="1"/>
    <n v="9"/>
    <s v="2 AÑOS 1 MESES 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3B ESTE 88H SUR 0028"/>
    <n v="3103047026"/>
    <m/>
    <x v="0"/>
    <s v="NO SE AUTORECONOCE EN NINGUNO DE LOS ANTERIORES"/>
    <x v="0"/>
    <x v="2"/>
    <s v="NO_"/>
    <s v="NO_"/>
    <s v="a. Pertenecientes a hogares con puntaje SISBEN"/>
    <s v="NO_"/>
    <s v="PADRE"/>
    <s v="PEP"/>
    <n v="5086902"/>
    <s v="ELIS"/>
    <m/>
    <s v="BARRIENTOS"/>
    <s v="CALDERA"/>
    <d v="2003-12-01T00:00:00"/>
    <s v="VENEZUELA"/>
    <s v="EXTERIOR"/>
    <s v="EXTERIOR"/>
    <s v="PEP"/>
    <n v="5086902"/>
    <s v="ELIS"/>
    <m/>
    <s v="BARRIENTOS"/>
    <s v="CALDERA"/>
    <d v="2003-12-01T00:00:00"/>
    <n v="19"/>
    <s v="VENEZUELA"/>
    <s v="EXTERIOR"/>
    <s v="EXTERIOR"/>
    <s v="PEP"/>
    <n v="5090345"/>
    <s v="WILLIANNY"/>
    <m/>
    <s v="ALVARADO"/>
    <s v="SANCHEZ"/>
    <d v="2005-01-03T00:00:00"/>
    <n v="17"/>
    <s v="VENEZUELA"/>
    <s v="EXTERIOR"/>
    <s v="EXTERIOR"/>
    <x v="1"/>
    <x v="1"/>
    <x v="0"/>
    <d v="2022-09-04T00:00:00"/>
    <s v="SI_"/>
    <x v="2"/>
    <n v="2"/>
    <s v="NO_"/>
    <s v="NO"/>
    <m/>
    <s v="40 SEMANA "/>
    <n v="2595"/>
    <n v="47"/>
    <s v="NO_"/>
    <s v="6 MESES "/>
    <s v="ACTUAL"/>
    <m/>
    <x v="1"/>
    <m/>
  </r>
  <r>
    <n v="1023985389"/>
    <x v="1"/>
    <d v="2022-09-05T00:00:00"/>
    <m/>
    <m/>
    <m/>
    <m/>
    <x v="0"/>
    <x v="7"/>
    <x v="7"/>
    <s v="RC"/>
    <s v="ALAN"/>
    <s v="DAVID"/>
    <s v="CRUZ"/>
    <m/>
    <s v="ALAN DAVID CRUZ "/>
    <d v="2019-07-11T00:00:00"/>
    <x v="10"/>
    <n v="5"/>
    <n v="15"/>
    <s v="3 AÑOS 5 MESES 1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9 BIS ESTE 81 A SUR 0035"/>
    <n v="3017375166"/>
    <n v="3102951107"/>
    <x v="0"/>
    <s v="NO SE AUTORECONOCE EN NINGUNO DE LOS ANTERIORES"/>
    <x v="0"/>
    <x v="20"/>
    <s v="NO_"/>
    <s v="NO_"/>
    <s v="a. Pertenecientes a hogares con puntaje SISBEN"/>
    <s v="NO_"/>
    <s v="MADRE"/>
    <s v="CC"/>
    <n v="52909009"/>
    <s v="YENIFER"/>
    <s v="MARGARITA"/>
    <s v="CRUZ"/>
    <m/>
    <d v="1982-12-16T00:00:00"/>
    <s v="COLOMBIA"/>
    <s v="BOGOTÁ"/>
    <s v="BOGOTÁ"/>
    <m/>
    <m/>
    <m/>
    <m/>
    <m/>
    <m/>
    <m/>
    <s v=""/>
    <m/>
    <m/>
    <m/>
    <s v="CC"/>
    <n v="52909009"/>
    <s v="YENIFER"/>
    <s v="MARGARITA"/>
    <s v="CRUZ"/>
    <m/>
    <d v="1982-12-16T00:00:00"/>
    <n v="40"/>
    <s v="COLOMBIA"/>
    <s v="BOGOTÁ"/>
    <s v="BOGOTÁ"/>
    <x v="1"/>
    <x v="1"/>
    <x v="0"/>
    <d v="2022-09-04T00:00:00"/>
    <s v="SI_"/>
    <x v="2"/>
    <n v="2"/>
    <s v="NO_"/>
    <s v="NO"/>
    <m/>
    <s v="40 SEMANAS"/>
    <n v="45"/>
    <n v="2900"/>
    <s v="NO_"/>
    <s v="6 MESES "/>
    <s v="12 MESES "/>
    <m/>
    <x v="3"/>
    <m/>
  </r>
  <r>
    <n v="1023990615"/>
    <x v="1"/>
    <d v="2022-09-05T00:00:00"/>
    <m/>
    <m/>
    <m/>
    <m/>
    <x v="0"/>
    <x v="7"/>
    <x v="7"/>
    <s v="RC"/>
    <s v="EIMY"/>
    <s v="SAMANTA"/>
    <s v="GALINDO"/>
    <s v="ROBAYO"/>
    <s v="EIMY SAMANTA GALINDO ROBAYO"/>
    <d v="2022-06-23T00:00:00"/>
    <x v="1"/>
    <n v="6"/>
    <n v="3"/>
    <s v="0 AÑOS 6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7  ESTE NO 81 A 05 SUR"/>
    <n v="3138516727"/>
    <m/>
    <x v="0"/>
    <s v="NO SE AUTORECONOCE EN NINGUNO DE LOS ANTERIORES"/>
    <x v="1"/>
    <x v="1"/>
    <s v="NO_"/>
    <s v="NO_"/>
    <s v="o. Ingresos iguales o inferiores a 1.5 Smlv"/>
    <s v="SI_"/>
    <s v="ABUELO(A)"/>
    <s v="CC"/>
    <n v="52290744"/>
    <s v="SANDRA"/>
    <s v="VIVIANA"/>
    <s v="MALDONADO"/>
    <s v="SALGADO"/>
    <d v="1981-12-24T00:00:00"/>
    <s v="COLOMBIA"/>
    <s v="BOGOTÁ"/>
    <s v="BOGOTÁ"/>
    <m/>
    <m/>
    <m/>
    <m/>
    <m/>
    <m/>
    <m/>
    <s v=""/>
    <m/>
    <m/>
    <m/>
    <s v="TI"/>
    <n v="1016714262"/>
    <s v="LIZETH "/>
    <s v="VIVIANA"/>
    <s v="ROBAYO"/>
    <s v="MALDONADO"/>
    <d v="2006-01-31T00:00:00"/>
    <n v="16"/>
    <s v="COLOMBIA"/>
    <s v="BOGOTÁ"/>
    <s v="BOGOTÁ"/>
    <x v="3"/>
    <x v="12"/>
    <x v="0"/>
    <d v="2022-09-04T00:00:00"/>
    <s v="SI_"/>
    <x v="1"/>
    <m/>
    <s v="NO_"/>
    <s v="SI"/>
    <m/>
    <s v="40 SEMANAS"/>
    <n v="48"/>
    <n v="2840"/>
    <s v="SI_"/>
    <s v="ACTUAL"/>
    <s v="ACTUAL"/>
    <m/>
    <x v="2"/>
    <m/>
  </r>
  <r>
    <n v="1122538867"/>
    <x v="0"/>
    <d v="2022-09-05T00:00:00"/>
    <d v="2022-09-26T00:00:00"/>
    <e v="#REF!"/>
    <e v="#N/A"/>
    <m/>
    <x v="0"/>
    <x v="2"/>
    <x v="2"/>
    <s v="RC"/>
    <s v="JEREMY "/>
    <s v="ARTURO"/>
    <s v="ORJUELA"/>
    <s v="SANCHEZ"/>
    <s v="JEREMY  ARTURO ORJUELA SANCHEZ"/>
    <d v="2020-02-03T00:00:00"/>
    <x v="2"/>
    <n v="10"/>
    <n v="23"/>
    <s v="2 AÑOS 10 MESES 23 DIAS "/>
    <x v="2"/>
    <x v="1"/>
    <x v="0"/>
    <s v="META"/>
    <s v="VILLAVICENCIO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5 BIS ESTE NO 80 SUR - 73"/>
    <n v="3223655094"/>
    <m/>
    <x v="0"/>
    <s v="NO SE AUTORECONOCE EN NINGUNO DE LOS ANTERIORES"/>
    <x v="1"/>
    <x v="1"/>
    <s v="NO_"/>
    <s v="NO_"/>
    <s v="o. Ingresos iguales o inferiores a 1.5 Smlv"/>
    <s v="SI_"/>
    <s v="MADRE"/>
    <s v="CC"/>
    <n v="1121958853"/>
    <s v="HEIMY"/>
    <s v="KATERINE"/>
    <s v="SANCHEZ"/>
    <s v="BUENNOMBRE"/>
    <d v="1998-09-29T00:00:00"/>
    <s v="COLOMBIA"/>
    <s v="BOGOTÁ"/>
    <s v="BOGOTÁ"/>
    <m/>
    <m/>
    <m/>
    <m/>
    <m/>
    <m/>
    <m/>
    <s v=""/>
    <m/>
    <m/>
    <m/>
    <s v="CC"/>
    <n v="1121958853"/>
    <s v="HEIMY"/>
    <s v="KATERINE"/>
    <s v="SANCHEZ"/>
    <s v="BUENNOMBRE"/>
    <d v="1998-09-29T00:00:00"/>
    <n v="24"/>
    <s v="COLOMBIA"/>
    <s v="BOGOTÁ"/>
    <s v="BOGOTÁ"/>
    <x v="1"/>
    <x v="1"/>
    <x v="0"/>
    <d v="2022-09-04T00:00:00"/>
    <s v="SI_"/>
    <x v="2"/>
    <n v="4"/>
    <s v="NO_"/>
    <s v="NO"/>
    <m/>
    <s v="40 SEMANAS"/>
    <n v="3095"/>
    <n v="93"/>
    <s v="NO_"/>
    <s v="6 MESES "/>
    <s v="24 MESES"/>
    <m/>
    <x v="1"/>
    <m/>
  </r>
  <r>
    <n v="1023989348"/>
    <x v="1"/>
    <d v="2022-09-05T00:00:00"/>
    <m/>
    <m/>
    <m/>
    <m/>
    <x v="0"/>
    <x v="7"/>
    <x v="7"/>
    <s v="RC"/>
    <s v="RICHARD"/>
    <s v="DANIEL"/>
    <s v="PINEDA"/>
    <s v="SANCHEZ"/>
    <s v="RICHARD DANIEL PINEDA SANCHEZ"/>
    <d v="2021-12-13T00:00:00"/>
    <x v="3"/>
    <n v="0"/>
    <n v="13"/>
    <s v="1 AÑOS 0 MESES 1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5 BIS NO 80 SUR -73"/>
    <n v="3145144770"/>
    <m/>
    <x v="0"/>
    <s v="NO SE AUTORECONOCE EN NINGUNO DE LOS ANTERIORES"/>
    <x v="0"/>
    <x v="20"/>
    <s v="NO_"/>
    <s v="NO_"/>
    <s v="a. Pertenecientes a hogares con puntaje SISBEN"/>
    <s v="NO_"/>
    <s v="MADRE"/>
    <s v="CC"/>
    <n v="1023889094"/>
    <s v="YESICA"/>
    <s v="CATERINE"/>
    <s v="SANCHEZ"/>
    <s v="MARTINEZ"/>
    <d v="2000-11-09T00:00:00"/>
    <s v="COLOMBIA"/>
    <s v="BOGOTÁ"/>
    <s v="BOGOTÁ"/>
    <s v="CC"/>
    <n v="1010006578"/>
    <s v="GABRIEL"/>
    <s v="RICARDO"/>
    <s v="PINEDA"/>
    <s v="ESTAILES"/>
    <d v="1995-01-03T00:00:00"/>
    <n v="27"/>
    <s v="COLOMBIA"/>
    <s v="BOGOTÁ"/>
    <s v="BOGOTÁ"/>
    <s v="CC"/>
    <n v="1023889094"/>
    <s v="YESICA"/>
    <s v="CATERINE"/>
    <s v="SANCHEZ"/>
    <s v="MARTINEZ"/>
    <d v="2000-11-09T00:00:00"/>
    <n v="22"/>
    <s v="COLOMBIA"/>
    <s v="BOGOTÁ"/>
    <s v="BOGOTÁ"/>
    <x v="1"/>
    <x v="1"/>
    <x v="0"/>
    <d v="2022-09-04T00:00:00"/>
    <s v="SI_"/>
    <x v="2"/>
    <n v="2"/>
    <s v="NO_"/>
    <s v="NO"/>
    <m/>
    <s v="39 SEMANAS"/>
    <n v="2650"/>
    <n v="50"/>
    <s v="NO_"/>
    <s v="6 MESES"/>
    <s v="ACTUAL"/>
    <m/>
    <x v="1"/>
    <s v="TICKET 552112"/>
  </r>
  <r>
    <n v="1016748415"/>
    <x v="1"/>
    <d v="2022-09-05T00:00:00"/>
    <m/>
    <m/>
    <m/>
    <m/>
    <x v="0"/>
    <x v="7"/>
    <x v="7"/>
    <s v="RC"/>
    <s v="KYLLIAM"/>
    <s v="MATIAS"/>
    <s v="CHAVEZ"/>
    <s v="TORRES"/>
    <s v="KYLLIAM MATIAS CHAVEZ TORRES"/>
    <d v="2019-11-25T00:00:00"/>
    <x v="10"/>
    <n v="1"/>
    <n v="1"/>
    <s v="3 AÑOS 1 MESES 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L 88 G SUR 14 A 18"/>
    <n v="3118565182"/>
    <n v="3045248791"/>
    <x v="0"/>
    <s v="NO SE AUTORECONOCE EN NINGUNO DE LOS ANTERIORES"/>
    <x v="1"/>
    <x v="1"/>
    <s v="NO_"/>
    <s v="NO_"/>
    <s v="o. Ingresos iguales o inferiores a 1.5 Smlv"/>
    <s v="SI_"/>
    <s v="MADRE"/>
    <s v="CC"/>
    <n v="1023922144"/>
    <s v="SANDRA"/>
    <s v="LIZETH"/>
    <s v="TORRES"/>
    <s v="PEÑA"/>
    <d v="1992-12-13T00:00:00"/>
    <s v="COLOMBIA"/>
    <s v="BOGOTÁ"/>
    <s v="BOGOTÁ"/>
    <m/>
    <m/>
    <m/>
    <m/>
    <m/>
    <m/>
    <m/>
    <s v=""/>
    <m/>
    <m/>
    <m/>
    <s v="CC"/>
    <n v="1023922144"/>
    <s v="SANDRA"/>
    <s v="LIZETH"/>
    <s v="TORRES"/>
    <s v="PEÑA"/>
    <d v="1992-12-13T00:00:00"/>
    <n v="30"/>
    <s v="COLOMBIA"/>
    <s v="BOGOTÁ"/>
    <s v="BOGOTÁ"/>
    <x v="0"/>
    <x v="0"/>
    <x v="0"/>
    <d v="2022-09-04T00:00:00"/>
    <s v="SI_"/>
    <x v="2"/>
    <n v="3"/>
    <s v="SI_"/>
    <s v="NO"/>
    <m/>
    <s v="37 SEMANAS"/>
    <n v="2400"/>
    <n v="47"/>
    <s v="SI_"/>
    <s v="6 MESES"/>
    <s v="12 MESES "/>
    <m/>
    <x v="3"/>
    <m/>
  </r>
  <r>
    <n v="1023981728"/>
    <x v="1"/>
    <d v="2022-09-05T00:00:00"/>
    <m/>
    <m/>
    <m/>
    <m/>
    <x v="0"/>
    <x v="7"/>
    <x v="7"/>
    <s v="RC"/>
    <s v="SARAY"/>
    <s v="SHARLOTH"/>
    <s v="CHAVEZ"/>
    <s v="SALINAS"/>
    <s v="SARAY SHARLOTH CHAVEZ SALINAS"/>
    <d v="2018-03-06T00:00:00"/>
    <x v="8"/>
    <n v="9"/>
    <n v="20"/>
    <s v="4 AÑOS 9 MESES 2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3 F BIS ESTE NO 89 SUR - 46 PI 1"/>
    <n v="3208615218"/>
    <m/>
    <x v="0"/>
    <s v="NO SE AUTORECONOCE EN NINGUNO DE LOS ANTERIORES"/>
    <x v="1"/>
    <x v="1"/>
    <s v="NO_"/>
    <s v="NO_"/>
    <s v="o. Ingresos iguales o inferiores a 1.5 Smlv"/>
    <s v="SI_"/>
    <s v="MADRE"/>
    <s v="CC"/>
    <n v="1023025368"/>
    <s v="YULI"/>
    <s v="ANDREA "/>
    <s v="CHAVEZ"/>
    <s v="SALINAS "/>
    <d v="1997-11-01T00:00:00"/>
    <s v="COLOMBIA"/>
    <s v="BOGOTÁ"/>
    <s v="BOGOTÁ"/>
    <m/>
    <m/>
    <m/>
    <m/>
    <m/>
    <m/>
    <m/>
    <s v=""/>
    <m/>
    <m/>
    <m/>
    <s v="CC"/>
    <n v="1023025368"/>
    <s v="YULI"/>
    <s v="ANDREA "/>
    <s v="CHAVEZ"/>
    <s v="SALINAS "/>
    <d v="1997-11-01T00:00:00"/>
    <n v="25"/>
    <s v="COLOMBIA"/>
    <s v="BOGOTÁ"/>
    <s v="BOGOTÁ"/>
    <x v="1"/>
    <x v="1"/>
    <x v="0"/>
    <d v="2022-09-04T00:00:00"/>
    <s v="SI_"/>
    <x v="2"/>
    <n v="3"/>
    <s v="SI_"/>
    <s v="SI"/>
    <m/>
    <s v="36 SEMANAS"/>
    <n v="1720"/>
    <n v="44"/>
    <s v="SI_"/>
    <s v="6 MESES"/>
    <s v="12 MESES "/>
    <m/>
    <x v="3"/>
    <m/>
  </r>
  <r>
    <n v="1028675913"/>
    <x v="1"/>
    <d v="2022-09-05T00:00:00"/>
    <m/>
    <m/>
    <m/>
    <m/>
    <x v="0"/>
    <x v="7"/>
    <x v="7"/>
    <s v="RC"/>
    <s v="DAMIAN "/>
    <s v="JESUS"/>
    <s v="GUILLEN "/>
    <s v="MOLINA"/>
    <s v="DAMIAN  JESUS GUILLEN  MOLINA"/>
    <d v="2022-07-29T00:00:00"/>
    <x v="1"/>
    <n v="4"/>
    <n v="27"/>
    <s v="0 AÑOS 4 MESES 27 DIAS "/>
    <x v="1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9 81   24 SUR "/>
    <n v="3123496453"/>
    <n v="3213289682"/>
    <x v="0"/>
    <s v="NO SE AUTORECONOCE EN NINGUNO DE LOS ANTERIORES"/>
    <x v="0"/>
    <x v="1"/>
    <s v="NO_"/>
    <s v="NO_"/>
    <s v="o. Ingresos iguales o inferiores a 1.5 Smlv"/>
    <s v="SI_"/>
    <s v="MADRE"/>
    <s v="CC"/>
    <n v="1023875985"/>
    <s v="LUZ"/>
    <s v="ESTELA"/>
    <s v="MOLINA"/>
    <m/>
    <d v="1998-04-15T00:00:00"/>
    <s v="COLOMBIA"/>
    <s v="BOGOTÁ"/>
    <s v="BOGOTÁ"/>
    <s v="CC"/>
    <n v="1000776529"/>
    <s v="HERSON"/>
    <s v="DARNEY"/>
    <s v="VILLEN"/>
    <s v="MAHECHA"/>
    <d v="2002-02-26T00:00:00"/>
    <n v="20"/>
    <s v="COLOMBIA"/>
    <s v="BOGOTÁ"/>
    <s v="BOGOTÁ"/>
    <s v="CC"/>
    <n v="1023875985"/>
    <s v="LUZ"/>
    <s v="ESTELA"/>
    <s v="MOLINA"/>
    <m/>
    <d v="1998-04-15T00:00:00"/>
    <n v="24"/>
    <s v="COLOMBIA"/>
    <s v="BOGOTÁ"/>
    <s v="BOGOTÁ"/>
    <x v="1"/>
    <x v="1"/>
    <x v="0"/>
    <d v="2022-09-04T00:00:00"/>
    <s v="NO_"/>
    <x v="1"/>
    <m/>
    <s v="SI_"/>
    <s v="SI"/>
    <m/>
    <s v="34 SEMANAS"/>
    <n v="2145"/>
    <n v="43"/>
    <s v="SI_"/>
    <s v="ACTUAL"/>
    <s v="ACTUAL"/>
    <m/>
    <x v="0"/>
    <m/>
  </r>
  <r>
    <n v="1023980011"/>
    <x v="1"/>
    <d v="2022-09-05T00:00:00"/>
    <m/>
    <m/>
    <m/>
    <m/>
    <x v="0"/>
    <x v="7"/>
    <x v="7"/>
    <s v="RC"/>
    <s v="MIA "/>
    <s v="ISABELLA"/>
    <s v="VALLES"/>
    <s v="GOMEZ"/>
    <s v="MIA  ISABELLA VALLES GOMEZ"/>
    <d v="2017-11-18T00:00:00"/>
    <x v="9"/>
    <n v="1"/>
    <n v="8"/>
    <s v="5 AÑOS 1 MESES 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L 81 BIS SUR  1630 ESTE "/>
    <n v="3142275645"/>
    <m/>
    <x v="0"/>
    <s v="NO SE AUTORECONOCE EN NINGUNO DE LOS ANTERIORES"/>
    <x v="0"/>
    <x v="17"/>
    <s v="SI_"/>
    <s v="NO_"/>
    <s v="a. Pertenecientes a hogares con puntaje SISBEN"/>
    <s v="NO_"/>
    <s v="MADRE"/>
    <s v="CC"/>
    <n v="1023873968"/>
    <s v="YULY"/>
    <s v="PAOLA"/>
    <s v="GOMEZ"/>
    <s v="BONILLA"/>
    <d v="1987-07-11T00:00:00"/>
    <s v="COLOMBIA"/>
    <s v="BOGOTÁ"/>
    <s v="BOGOTÁ"/>
    <m/>
    <m/>
    <m/>
    <m/>
    <m/>
    <m/>
    <m/>
    <s v=""/>
    <m/>
    <m/>
    <m/>
    <s v="CC"/>
    <n v="1023873968"/>
    <s v="YULY"/>
    <s v="PAOLA"/>
    <s v="GOMEZ"/>
    <s v="BONILLA"/>
    <d v="1987-07-11T00:00:00"/>
    <n v="35"/>
    <s v="COLOMBIA"/>
    <s v="BOGOTÁ"/>
    <s v="BOGOTÁ"/>
    <x v="0"/>
    <x v="0"/>
    <x v="0"/>
    <d v="2022-09-04T00:00:00"/>
    <s v="SI_"/>
    <x v="2"/>
    <n v="2"/>
    <s v="NO_"/>
    <s v="NO"/>
    <m/>
    <s v="39.5 SEMANAS"/>
    <n v="3230"/>
    <n v="49"/>
    <s v="NO_"/>
    <s v="6 MESES"/>
    <s v="12 MESES "/>
    <m/>
    <x v="3"/>
    <m/>
  </r>
  <r>
    <n v="1074536315"/>
    <x v="1"/>
    <d v="2022-09-05T00:00:00"/>
    <m/>
    <m/>
    <m/>
    <m/>
    <x v="0"/>
    <x v="7"/>
    <x v="7"/>
    <s v="RC"/>
    <s v="EMILY "/>
    <s v="ISABELLA"/>
    <s v="ORTIZ"/>
    <s v="DAZA"/>
    <s v="EMILY  ISABELLA ORTIZ DAZA"/>
    <d v="2020-08-25T00:00:00"/>
    <x v="2"/>
    <n v="4"/>
    <n v="1"/>
    <s v="2 AÑOS 4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KR 12 F ESTE 89 SUR 50"/>
    <n v="3148254697"/>
    <n v="3107697928"/>
    <x v="0"/>
    <s v="NO SE AUTORECONOCE EN NINGUNO DE LOS ANTERIORES"/>
    <x v="1"/>
    <x v="1"/>
    <s v="NO_"/>
    <s v="NO_"/>
    <s v="o. Ingresos iguales o inferiores a 1.5 Smlv"/>
    <s v="SI_"/>
    <s v="MADRE"/>
    <s v="CC"/>
    <n v="1012433694"/>
    <s v="STEFANNY"/>
    <s v="GHISSED"/>
    <s v="DAZA"/>
    <s v="SIMBAQUEVA"/>
    <d v="1996-07-15T00:00:00"/>
    <s v="COLOMBIA"/>
    <s v="BOGOTÁ"/>
    <s v="BOGOTÁ"/>
    <m/>
    <m/>
    <m/>
    <m/>
    <m/>
    <m/>
    <m/>
    <s v=""/>
    <m/>
    <m/>
    <m/>
    <s v="CC"/>
    <n v="1012433694"/>
    <s v="STEFANNY"/>
    <s v="GHISSED"/>
    <s v="DAZA"/>
    <s v="SIMBAQUEVA"/>
    <d v="1996-07-15T00:00:00"/>
    <n v="26"/>
    <s v="COLOMBIA"/>
    <s v="BOGOTÁ"/>
    <s v="BOGOTÁ"/>
    <x v="1"/>
    <x v="4"/>
    <x v="0"/>
    <d v="2022-08-05T00:00:00"/>
    <s v="SI_"/>
    <x v="2"/>
    <n v="1"/>
    <s v="NO_"/>
    <m/>
    <m/>
    <s v="39 SEMANAS"/>
    <n v="3060"/>
    <n v="49"/>
    <s v="NO_"/>
    <s v="6 MESES "/>
    <s v="ACTUAL"/>
    <m/>
    <x v="1"/>
    <m/>
  </r>
  <r>
    <n v="1243860929"/>
    <x v="1"/>
    <d v="2022-09-05T00:00:00"/>
    <m/>
    <m/>
    <m/>
    <m/>
    <x v="0"/>
    <x v="3"/>
    <x v="3"/>
    <s v="RC"/>
    <s v="LIAM"/>
    <s v="SAMUEL"/>
    <s v="LATORRE"/>
    <s v="BURBANO "/>
    <s v="LIAM SAMUEL LATORRE BURBANO "/>
    <d v="2022-02-03T00:00:00"/>
    <x v="1"/>
    <n v="10"/>
    <n v="23"/>
    <s v="0 AÑOS 10 MESES 2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1"/>
    <m/>
    <s v="KR 6 ESTE  90 SUR  38 PI 2 "/>
    <n v="3208151294"/>
    <m/>
    <x v="0"/>
    <s v="NO SE AUTORECONOCE EN NINGUNO DE LOS ANTERIORES"/>
    <x v="1"/>
    <x v="1"/>
    <s v="NO_"/>
    <s v="NO_"/>
    <s v="o. Ingresos iguales o inferiores a 1.5 Smlv"/>
    <s v="SI_"/>
    <s v="MADRE"/>
    <s v="CC"/>
    <n v="1193221221"/>
    <s v="ANA"/>
    <s v="GABRIELA "/>
    <s v="LATORRE"/>
    <s v="BURBANO "/>
    <d v="2000-08-16T00:00:00"/>
    <s v="COLOMBIA"/>
    <s v="BOGOTÁ"/>
    <s v="BOGOTÁ"/>
    <m/>
    <m/>
    <m/>
    <m/>
    <m/>
    <m/>
    <m/>
    <s v=""/>
    <m/>
    <m/>
    <m/>
    <s v="CC"/>
    <n v="1193221221"/>
    <s v="ANA"/>
    <s v="GABRIELA "/>
    <s v="LATORRE"/>
    <s v="BURBANO "/>
    <d v="2000-08-16T00:00:00"/>
    <n v="22"/>
    <s v="COLOMBIA"/>
    <s v="BOGOTÁ"/>
    <s v="BOGOTÁ"/>
    <x v="0"/>
    <x v="5"/>
    <x v="0"/>
    <d v="2022-08-05T00:00:00"/>
    <s v="SI_"/>
    <x v="2"/>
    <n v="3"/>
    <s v="NO_"/>
    <s v="NO"/>
    <m/>
    <s v="40 SEMANAS"/>
    <n v="3000"/>
    <n v="51"/>
    <m/>
    <s v="6 MESES "/>
    <s v="ACTUAL"/>
    <m/>
    <x v="2"/>
    <m/>
  </r>
  <r>
    <n v="1074824501"/>
    <x v="1"/>
    <d v="2022-09-05T00:00:00"/>
    <m/>
    <m/>
    <m/>
    <m/>
    <x v="0"/>
    <x v="7"/>
    <x v="7"/>
    <s v="RC"/>
    <s v="EMMANUEL "/>
    <s v="ALEJANDRO "/>
    <s v="ORTIZ"/>
    <s v="DAZA"/>
    <s v="EMMANUEL  ALEJANDRO  ORTIZ DAZA"/>
    <d v="2017-12-14T00:00:00"/>
    <x v="9"/>
    <n v="0"/>
    <n v="12"/>
    <s v="5 AÑOS 0 MESES 1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KR 12 F ESTE 89 SUR 50"/>
    <n v="3148254697"/>
    <n v="3107697928"/>
    <x v="0"/>
    <s v="NO SE AUTORECONOCE EN NINGUNO DE LOS ANTERIORES"/>
    <x v="1"/>
    <x v="1"/>
    <s v="NO_"/>
    <s v="NO_"/>
    <s v="o. Ingresos iguales o inferiores a 1.5 Smlv"/>
    <s v="SI_"/>
    <s v="MADRE"/>
    <s v="CC"/>
    <n v="1012433694"/>
    <s v="STEFANNY"/>
    <s v="GHISSED"/>
    <s v="DAZA"/>
    <s v="SIMBAQUEVA"/>
    <d v="1996-07-15T00:00:00"/>
    <s v="COLOMBIA"/>
    <s v="BOGOTÁ"/>
    <s v="BOGOTÁ"/>
    <m/>
    <m/>
    <m/>
    <m/>
    <m/>
    <m/>
    <m/>
    <s v=""/>
    <m/>
    <m/>
    <m/>
    <s v="CC"/>
    <n v="1012433694"/>
    <s v="STEFANNY"/>
    <s v="GHISSED"/>
    <s v="DAZA"/>
    <s v="SIMBAQUEVA"/>
    <d v="1996-07-15T00:00:00"/>
    <n v="26"/>
    <s v="COLOMBIA"/>
    <s v="BOGOTÁ"/>
    <s v="BOGOTÁ"/>
    <x v="1"/>
    <x v="4"/>
    <x v="0"/>
    <d v="2022-08-05T00:00:00"/>
    <s v="SI_"/>
    <x v="2"/>
    <n v="1"/>
    <s v="NO_"/>
    <m/>
    <m/>
    <s v="41 SEMANAS "/>
    <n v="3100"/>
    <n v="49"/>
    <s v="NO_"/>
    <s v="6 MESES "/>
    <s v="12 MESES "/>
    <m/>
    <x v="3"/>
    <m/>
  </r>
  <r>
    <n v="1023046119"/>
    <x v="1"/>
    <d v="2022-09-05T00:00:00"/>
    <m/>
    <m/>
    <m/>
    <m/>
    <x v="0"/>
    <x v="1"/>
    <x v="1"/>
    <s v="RC"/>
    <s v="AARON "/>
    <s v="ALEXANDER"/>
    <s v="GIRALDO "/>
    <s v="HENAO"/>
    <s v="AARON  ALEXANDER GIRALDO  HENAO"/>
    <d v="2020-12-08T00:00:00"/>
    <x v="2"/>
    <n v="0"/>
    <n v="18"/>
    <s v="2 AÑOS 0 MESES 1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R 6F ESTE 104 SUR 32"/>
    <n v="3185862882"/>
    <m/>
    <x v="0"/>
    <s v="NO SE AUTORECONOCE EN NINGUNO DE LOS ANTERIORES"/>
    <x v="0"/>
    <x v="11"/>
    <s v="NO_"/>
    <s v="NO_"/>
    <s v="o. Ingresos iguales o inferiores a 1.5 Smlv"/>
    <s v="SI_"/>
    <s v="MADRE"/>
    <s v="CC"/>
    <n v="1151956259"/>
    <s v="SORANYELI"/>
    <m/>
    <s v="HENAO"/>
    <s v="ALVAREZ"/>
    <d v="1994-11-27T00:00:00"/>
    <s v="COLOMBIA"/>
    <s v="ANTIOQUIA"/>
    <s v="MEDELLÍN"/>
    <s v="CC"/>
    <n v="80292896"/>
    <s v="DIEGO "/>
    <s v="ALEXANDER"/>
    <s v="GIRALDO "/>
    <s v="QUINTERO"/>
    <d v="1980-10-10T00:00:00"/>
    <n v="42"/>
    <s v="COLOMBIA"/>
    <s v="BOGOTÁ"/>
    <s v="BOGOTÁ"/>
    <s v="CC"/>
    <n v="1151956259"/>
    <s v="SORANYELI"/>
    <m/>
    <s v="HENAO"/>
    <s v="ALVAREZ"/>
    <d v="1994-11-27T00:00:00"/>
    <n v="28"/>
    <s v="COLOMBIA"/>
    <s v="ANTIOQUIA"/>
    <s v="MEDELLÍN"/>
    <x v="1"/>
    <x v="1"/>
    <x v="0"/>
    <d v="2022-09-06T00:00:00"/>
    <s v="SI_"/>
    <x v="2"/>
    <m/>
    <s v="SI_"/>
    <m/>
    <m/>
    <n v="34"/>
    <n v="2770"/>
    <n v="48"/>
    <s v="NO_"/>
    <n v="6"/>
    <n v="12"/>
    <m/>
    <x v="1"/>
    <m/>
  </r>
  <r>
    <n v="1019160101"/>
    <x v="1"/>
    <d v="2022-09-05T00:00:00"/>
    <m/>
    <m/>
    <m/>
    <m/>
    <x v="0"/>
    <x v="1"/>
    <x v="1"/>
    <s v="RC"/>
    <s v="ISABELLA"/>
    <m/>
    <s v="RICO"/>
    <s v="URIBE"/>
    <s v="ISABELLA  RICO URIBE"/>
    <d v="2021-05-23T00:00:00"/>
    <x v="3"/>
    <n v="7"/>
    <n v="3"/>
    <s v="1 AÑOS 7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R 6F ESTE 104 SUR 32"/>
    <n v="3185862882"/>
    <m/>
    <x v="0"/>
    <s v="NO SE AUTORECONOCE EN NINGUNO DE LOS ANTERIORES"/>
    <x v="0"/>
    <x v="14"/>
    <s v="NO_"/>
    <s v="NO_"/>
    <s v="o. Ingresos iguales o inferiores a 1.5 Smlv"/>
    <s v="SI_"/>
    <s v="MADRE"/>
    <s v="CC"/>
    <n v="1007519766"/>
    <s v="MARIA "/>
    <s v="VALENTINA"/>
    <s v="URIBE "/>
    <s v="ALVAREZ"/>
    <d v="2000-01-13T00:00:00"/>
    <s v="COLOMBIA"/>
    <s v="BOGOTÁ"/>
    <s v="BOGOTÁ"/>
    <s v="CC"/>
    <n v="1019087496"/>
    <s v="JHON"/>
    <s v="ESTEBAN "/>
    <s v="RICO "/>
    <s v="AVENDAÑO"/>
    <d v="1993-10-18T00:00:00"/>
    <n v="29"/>
    <s v="COLOMBIA"/>
    <s v="BOGOTÁ"/>
    <s v="BOGOTÁ"/>
    <s v="CC"/>
    <n v="1007519766"/>
    <s v="MARIA "/>
    <s v="VALENTINA"/>
    <s v="URIBE "/>
    <s v="ALVAREZ"/>
    <d v="2000-01-13T00:00:00"/>
    <n v="22"/>
    <s v="COLOMBIA"/>
    <s v="BOGOTÁ"/>
    <s v="BOGOTÁ"/>
    <x v="0"/>
    <x v="25"/>
    <x v="0"/>
    <d v="2022-09-06T00:00:00"/>
    <s v="SI_"/>
    <x v="2"/>
    <m/>
    <s v="SI_"/>
    <m/>
    <m/>
    <n v="49"/>
    <n v="2240"/>
    <n v="49"/>
    <s v="NO_"/>
    <n v="6"/>
    <n v="6"/>
    <m/>
    <x v="1"/>
    <m/>
  </r>
  <r>
    <n v="1243860881"/>
    <x v="1"/>
    <d v="2022-09-05T00:00:00"/>
    <m/>
    <m/>
    <m/>
    <m/>
    <x v="0"/>
    <x v="3"/>
    <x v="3"/>
    <s v="RC"/>
    <s v="DANIEL"/>
    <s v="MATIAS"/>
    <s v="RONDON "/>
    <s v="GIL"/>
    <s v="DANIEL MATIAS RONDON  GIL"/>
    <d v="2022-01-07T00:00:00"/>
    <x v="1"/>
    <n v="11"/>
    <n v="19"/>
    <s v="0 AÑOS 11 MESES 19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10 A ESTE # 106 SUR - 73"/>
    <n v="3102443994"/>
    <n v="3142991427"/>
    <x v="0"/>
    <s v="NO SE AUTORECONOCE EN NINGUNO DE LOS ANTERIORES"/>
    <x v="0"/>
    <x v="1"/>
    <s v="NO_"/>
    <s v="NO_"/>
    <s v="a. Pertenecientes a hogares con puntaje SISBEN"/>
    <m/>
    <s v="MADRE"/>
    <s v="CC"/>
    <n v="1023006961"/>
    <s v="LUISA"/>
    <s v="FERNANDA"/>
    <s v="GIL "/>
    <s v="COCA"/>
    <d v="1995-09-05T00:00:00"/>
    <s v="COLOMBIA"/>
    <s v="BOGOTÁ"/>
    <s v="BOGOTÁ"/>
    <s v="CC"/>
    <n v="1014248860"/>
    <s v="JOHAN"/>
    <s v="DANIEL"/>
    <s v="RONDON"/>
    <s v="LEON"/>
    <m/>
    <s v=""/>
    <s v="COLOMBIA"/>
    <s v="BOGOTÁ"/>
    <s v="BOGOTÁ"/>
    <s v="CC"/>
    <n v="1023006961"/>
    <s v="LUISA "/>
    <s v="FERNANDA"/>
    <s v="GIL"/>
    <s v="COCA"/>
    <d v="1995-09-05T00:00:00"/>
    <n v="27"/>
    <s v="COLOMBIA"/>
    <s v="BOGOTÁ"/>
    <s v="BOGOTÁ"/>
    <x v="1"/>
    <x v="1"/>
    <x v="0"/>
    <d v="2022-09-06T00:00:00"/>
    <s v="SI_"/>
    <x v="2"/>
    <n v="7"/>
    <s v="NO_"/>
    <m/>
    <m/>
    <n v="40"/>
    <n v="3450"/>
    <n v="51"/>
    <s v="SI_"/>
    <n v="6"/>
    <n v="8"/>
    <m/>
    <x v="2"/>
    <m/>
  </r>
  <r>
    <n v="1027541893"/>
    <x v="0"/>
    <d v="2022-11-01T00:00:00"/>
    <d v="2022-11-02T00:00:00"/>
    <s v="ASLY SARAI SOSA MEJIA "/>
    <e v="#N/A"/>
    <m/>
    <x v="0"/>
    <x v="3"/>
    <x v="3"/>
    <s v="RC"/>
    <s v="THIAGO "/>
    <s v="DANIEL"/>
    <s v="FONSECA "/>
    <s v="SUAREZ"/>
    <s v="THIAGO  DANIEL FONSECA  SUAREZ"/>
    <d v="2020-05-13T00:00:00"/>
    <x v="2"/>
    <n v="7"/>
    <n v="13"/>
    <s v="2 AÑOS 7 MESES 1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LA ESMERALDA"/>
    <n v="3015896835"/>
    <m/>
    <x v="0"/>
    <s v="NO SE AUTORECONOCE EN NINGUNO DE LOS ANTERIORES"/>
    <x v="2"/>
    <x v="1"/>
    <s v="NO_"/>
    <s v="NO_"/>
    <m/>
    <m/>
    <s v="ABUELO(A)"/>
    <s v="CC"/>
    <n v="24712968"/>
    <s v="YISELA"/>
    <m/>
    <s v="PARRA"/>
    <s v="ALVAREZ"/>
    <d v="1979-08-02T00:00:00"/>
    <s v="COLOMBIA"/>
    <s v="CUNDINAMARCA"/>
    <s v="YACOPÍ"/>
    <m/>
    <m/>
    <m/>
    <m/>
    <m/>
    <m/>
    <m/>
    <s v=""/>
    <m/>
    <m/>
    <m/>
    <s v="CC"/>
    <n v="1003629836"/>
    <s v="PAMELA"/>
    <m/>
    <s v="SUAREZ"/>
    <s v="PARRA"/>
    <d v="2001-08-13T00:00:00"/>
    <n v="21"/>
    <s v="COLOMBIA"/>
    <s v="BOGOTÁ"/>
    <s v="BOGOTÁ"/>
    <x v="1"/>
    <x v="1"/>
    <x v="0"/>
    <m/>
    <s v="SI_"/>
    <x v="2"/>
    <m/>
    <s v="NO_"/>
    <m/>
    <m/>
    <m/>
    <m/>
    <m/>
    <m/>
    <n v="6"/>
    <n v="9"/>
    <m/>
    <x v="1"/>
    <m/>
  </r>
  <r>
    <n v="1023047678"/>
    <x v="0"/>
    <d v="2022-09-05T00:00:00"/>
    <d v="2022-11-01T00:00:00"/>
    <m/>
    <e v="#N/A"/>
    <m/>
    <x v="0"/>
    <x v="3"/>
    <x v="3"/>
    <s v="RC"/>
    <s v="ASLY"/>
    <s v="SARAI"/>
    <s v="SOSA"/>
    <s v="MEJIA"/>
    <s v="ASLY SARAI SOSA MEJIA"/>
    <d v="2021-12-10T00:00:00"/>
    <x v="3"/>
    <n v="0"/>
    <n v="16"/>
    <s v="1 AÑOS 0 MESES 1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CLL 107 SUR 6 G 19"/>
    <n v="3118450659"/>
    <m/>
    <x v="0"/>
    <s v="NO SE AUTORECONOCE EN NINGUNO DE LOS ANTERIORES"/>
    <x v="0"/>
    <x v="6"/>
    <s v="NO_"/>
    <s v="NO_"/>
    <s v="a. Pertenecientes a hogares con puntaje SISBEN"/>
    <m/>
    <s v="TIO(A)"/>
    <s v="CC"/>
    <n v="1000990928"/>
    <s v="DIANA"/>
    <s v="SOFIA"/>
    <s v="MEJIA"/>
    <s v="CUBIDES"/>
    <d v="2003-03-03T00:00:00"/>
    <s v="COLOMBIA"/>
    <s v="BOGOTÁ"/>
    <s v="BOGOTÁ"/>
    <m/>
    <m/>
    <m/>
    <m/>
    <m/>
    <m/>
    <m/>
    <s v=""/>
    <m/>
    <m/>
    <m/>
    <s v="TI"/>
    <n v="1022929321"/>
    <s v="KAREN"/>
    <s v="VALENTINA"/>
    <s v="MEJIA"/>
    <s v="CUBIDES"/>
    <m/>
    <s v=""/>
    <s v="COLOMBIA"/>
    <s v="BOGOTÁ"/>
    <s v="BOGOTÁ"/>
    <x v="1"/>
    <x v="2"/>
    <x v="0"/>
    <d v="2022-09-07T00:00:00"/>
    <s v="NO_"/>
    <x v="2"/>
    <n v="1"/>
    <s v="NO_"/>
    <m/>
    <m/>
    <m/>
    <m/>
    <m/>
    <m/>
    <n v="6"/>
    <n v="9"/>
    <m/>
    <x v="1"/>
    <m/>
  </r>
  <r>
    <n v="1023983816"/>
    <x v="1"/>
    <d v="2022-09-12T00:00:00"/>
    <m/>
    <m/>
    <m/>
    <m/>
    <x v="0"/>
    <x v="7"/>
    <x v="7"/>
    <s v="RC"/>
    <s v="JUAN"/>
    <s v="DAVID"/>
    <s v="VILLAMIL"/>
    <s v="FONSECA"/>
    <s v="JUAN DAVID VILLAMIL FONSECA"/>
    <d v="2018-12-21T00:00:00"/>
    <x v="8"/>
    <n v="0"/>
    <n v="5"/>
    <s v="4 AÑOS 0 MESES 5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 81 B SUR 17 ESTE 40"/>
    <m/>
    <m/>
    <x v="0"/>
    <s v="NO SE AUTORECONOCE EN NINGUNO DE LOS ANTERIORES"/>
    <x v="1"/>
    <x v="1"/>
    <s v="NO_"/>
    <s v="NO_"/>
    <s v="o. Ingresos iguales o inferiores a 1.5 Smlv"/>
    <m/>
    <s v="ABUELO(A)"/>
    <s v="CC"/>
    <n v="46452305"/>
    <s v="MARIA "/>
    <s v="DEL CARMEN"/>
    <s v="VILLAMIL"/>
    <s v="FONSECA"/>
    <d v="1965-10-14T00:00:00"/>
    <s v="COLOMBIA"/>
    <s v="SANTANDER"/>
    <s v="PUENTE NACIONAL"/>
    <m/>
    <m/>
    <m/>
    <m/>
    <m/>
    <m/>
    <m/>
    <s v=""/>
    <m/>
    <m/>
    <m/>
    <s v="CC"/>
    <n v="53095254"/>
    <s v="BIBIANA"/>
    <s v="ANDREA"/>
    <s v="VILLAMIL"/>
    <s v="FONSECA"/>
    <m/>
    <s v=""/>
    <m/>
    <m/>
    <m/>
    <x v="1"/>
    <x v="1"/>
    <x v="0"/>
    <d v="2022-09-15T00:00:00"/>
    <s v="SI_"/>
    <x v="2"/>
    <n v="1"/>
    <s v="NO_"/>
    <m/>
    <m/>
    <m/>
    <m/>
    <m/>
    <m/>
    <m/>
    <m/>
    <m/>
    <x v="3"/>
    <m/>
  </r>
  <r>
    <n v="1028675409"/>
    <x v="1"/>
    <d v="2022-09-12T00:00:00"/>
    <m/>
    <m/>
    <m/>
    <m/>
    <x v="0"/>
    <x v="8"/>
    <x v="8"/>
    <s v="RC"/>
    <s v="VALERIS "/>
    <s v="JOSE "/>
    <s v="COLINA"/>
    <s v="REFUNJOL "/>
    <s v="VALERIS  JOSE  COLINA REFUNJOL "/>
    <d v="2021-04-12T00:00:00"/>
    <x v="3"/>
    <n v="8"/>
    <n v="14"/>
    <s v="1 AÑOS 8 MESES 1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KRA 23 D ESTE-89SUR-39"/>
    <n v="311724246"/>
    <m/>
    <x v="0"/>
    <s v="NO SE AUTORECONOCE EN NINGUNO DE LOS ANTERIORES"/>
    <x v="1"/>
    <x v="1"/>
    <s v="NO_"/>
    <s v="NO_"/>
    <s v="o. Ingresos iguales o inferiores a 1.5 Smlv"/>
    <s v="NO_"/>
    <s v="MADRE"/>
    <s v="PEP"/>
    <n v="4657590"/>
    <s v="MARLENY"/>
    <m/>
    <s v=" REFUNJOL "/>
    <s v="MALDONADO "/>
    <d v="1988-02-18T00:00:00"/>
    <s v="VENEZUELA"/>
    <m/>
    <m/>
    <m/>
    <m/>
    <m/>
    <m/>
    <m/>
    <m/>
    <m/>
    <s v=""/>
    <m/>
    <m/>
    <m/>
    <s v="PEP"/>
    <n v="4657590"/>
    <s v="MARLENY"/>
    <m/>
    <s v=" REFUNJOL "/>
    <s v="MALDONADO "/>
    <d v="1988-02-18T00:00:00"/>
    <n v="34"/>
    <s v="VENEZUELA"/>
    <m/>
    <m/>
    <x v="1"/>
    <x v="1"/>
    <x v="0"/>
    <d v="2022-09-15T00:00:00"/>
    <s v="SI_"/>
    <x v="1"/>
    <s v="NO"/>
    <s v="NO_"/>
    <m/>
    <m/>
    <n v="39"/>
    <n v="3025"/>
    <n v="50"/>
    <m/>
    <m/>
    <m/>
    <m/>
    <x v="1"/>
    <m/>
  </r>
  <r>
    <n v="16012018237"/>
    <x v="1"/>
    <d v="2022-09-12T00:00:00"/>
    <m/>
    <m/>
    <m/>
    <m/>
    <x v="0"/>
    <x v="8"/>
    <x v="8"/>
    <s v="ANM"/>
    <s v="MATHIAS "/>
    <s v="DEL JESUS "/>
    <s v="HERNANDEZ "/>
    <s v="RODRIGUEZ"/>
    <s v="MATHIAS  DEL JESUS  HERNANDEZ  RODRIGUEZ"/>
    <d v="2018-01-16T00:00:00"/>
    <x v="8"/>
    <n v="11"/>
    <n v="10"/>
    <s v="4 AÑOS 11 MESES 10 DIAS "/>
    <x v="2"/>
    <x v="1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1"/>
    <s v="LOCALIDAD"/>
    <x v="0"/>
    <x v="63"/>
    <m/>
    <s v="CRA13 F #89D-06"/>
    <n v="3112778786"/>
    <m/>
    <x v="0"/>
    <s v="NO SE AUTORECONOCE EN NINGUNO DE LOS ANTERIORES"/>
    <x v="1"/>
    <x v="1"/>
    <s v="NO_"/>
    <s v="NO_"/>
    <s v="o. Ingresos iguales o inferiores a 1.5 Smlv"/>
    <s v="NO_"/>
    <s v="MADRE"/>
    <s v="SIN DOCUMENTO"/>
    <m/>
    <s v="INES "/>
    <s v="ANDREINA "/>
    <s v="RODRIGUEZ "/>
    <s v="RIVAS "/>
    <m/>
    <s v="VENEZUELA"/>
    <m/>
    <m/>
    <m/>
    <m/>
    <m/>
    <m/>
    <m/>
    <m/>
    <m/>
    <s v=""/>
    <m/>
    <m/>
    <m/>
    <s v="SIN DOCUMENTO"/>
    <m/>
    <s v="INES "/>
    <s v="ANDREINA "/>
    <s v="RODRIGUEZ "/>
    <s v="RIVAS "/>
    <m/>
    <s v=""/>
    <s v="VENEZUELA"/>
    <m/>
    <m/>
    <x v="3"/>
    <x v="12"/>
    <x v="1"/>
    <m/>
    <m/>
    <x v="2"/>
    <s v="NO"/>
    <s v="NO_"/>
    <m/>
    <m/>
    <n v="39"/>
    <m/>
    <m/>
    <m/>
    <m/>
    <m/>
    <m/>
    <x v="3"/>
    <m/>
  </r>
  <r>
    <n v="1039226511"/>
    <x v="1"/>
    <d v="2022-09-12T00:00:00"/>
    <m/>
    <m/>
    <m/>
    <m/>
    <x v="0"/>
    <x v="7"/>
    <x v="7"/>
    <s v="RC"/>
    <s v="LUCIANA "/>
    <m/>
    <s v="CALLE"/>
    <s v="ARBOLEDA "/>
    <s v="LUCIANA   CALLE ARBOLEDA "/>
    <d v="2020-05-28T00:00:00"/>
    <x v="2"/>
    <n v="6"/>
    <n v="28"/>
    <s v="2 AÑOS 6 MESES 2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CALLE 89D SUR 14-28 ESTE"/>
    <n v="3193582114"/>
    <m/>
    <x v="2"/>
    <s v="NO SE AUTORECONOCE EN NINGUNO DE LOS ANTERIORES"/>
    <x v="1"/>
    <x v="1"/>
    <s v="NO_"/>
    <s v="NO_"/>
    <s v="o. Ingresos iguales o inferiores a 1.5 Smlv"/>
    <s v="NO_"/>
    <s v="MADRE"/>
    <s v="CC"/>
    <n v="1007349003"/>
    <s v="YESICA "/>
    <m/>
    <s v="ARBOLEDA "/>
    <s v="PIEDRAHITA"/>
    <m/>
    <s v="COLOMBIA"/>
    <s v="ANTIOQUIA"/>
    <s v="CONCORDIA"/>
    <m/>
    <m/>
    <m/>
    <m/>
    <m/>
    <m/>
    <m/>
    <s v=""/>
    <m/>
    <m/>
    <m/>
    <s v="CC"/>
    <n v="1007349003"/>
    <s v="YESICA "/>
    <m/>
    <s v="ARBOLEDA "/>
    <s v="PIEDRAHITA"/>
    <d v="1988-02-18T00:00:00"/>
    <n v="34"/>
    <s v="COLOMBIA"/>
    <s v="ANTIOQUIA"/>
    <s v="CONCORDIA"/>
    <x v="1"/>
    <x v="1"/>
    <x v="1"/>
    <m/>
    <m/>
    <x v="1"/>
    <s v="NO"/>
    <s v="NO_"/>
    <m/>
    <m/>
    <n v="40"/>
    <n v="3400"/>
    <n v="52"/>
    <m/>
    <m/>
    <m/>
    <m/>
    <x v="1"/>
    <m/>
  </r>
  <r>
    <n v="1023989627"/>
    <x v="1"/>
    <d v="2022-11-01T00:00:00"/>
    <m/>
    <m/>
    <m/>
    <m/>
    <x v="0"/>
    <x v="8"/>
    <x v="8"/>
    <s v="RC"/>
    <s v="DILAN"/>
    <s v="GERONIMO"/>
    <s v="VALERO"/>
    <s v="RAMIREZ"/>
    <s v="DILAN GERONIMO VALERO RAMIREZ"/>
    <d v="2021-12-19T00:00:00"/>
    <x v="3"/>
    <n v="0"/>
    <n v="7"/>
    <s v="1 AÑOS 0 MESES 7 DIAS "/>
    <x v="2"/>
    <x v="0"/>
    <x v="0"/>
    <s v="BOGOTÁ"/>
    <s v="BOGOTÁ"/>
    <x v="0"/>
    <s v="NO_"/>
    <s v="NINGUNA"/>
    <s v="NO_"/>
    <s v="NO_"/>
    <s v="NO_"/>
    <s v="NO_"/>
    <s v="NO_"/>
    <s v="NO_"/>
    <s v="NO_"/>
    <s v="NO_"/>
    <s v="NO_"/>
    <s v="COLOMBIA"/>
    <s v="BOGOTÁ"/>
    <x v="0"/>
    <s v="LOCALIDAD"/>
    <x v="0"/>
    <x v="74"/>
    <m/>
    <s v="KR 12 H ESTE 88 F SUR 0091 0100003"/>
    <n v="3222396328"/>
    <n v="3103052784"/>
    <x v="0"/>
    <s v="NO SE AUTORECONOCE EN NINGUNO DE LOS ANTERIORES"/>
    <x v="1"/>
    <x v="1"/>
    <s v="NO_"/>
    <s v="NO_"/>
    <s v="o. Ingresos iguales o inferiores a 1.5 Smlv"/>
    <s v="NO_"/>
    <s v="HERMANO(A)"/>
    <s v="CC"/>
    <n v="1007103675"/>
    <s v="ISA"/>
    <s v="CATERINE"/>
    <s v="VALERO"/>
    <s v="RAMIREZ"/>
    <d v="2003-09-02T00:00:00"/>
    <s v="COLOMBIA"/>
    <s v="BOGOTÁ"/>
    <s v="BOGOTÁ"/>
    <s v="CC"/>
    <n v="79965"/>
    <s v="FREDY"/>
    <s v="ALBERTO"/>
    <s v="VALERO"/>
    <s v="CALDERON"/>
    <d v="1977-08-29T00:00:00"/>
    <n v="45"/>
    <s v="COLOMBIA"/>
    <s v="BOGOTÁ"/>
    <s v="BOGOTÁ"/>
    <s v="CC"/>
    <n v="52448980"/>
    <s v="YESENIA"/>
    <m/>
    <s v="RAMIREZ"/>
    <s v="CORTES"/>
    <d v="1980-06-17T00:00:00"/>
    <n v="42"/>
    <s v="COLOMBIA"/>
    <s v="BOGOTÁ"/>
    <s v="BOGOTÁ"/>
    <x v="2"/>
    <x v="11"/>
    <x v="0"/>
    <d v="2022-10-31T00:00:00"/>
    <s v="SI_"/>
    <x v="2"/>
    <n v="2"/>
    <s v="NO_"/>
    <m/>
    <m/>
    <s v="38 SEMANAS"/>
    <n v="2861"/>
    <s v="47 CM"/>
    <s v="NO_"/>
    <n v="2"/>
    <m/>
    <m/>
    <x v="1"/>
    <m/>
  </r>
  <r>
    <n v="1013697579"/>
    <x v="0"/>
    <d v="2022-09-12T00:00:00"/>
    <d v="2022-11-01T00:00:00"/>
    <m/>
    <e v="#N/A"/>
    <m/>
    <x v="0"/>
    <x v="2"/>
    <x v="2"/>
    <s v="RC"/>
    <s v="AYLIN "/>
    <s v="GABRIELA"/>
    <s v="FULANO"/>
    <s v="RAMIREZ"/>
    <s v="AYLIN  GABRIELA FULANO RAMIREZ"/>
    <d v="2020-12-08T00:00:00"/>
    <x v="2"/>
    <n v="0"/>
    <n v="18"/>
    <s v="2 AÑOS 0 MESES 1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3"/>
    <m/>
    <s v="KRA 14B ESTE # 92SUR-46"/>
    <n v="3112561033"/>
    <m/>
    <x v="2"/>
    <s v="NO SE AUTORECONOCE EN NINGUNO DE LOS ANTERIORES"/>
    <x v="1"/>
    <x v="1"/>
    <s v="NO_"/>
    <s v="NO_"/>
    <s v="o. Ingresos iguales o inferiores a 1.5 Smlv"/>
    <s v="NO_"/>
    <s v="MADRE"/>
    <s v="CC"/>
    <n v="1000616073"/>
    <s v="DEISY "/>
    <s v="TATIANA "/>
    <s v="RAMIREZ"/>
    <s v="BALLESTEROS "/>
    <m/>
    <s v="COLOMBIA"/>
    <s v="BOGOTÁ"/>
    <s v="BOGOTÁ"/>
    <m/>
    <m/>
    <m/>
    <m/>
    <m/>
    <m/>
    <m/>
    <s v=""/>
    <m/>
    <m/>
    <m/>
    <s v="CC"/>
    <n v="1000616073"/>
    <s v="DEISY "/>
    <s v="TATIANA "/>
    <s v="RAMIREZ"/>
    <s v="BALLESTEROS "/>
    <d v="2001-03-06T00:00:00"/>
    <n v="21"/>
    <s v="COLOMBIA"/>
    <s v="BOGOTÁ"/>
    <s v="BOGOTÁ"/>
    <x v="1"/>
    <x v="2"/>
    <x v="0"/>
    <d v="2022-09-15T00:00:00"/>
    <s v="SI_"/>
    <x v="1"/>
    <s v="NO"/>
    <s v="NO_"/>
    <m/>
    <m/>
    <n v="40"/>
    <n v="3410"/>
    <n v="52"/>
    <m/>
    <m/>
    <m/>
    <m/>
    <x v="1"/>
    <m/>
  </r>
  <r>
    <n v="1023987196"/>
    <x v="1"/>
    <d v="2022-09-12T00:00:00"/>
    <m/>
    <m/>
    <m/>
    <m/>
    <x v="0"/>
    <x v="8"/>
    <x v="8"/>
    <s v="RC"/>
    <s v="ALAN"/>
    <s v="SMITH"/>
    <s v="FULANO "/>
    <s v="GONZALEZ "/>
    <s v="ALAN SMITH FULANO  GONZALEZ "/>
    <d v="2020-02-16T00:00:00"/>
    <x v="2"/>
    <n v="10"/>
    <n v="10"/>
    <s v="2 AÑOS 10 MESES 1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n v="3225333699"/>
    <m/>
    <x v="2"/>
    <s v="NO SE AUTORECONOCE EN NINGUNO DE LOS ANTERIORES"/>
    <x v="1"/>
    <x v="1"/>
    <s v="NO_"/>
    <s v="NO_"/>
    <s v="o. Ingresos iguales o inferiores a 1.5 Smlv"/>
    <s v="NO_"/>
    <s v="MADRE"/>
    <s v="CC"/>
    <n v="1023933315"/>
    <s v="MARIA "/>
    <s v="ALEJANDRA"/>
    <s v="GONZALEZ "/>
    <s v="SANDOVAL "/>
    <m/>
    <s v="COLOMBIA"/>
    <s v="BOGOTÁ"/>
    <s v="BOGOTÁ"/>
    <m/>
    <m/>
    <m/>
    <m/>
    <m/>
    <m/>
    <m/>
    <s v=""/>
    <m/>
    <m/>
    <m/>
    <s v="CC"/>
    <n v="1023933315"/>
    <s v="MARIA "/>
    <s v="ALEJANDRA"/>
    <s v="GONZALEZ "/>
    <s v="SANDOVAL "/>
    <d v="1994-05-17T00:00:00"/>
    <n v="28"/>
    <s v="COLOMBIA"/>
    <s v="BOGOTÁ"/>
    <s v="BOGOTÁ"/>
    <x v="0"/>
    <x v="4"/>
    <x v="0"/>
    <d v="2022-09-15T00:00:00"/>
    <s v="SI_"/>
    <x v="1"/>
    <s v="NO"/>
    <s v="NO_"/>
    <m/>
    <m/>
    <n v="38"/>
    <n v="2700"/>
    <n v="50"/>
    <m/>
    <m/>
    <m/>
    <m/>
    <x v="1"/>
    <m/>
  </r>
  <r>
    <n v="1222218723"/>
    <x v="1"/>
    <d v="2022-09-12T00:00:00"/>
    <m/>
    <m/>
    <m/>
    <m/>
    <x v="0"/>
    <x v="8"/>
    <x v="8"/>
    <s v="RC"/>
    <s v="SALOME "/>
    <m/>
    <s v="LEON"/>
    <s v="MONGUA"/>
    <s v="SALOME   LEON MONGUA"/>
    <d v="2018-03-12T00:00:00"/>
    <x v="8"/>
    <n v="9"/>
    <n v="14"/>
    <s v="4 AÑOS 9 MESES 1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3"/>
    <m/>
    <s v="CALLE 90SUR  #12F ESTE 05"/>
    <n v="3204513361"/>
    <m/>
    <x v="2"/>
    <s v="NO SE AUTORECONOCE EN NINGUNO DE LOS ANTERIORES"/>
    <x v="0"/>
    <x v="6"/>
    <s v="NO_"/>
    <s v="NO_"/>
    <s v="o. Ingresos iguales o inferiores a 1.5 Smlv"/>
    <s v="NO_"/>
    <s v="MADRE"/>
    <s v="CC"/>
    <n v="1016026357"/>
    <s v="DIANA"/>
    <m/>
    <s v="MONGUA"/>
    <s v="GERRERO"/>
    <d v="1990-05-15T00:00:00"/>
    <s v="COLOMBIA"/>
    <s v="BOGOTÁ"/>
    <s v="BOGOTÁ"/>
    <m/>
    <m/>
    <m/>
    <m/>
    <m/>
    <m/>
    <m/>
    <s v=""/>
    <m/>
    <m/>
    <m/>
    <s v="CC"/>
    <n v="1016026357"/>
    <s v="DIANA"/>
    <m/>
    <s v="MONGUA"/>
    <s v="GERRERO"/>
    <d v="1990-05-15T00:00:00"/>
    <n v="32"/>
    <s v="COLOMBIA"/>
    <s v="BOGOTÁ"/>
    <s v="BOGOTÁ"/>
    <x v="0"/>
    <x v="6"/>
    <x v="0"/>
    <d v="2022-09-15T00:00:00"/>
    <s v="SI_"/>
    <x v="1"/>
    <s v="NO"/>
    <s v="NO_"/>
    <m/>
    <m/>
    <m/>
    <n v="3160"/>
    <m/>
    <m/>
    <m/>
    <m/>
    <m/>
    <x v="3"/>
    <m/>
  </r>
  <r>
    <n v="1031187124"/>
    <x v="0"/>
    <d v="2022-09-12T00:00:00"/>
    <d v="2022-12-01T00:00:00"/>
    <m/>
    <m/>
    <m/>
    <x v="0"/>
    <x v="7"/>
    <x v="7"/>
    <s v="RC"/>
    <s v="VALERI"/>
    <s v="SALOME "/>
    <s v="BAQUERO"/>
    <s v="VALERO "/>
    <s v="VALERI SALOME  BAQUERO VALERO "/>
    <d v="2020-12-02T00:00:00"/>
    <x v="2"/>
    <n v="0"/>
    <n v="24"/>
    <s v="2 AÑOS 0 MESES 2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s v="KRA 15ESTE #82 SUR-16 "/>
    <n v="3222040875"/>
    <n v="3132290237"/>
    <x v="0"/>
    <s v="NO SE AUTORECONOCE EN NINGUNO DE LOS ANTERIORES"/>
    <x v="1"/>
    <x v="1"/>
    <s v="NO_"/>
    <s v="NO_"/>
    <s v="o. Ingresos iguales o inferiores a 1.5 Smlv"/>
    <s v="NO_"/>
    <s v="MADRE"/>
    <s v="CC"/>
    <n v="1000335782"/>
    <s v="WENDI "/>
    <s v="YULISA"/>
    <s v="BAQUERO"/>
    <s v="VALERO "/>
    <d v="2003-04-14T00:00:00"/>
    <m/>
    <m/>
    <m/>
    <m/>
    <m/>
    <m/>
    <m/>
    <m/>
    <m/>
    <m/>
    <s v=""/>
    <m/>
    <m/>
    <m/>
    <s v="CC"/>
    <n v="1000335782"/>
    <s v="WENDI "/>
    <s v="YULISA"/>
    <s v="BAQUERO"/>
    <s v="VALERO "/>
    <d v="2003-04-14T00:00:00"/>
    <n v="19"/>
    <s v="COLOMBIA"/>
    <s v="BOGOTÁ"/>
    <s v="BOGOTÁ"/>
    <x v="1"/>
    <x v="26"/>
    <x v="1"/>
    <m/>
    <m/>
    <x v="0"/>
    <m/>
    <m/>
    <m/>
    <m/>
    <m/>
    <m/>
    <m/>
    <m/>
    <m/>
    <m/>
    <m/>
    <x v="1"/>
    <m/>
  </r>
  <r>
    <n v="1024611711"/>
    <x v="1"/>
    <d v="2022-09-12T00:00:00"/>
    <m/>
    <m/>
    <m/>
    <m/>
    <x v="0"/>
    <x v="8"/>
    <x v="8"/>
    <s v="RC"/>
    <s v="HEIMY"/>
    <s v="LUCIANA"/>
    <s v="BAUTISTA "/>
    <s v="TORRES"/>
    <s v="HEIMY LUCIANA BAUTISTA  TORRES"/>
    <d v="2021-07-13T00:00:00"/>
    <x v="3"/>
    <n v="5"/>
    <n v="13"/>
    <s v="1 AÑOS 5 MESES 1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CRR 12 B ESTE 88 F 48 SUR"/>
    <n v="3114933162"/>
    <n v="3228419039"/>
    <x v="0"/>
    <s v="NO SE AUTORECONOCE EN NINGUNO DE LOS ANTERIORES"/>
    <x v="1"/>
    <x v="1"/>
    <s v="NO_"/>
    <s v="NO_"/>
    <s v="o. Ingresos iguales o inferiores a 1.5 Smlv"/>
    <s v="NO_"/>
    <s v="MADRE"/>
    <s v="CC"/>
    <n v="1026570638"/>
    <s v="MARYELI"/>
    <m/>
    <s v="TORRES"/>
    <s v="BARRAGAN"/>
    <d v="1992-01-29T00:00:00"/>
    <s v="COLOMBIA"/>
    <s v="BOGOTÁ"/>
    <s v="BOGOTÁ"/>
    <m/>
    <m/>
    <m/>
    <m/>
    <m/>
    <m/>
    <m/>
    <s v=""/>
    <m/>
    <m/>
    <m/>
    <s v="CC"/>
    <n v="1026570638"/>
    <s v="MARYELI"/>
    <m/>
    <s v="TORRES"/>
    <s v="BARRAGAN"/>
    <d v="1992-01-29T00:00:00"/>
    <n v="30"/>
    <s v="COLOMBIA"/>
    <s v="BOGOTÁ"/>
    <s v="BOGOTÁ"/>
    <x v="1"/>
    <x v="1"/>
    <x v="0"/>
    <d v="2022-09-15T00:00:00"/>
    <s v="SI_"/>
    <x v="2"/>
    <n v="1"/>
    <m/>
    <m/>
    <m/>
    <m/>
    <n v="3055"/>
    <n v="48"/>
    <m/>
    <n v="6"/>
    <m/>
    <m/>
    <x v="1"/>
    <m/>
  </r>
  <r>
    <n v="1016746746"/>
    <x v="1"/>
    <d v="2022-09-12T00:00:00"/>
    <m/>
    <m/>
    <m/>
    <m/>
    <x v="0"/>
    <x v="7"/>
    <x v="7"/>
    <s v="RC"/>
    <s v="MARIA"/>
    <s v="PAULA"/>
    <s v="RIVERA"/>
    <s v="PARRA"/>
    <s v="MARIA PAULA RIVERA PARRA"/>
    <d v="2019-03-01T00:00:00"/>
    <x v="10"/>
    <n v="9"/>
    <n v="25"/>
    <s v="3 AÑOS 9 MESES 2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5"/>
    <m/>
    <s v="KR 19 ESTE 80 A SUR 66"/>
    <n v="3112120870"/>
    <n v="3212872672"/>
    <x v="0"/>
    <s v="NO SE AUTORECONOCE EN NINGUNO DE LOS ANTERIORES"/>
    <x v="1"/>
    <x v="1"/>
    <s v="NO_"/>
    <s v="NO_"/>
    <s v="o. Ingresos iguales o inferiores a 1.5 Smlv"/>
    <s v="NO_"/>
    <s v="MADRE"/>
    <s v="CC"/>
    <n v="53008230"/>
    <s v="LURGY"/>
    <s v="SURGEI"/>
    <s v=" PARRA "/>
    <s v="TORRES"/>
    <d v="1983-06-07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2"/>
    <x v="2"/>
    <m/>
    <m/>
    <x v="0"/>
    <m/>
    <m/>
    <m/>
    <m/>
    <m/>
    <n v="3330"/>
    <n v="50"/>
    <m/>
    <n v="6"/>
    <m/>
    <m/>
    <x v="3"/>
    <m/>
  </r>
  <r>
    <n v="705202105"/>
    <x v="1"/>
    <d v="2022-09-12T00:00:00"/>
    <m/>
    <m/>
    <m/>
    <m/>
    <x v="0"/>
    <x v="8"/>
    <x v="8"/>
    <s v="ANM"/>
    <s v="RONIELYS"/>
    <s v="ALEJANDRA"/>
    <s v="RAMIREZ"/>
    <s v="REFUNJOL "/>
    <s v="RONIELYS ALEJANDRA RAMIREZ REFUNJOL "/>
    <d v="2021-05-07T00:00:00"/>
    <x v="3"/>
    <n v="7"/>
    <n v="19"/>
    <s v="1 AÑOS 7 MESES 19 DIAS "/>
    <x v="2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KR 13 A ESTE 88 F SUR"/>
    <n v="3212804437"/>
    <m/>
    <x v="0"/>
    <s v="NO SE AUTORECONOCE EN NINGUNO DE LOS ANTERIORES"/>
    <x v="2"/>
    <x v="1"/>
    <s v="NO_"/>
    <s v="NO_"/>
    <s v="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"/>
    <m/>
    <s v="MADRE"/>
    <s v="SIN DOCUMENTO"/>
    <m/>
    <s v="ZEILYS"/>
    <s v="CAROLINA"/>
    <s v="REFUNJOL"/>
    <s v="MALDONADO "/>
    <m/>
    <s v="VENEZUELA"/>
    <s v="EXTERIOR"/>
    <s v="EXTERIOR"/>
    <s v="SIN DOCUMENTO"/>
    <m/>
    <s v="RONY"/>
    <s v="RAFAEL"/>
    <s v="RAMIREZ"/>
    <s v="CHICA"/>
    <m/>
    <s v=""/>
    <s v="VENEZUELA"/>
    <s v="EXTERIOR"/>
    <s v="EXTERIOR"/>
    <s v="SIN DOCUMENTO"/>
    <m/>
    <s v="ZEILYS"/>
    <s v="CAROLINA"/>
    <s v="REFUNJOL"/>
    <s v="MALDONADO "/>
    <m/>
    <s v=""/>
    <s v="VENEZUELA"/>
    <s v="EXTERIOR"/>
    <s v="EXTERIOR"/>
    <x v="3"/>
    <x v="12"/>
    <x v="2"/>
    <m/>
    <m/>
    <x v="0"/>
    <m/>
    <m/>
    <m/>
    <m/>
    <m/>
    <m/>
    <m/>
    <m/>
    <m/>
    <m/>
    <m/>
    <x v="1"/>
    <m/>
  </r>
  <r>
    <n v="1016751379"/>
    <x v="1"/>
    <d v="2022-11-15T00:00:00"/>
    <m/>
    <m/>
    <m/>
    <m/>
    <x v="0"/>
    <x v="7"/>
    <x v="7"/>
    <s v="RC"/>
    <s v="YOSHUA"/>
    <s v="GAEL"/>
    <s v="ZAMORA "/>
    <s v="PINZON"/>
    <s v="YOSHUA GAEL ZAMORA  PINZON"/>
    <d v="2021-02-10T00:00:00"/>
    <x v="3"/>
    <n v="10"/>
    <n v="16"/>
    <s v="1 AÑOS 10 MESES 16 DIAS "/>
    <x v="2"/>
    <x v="1"/>
    <x v="0"/>
    <s v="BOGOTÁ"/>
    <s v="BOGOTÁ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76"/>
    <m/>
    <s v="CALLE 64 SUR #10-62"/>
    <n v="3214611386"/>
    <n v="3143266140"/>
    <x v="0"/>
    <s v="NO SE AUTORECONOCE EN NINGUNO DE LOS ANTERIORES"/>
    <x v="1"/>
    <x v="1"/>
    <s v="NO_"/>
    <s v="NO_"/>
    <s v="o. Ingresos iguales o inferiores a 1.5 Smlv"/>
    <m/>
    <s v="MADRE"/>
    <s v="CC"/>
    <n v="1010087864"/>
    <s v="YURI"/>
    <s v="CATHERIN"/>
    <s v="PINZON"/>
    <s v="DIMAS"/>
    <d v="2000-01-23T00:00:00"/>
    <s v="COLOMBIA"/>
    <s v="BOGOTÁ"/>
    <s v="BOGOTÁ"/>
    <m/>
    <m/>
    <m/>
    <m/>
    <m/>
    <m/>
    <m/>
    <s v=""/>
    <m/>
    <m/>
    <m/>
    <s v="CC"/>
    <n v="1010087864"/>
    <s v="YURI"/>
    <s v="CATHERIN"/>
    <s v="PINZON"/>
    <s v="DIMAS"/>
    <d v="2000-01-23T00:00:00"/>
    <n v="22"/>
    <s v="COLOMBIA"/>
    <s v="BOGOTÁ"/>
    <s v="BOGOTÁ"/>
    <x v="0"/>
    <x v="3"/>
    <x v="0"/>
    <d v="2022-11-16T00:00:00"/>
    <s v="SI_"/>
    <x v="2"/>
    <n v="2"/>
    <s v="SI_"/>
    <s v="NO"/>
    <m/>
    <n v="38"/>
    <n v="2100"/>
    <n v="45"/>
    <s v="NO_"/>
    <n v="6"/>
    <n v="18"/>
    <s v="N/A"/>
    <x v="1"/>
    <m/>
  </r>
  <r>
    <n v="1026309758"/>
    <x v="0"/>
    <d v="2022-09-12T00:00:00"/>
    <d v="2022-11-15T00:00:00"/>
    <m/>
    <m/>
    <m/>
    <x v="0"/>
    <x v="7"/>
    <x v="7"/>
    <s v="RC"/>
    <s v="ALAN"/>
    <s v="ANDRES"/>
    <s v="GUTIERREZ"/>
    <s v="RIVERA"/>
    <s v="ALAN ANDRES GUTIERREZ RIVERA"/>
    <d v="2021-05-04T00:00:00"/>
    <x v="3"/>
    <n v="7"/>
    <n v="22"/>
    <s v="1 AÑOS 7 MESES 2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CALLE 90 B SUR 19 ESTE "/>
    <n v="3215759461"/>
    <m/>
    <x v="0"/>
    <s v="NO SE AUTORECONOCE EN NINGUNO DE LOS ANTERIORES"/>
    <x v="2"/>
    <x v="1"/>
    <s v="NO_"/>
    <s v="NO_"/>
    <s v="o. Ingresos iguales o inferiores a 1.5 Smlv"/>
    <m/>
    <s v="MADRE"/>
    <s v="CC"/>
    <n v="1056994551"/>
    <s v="SANDRA"/>
    <s v="MILENA"/>
    <s v="RIVERA"/>
    <s v="HERNANDEZ"/>
    <d v="1992-12-22T00:00:00"/>
    <s v="COLOMBIA"/>
    <s v="BOYACÁ"/>
    <s v="LA UVITA"/>
    <m/>
    <m/>
    <m/>
    <m/>
    <m/>
    <m/>
    <m/>
    <s v=""/>
    <m/>
    <m/>
    <m/>
    <s v="CC"/>
    <n v="1056994551"/>
    <s v="SANDRA"/>
    <s v="MILENA"/>
    <s v="RIVERA"/>
    <s v="HERNANDEZ"/>
    <d v="1992-12-22T00:00:00"/>
    <n v="30"/>
    <s v="COLOMBIA"/>
    <s v="BOYACÁ"/>
    <s v="LA UVITA"/>
    <x v="1"/>
    <x v="1"/>
    <x v="0"/>
    <d v="2022-09-15T00:00:00"/>
    <s v="SI_"/>
    <x v="2"/>
    <n v="1"/>
    <s v="NO_"/>
    <m/>
    <m/>
    <n v="38"/>
    <s v="2.5"/>
    <n v="48"/>
    <m/>
    <n v="10"/>
    <s v="ACTUAL"/>
    <m/>
    <x v="1"/>
    <m/>
  </r>
  <r>
    <n v="1051364630"/>
    <x v="1"/>
    <d v="2022-09-12T00:00:00"/>
    <m/>
    <m/>
    <m/>
    <m/>
    <x v="0"/>
    <x v="7"/>
    <x v="7"/>
    <s v="RC"/>
    <s v="LUCIANA "/>
    <s v="ISABEL"/>
    <s v="TORRES"/>
    <s v="ALMANZA"/>
    <s v="LUCIANA  ISABEL TORRES ALMANZA"/>
    <d v="2021-05-25T00:00:00"/>
    <x v="3"/>
    <n v="7"/>
    <n v="1"/>
    <s v="1 AÑOS 7 MESES 1 DIAS "/>
    <x v="2"/>
    <x v="0"/>
    <x v="0"/>
    <s v="ATLÁNTICO"/>
    <s v="BARRANQUILL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CALLE 90 SUR 12 F 36 ESTE"/>
    <m/>
    <m/>
    <x v="2"/>
    <s v="NO SE AUTORECONOCE EN NINGUNO DE LOS ANTERIORES"/>
    <x v="1"/>
    <x v="1"/>
    <s v="NO_"/>
    <m/>
    <s v="o. Ingresos iguales o inferiores a 1.5 Smlv"/>
    <m/>
    <s v="MADRE"/>
    <s v="CC"/>
    <n v="1051361004"/>
    <s v="MARGELYS"/>
    <s v="DEL CARMEN"/>
    <s v="ALMANZA"/>
    <s v="DE LA ROSA"/>
    <d v="1994-03-14T00:00:00"/>
    <s v="COLOMBIA"/>
    <s v="BOLÍVAR"/>
    <s v="CALAMAR"/>
    <m/>
    <m/>
    <m/>
    <m/>
    <m/>
    <m/>
    <m/>
    <s v=""/>
    <m/>
    <m/>
    <m/>
    <s v="CC"/>
    <n v="1051361004"/>
    <s v="MARGELYS"/>
    <s v="DEL CARMEN"/>
    <s v="ALMANZA"/>
    <s v="DE LA ROSA"/>
    <d v="1994-03-14T00:00:00"/>
    <n v="28"/>
    <s v="COLOMBIA"/>
    <s v="BOLÍVAR"/>
    <s v="CALAMAR"/>
    <x v="1"/>
    <x v="10"/>
    <x v="0"/>
    <m/>
    <s v="SI_"/>
    <x v="2"/>
    <n v="3"/>
    <s v="NO_"/>
    <m/>
    <m/>
    <n v="38"/>
    <n v="2330"/>
    <n v="45"/>
    <m/>
    <m/>
    <m/>
    <m/>
    <x v="1"/>
    <m/>
  </r>
  <r>
    <n v="1028672942"/>
    <x v="1"/>
    <d v="2022-09-12T00:00:00"/>
    <m/>
    <m/>
    <m/>
    <m/>
    <x v="0"/>
    <x v="7"/>
    <x v="7"/>
    <s v="RC"/>
    <s v="CRISTAL"/>
    <s v="SAMANTHA"/>
    <s v="CALDERON"/>
    <s v="MUNAR"/>
    <s v="CRISTAL SAMANTHA CALDERON MUNAR"/>
    <d v="2017-11-26T00:00:00"/>
    <x v="9"/>
    <n v="1"/>
    <n v="0"/>
    <s v="5 AÑOS 1 MESES 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3"/>
    <m/>
    <s v="CALLE 89 SUR NO 13 B ESTE 11"/>
    <n v="3112624297"/>
    <n v="3112000670"/>
    <x v="0"/>
    <s v="NO SE AUTORECONOCE EN NINGUNO DE LOS ANTERIORES"/>
    <x v="2"/>
    <x v="1"/>
    <s v="NO_"/>
    <s v="NO_"/>
    <s v="o. Ingresos iguales o inferiores a 1.5 Smlv"/>
    <m/>
    <s v="MADRE"/>
    <s v="CC"/>
    <n v="1023919779"/>
    <s v="DALIA"/>
    <s v="ROXANA"/>
    <s v="MUNAR"/>
    <s v="GIL"/>
    <d v="1992-09-29T00:00:00"/>
    <s v="COLOMBIA"/>
    <s v="BOGOTÁ"/>
    <s v="BOGOTÁ"/>
    <m/>
    <m/>
    <m/>
    <m/>
    <m/>
    <m/>
    <m/>
    <s v=""/>
    <m/>
    <m/>
    <m/>
    <s v="CC"/>
    <n v="1023919779"/>
    <s v="DALIA"/>
    <s v="ROXANA"/>
    <s v="MUNAR"/>
    <s v="GIL"/>
    <d v="1992-09-29T00:00:00"/>
    <n v="30"/>
    <s v="COLOMBIA"/>
    <s v="BOGOTÁ"/>
    <s v="BOGOTÁ"/>
    <x v="1"/>
    <x v="1"/>
    <x v="2"/>
    <m/>
    <m/>
    <x v="0"/>
    <m/>
    <s v="NO_"/>
    <m/>
    <m/>
    <m/>
    <n v="3500"/>
    <n v="50"/>
    <m/>
    <n v="6"/>
    <n v="1"/>
    <m/>
    <x v="3"/>
    <m/>
  </r>
  <r>
    <n v="1026309516"/>
    <x v="1"/>
    <d v="2022-09-12T00:00:00"/>
    <m/>
    <m/>
    <m/>
    <m/>
    <x v="0"/>
    <x v="7"/>
    <x v="7"/>
    <s v="RC"/>
    <s v="SEBASTIAN"/>
    <s v="ANDRES"/>
    <s v="POLOCHE"/>
    <s v="RODRIGUEZ"/>
    <s v="SEBASTIAN ANDRES POLOCHE RODRIGUEZ"/>
    <d v="2021-01-10T00:00:00"/>
    <x v="3"/>
    <n v="11"/>
    <n v="16"/>
    <s v="1 AÑOS 11 MESES 1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CALLE 81 A SUR 20 ESTE 0027"/>
    <n v="3182954415"/>
    <m/>
    <x v="0"/>
    <s v="NO SE AUTORECONOCE EN NINGUNO DE LOS ANTERIORES"/>
    <x v="0"/>
    <x v="20"/>
    <s v="NO_"/>
    <s v="NO_"/>
    <s v="o. Ingresos iguales o inferiores a 1.5 Smlv"/>
    <m/>
    <s v="MADRE"/>
    <s v="CC"/>
    <n v="1105054293"/>
    <s v="LILIANA"/>
    <s v="YULIETH"/>
    <s v="RODRIGUEZ "/>
    <s v="TAPIERO"/>
    <d v="1984-01-14T00:00:00"/>
    <s v="COLOMBIA"/>
    <s v="TOLIMA"/>
    <s v="COYAIMA"/>
    <s v="CC"/>
    <n v="80845562"/>
    <s v="YIMI"/>
    <s v="ANDRES"/>
    <s v="POLOCHE"/>
    <s v="RODRIGUEZ"/>
    <d v="1985-11-30T00:00:00"/>
    <n v="37"/>
    <s v="COLOMBIA"/>
    <s v="TOLIMA"/>
    <s v="COYAIMA"/>
    <s v="CC"/>
    <n v="1105054293"/>
    <s v="LILIANA"/>
    <s v="YULIETH"/>
    <s v="RODRIGUEZ "/>
    <s v="TAPIERO"/>
    <d v="1984-01-14T00:00:00"/>
    <n v="38"/>
    <s v="COLOMBIA"/>
    <s v="TOLIMA"/>
    <s v="COYAIMA"/>
    <x v="0"/>
    <x v="0"/>
    <x v="0"/>
    <d v="2022-09-15T00:00:00"/>
    <s v="SI_"/>
    <x v="2"/>
    <n v="2"/>
    <s v="SI_"/>
    <s v=" "/>
    <m/>
    <m/>
    <n v="1930"/>
    <m/>
    <m/>
    <m/>
    <m/>
    <m/>
    <x v="1"/>
    <m/>
  </r>
  <r>
    <s v="B922B2FD1AFB43028DB73A4D6A4A60BF3090"/>
    <x v="1"/>
    <d v="2022-12-01T00:00:00"/>
    <m/>
    <m/>
    <m/>
    <m/>
    <x v="0"/>
    <x v="7"/>
    <x v="7"/>
    <s v="SIN DOCUMENTO"/>
    <s v="ALEANNY"/>
    <s v="NOHEMY"/>
    <s v="GARCIA "/>
    <s v="RODRIGUEZ "/>
    <s v="ALEANNY NOHEMY GARCIA  RODRIGUEZ "/>
    <d v="2019-10-06T00:00:00"/>
    <x v="10"/>
    <n v="2"/>
    <n v="20"/>
    <s v="3 AÑOS 2 MESES 20 DIAS "/>
    <x v="2"/>
    <x v="0"/>
    <x v="3"/>
    <s v="CARCHI"/>
    <s v="TULCAN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2"/>
    <x v="17"/>
    <m/>
    <s v="KRA 12 B ESTE #88FSUR-32"/>
    <n v="3112641925"/>
    <n v="3204064256"/>
    <x v="0"/>
    <s v="NO SE AUTORECONOCE EN NINGUNO DE LOS ANTERIORES"/>
    <x v="1"/>
    <x v="1"/>
    <s v="NO_"/>
    <s v="NO_"/>
    <s v="k. Población migrante, refugiada o apátrida que cumpla con alguna de las siguientes características: ausencia de vivienda o condiciones de hacinamiento, que no cuenten con acceso a servicios públicos domiciliarios o que no cuenten con ningún tipo de afiliación al Sistema General de Seguridad Social en Salud."/>
    <m/>
    <s v="MADRE"/>
    <s v="SIN DOCUMENTO"/>
    <m/>
    <s v="GENESIS"/>
    <s v="STEFANY"/>
    <s v="RODRIGUEZ"/>
    <s v="PEÑA "/>
    <d v="1990-05-21T00:00:00"/>
    <s v="VENEZUELA"/>
    <s v="BARQUICIMETO"/>
    <s v="IDIBARREN "/>
    <s v="SIN DOCUMENTO"/>
    <m/>
    <s v="ANSONY"/>
    <s v="ROGMER"/>
    <s v="GARCIA"/>
    <s v="ESCOBAR "/>
    <d v="1991-10-22T00:00:00"/>
    <n v="31"/>
    <s v="VENEZUELA"/>
    <s v="BARQUICIMETO"/>
    <s v="IDIBARREN "/>
    <s v="SIN DOCUMENTO"/>
    <m/>
    <s v="GENESIS"/>
    <s v="STEFANY"/>
    <s v="RODRIGUEZ"/>
    <s v="PEÑA "/>
    <d v="1990-05-21T00:00:00"/>
    <n v="32"/>
    <s v="VENEZUELA"/>
    <s v="BARQUICIMETO"/>
    <s v="IDIBARREN "/>
    <x v="3"/>
    <x v="16"/>
    <x v="0"/>
    <d v="2022-11-28T00:00:00"/>
    <s v="SI_"/>
    <x v="1"/>
    <m/>
    <s v="NO_"/>
    <s v="N/A"/>
    <m/>
    <n v="41"/>
    <n v="2500"/>
    <n v="46"/>
    <s v="NO_"/>
    <n v="6"/>
    <n v="24"/>
    <s v="N/A"/>
    <x v="3"/>
    <m/>
  </r>
  <r>
    <n v="1069651138"/>
    <x v="0"/>
    <d v="2022-09-12T00:00:00"/>
    <d v="2022-12-01T00:00:00"/>
    <m/>
    <m/>
    <m/>
    <x v="0"/>
    <x v="7"/>
    <x v="7"/>
    <s v="RC"/>
    <s v="DANNA"/>
    <s v="VALERIA"/>
    <s v="BERNAL"/>
    <s v="TIBAVIJA"/>
    <s v="DANNA VALERIA BERNAL TIBAVIJA"/>
    <d v="2020-03-21T00:00:00"/>
    <x v="2"/>
    <n v="9"/>
    <n v="5"/>
    <s v="2 AÑOS 9 MESES 5 DIAS "/>
    <x v="2"/>
    <x v="0"/>
    <x v="0"/>
    <s v="CUNDINAMARCA"/>
    <s v="FACATATIV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 90 SUR 12 F ESTE 72"/>
    <n v="3017147109"/>
    <m/>
    <x v="0"/>
    <s v="NO SE AUTORECONOCE EN NINGUNO DE LOS ANTERIORES"/>
    <x v="1"/>
    <x v="1"/>
    <s v="NO_"/>
    <s v="NO_"/>
    <s v="o. Ingresos iguales o inferiores a 1.5 Smlv"/>
    <m/>
    <s v="MADRE"/>
    <s v="CC"/>
    <n v="46384870"/>
    <s v="FLOR"/>
    <s v="YANIRA"/>
    <s v="TIBAVIJA"/>
    <s v="MARTINEZ"/>
    <d v="1984-02-04T00:00:00"/>
    <s v="COLOMBIA"/>
    <s v="BOYACÁ"/>
    <s v="SOGAMOSO"/>
    <s v="CC"/>
    <n v="11448792"/>
    <s v="GERMAN"/>
    <s v="ANDRES"/>
    <s v="BERNAL"/>
    <s v="ALVARADO"/>
    <d v="1984-03-07T00:00:00"/>
    <n v="38"/>
    <s v="COLOMBIA"/>
    <s v="CUNDINAMARCA"/>
    <s v="FUNZA"/>
    <s v="CC"/>
    <n v="46384870"/>
    <s v="FLOR"/>
    <s v="YANIRA"/>
    <s v="TIBAVIJA"/>
    <s v="MARTINEZ"/>
    <d v="1984-02-04T00:00:00"/>
    <n v="38"/>
    <s v="COLOMBIA"/>
    <s v="BOYACÁ"/>
    <s v="SOGAMOSO"/>
    <x v="1"/>
    <x v="6"/>
    <x v="0"/>
    <d v="2022-09-15T00:00:00"/>
    <s v="SI_"/>
    <x v="2"/>
    <n v="1"/>
    <s v="NO_"/>
    <m/>
    <m/>
    <s v="40 SEMANAS"/>
    <m/>
    <m/>
    <m/>
    <m/>
    <n v="6"/>
    <n v="24"/>
    <x v="1"/>
    <m/>
  </r>
  <r>
    <s v="9D6DE873BA4E4CCFA8EEBE909ACFA43F32207"/>
    <x v="1"/>
    <d v="2022-09-12T00:00:00"/>
    <m/>
    <m/>
    <m/>
    <m/>
    <x v="0"/>
    <x v="7"/>
    <x v="7"/>
    <s v="RC"/>
    <s v="ASHLEY"/>
    <s v="VANESSA"/>
    <s v="ALVAREZ"/>
    <s v="SEIJAS"/>
    <s v="ASHLEY VANESSA ALVAREZ SEIJAS"/>
    <d v="2018-01-14T00:00:00"/>
    <x v="8"/>
    <n v="11"/>
    <n v="12"/>
    <s v="4 AÑOS 11 MESES 12 DIAS "/>
    <x v="2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3 BIS ESTE 88 G SUR 25"/>
    <n v="3212803183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ANA"/>
    <s v="KARINA"/>
    <s v="ALVAREZ"/>
    <s v="SEIJAS"/>
    <d v="1992-11-23T00:00:00"/>
    <s v="VENEZUELA"/>
    <s v="EXTERIOR"/>
    <s v="EXTERIOR"/>
    <m/>
    <m/>
    <m/>
    <m/>
    <m/>
    <m/>
    <m/>
    <s v=""/>
    <m/>
    <m/>
    <m/>
    <s v="SIN DOCUMENTO"/>
    <m/>
    <s v="ANA"/>
    <s v="KARINA"/>
    <s v="ALVAREZ"/>
    <s v="SEIJAS"/>
    <d v="1992-11-23T00:00:00"/>
    <n v="30"/>
    <s v="VENEZUELA"/>
    <s v="EXTERIOR"/>
    <s v="EXTERIOR"/>
    <x v="3"/>
    <x v="12"/>
    <x v="0"/>
    <d v="2022-09-15T00:00:00"/>
    <s v="NO_"/>
    <x v="2"/>
    <n v="0"/>
    <s v="NO_"/>
    <m/>
    <m/>
    <n v="38"/>
    <s v="2.8"/>
    <n v="49"/>
    <m/>
    <n v="6"/>
    <n v="28"/>
    <m/>
    <x v="3"/>
    <m/>
  </r>
  <r>
    <n v="1023041247"/>
    <x v="1"/>
    <d v="2022-09-12T00:00:00"/>
    <m/>
    <m/>
    <m/>
    <m/>
    <x v="0"/>
    <x v="7"/>
    <x v="7"/>
    <s v="RC"/>
    <s v="JOSLEIDYS"/>
    <s v="SOFIA"/>
    <s v="GIL"/>
    <s v="TORRES"/>
    <s v="JOSLEIDYS SOFIA GIL TORRES"/>
    <d v="2018-06-04T00:00:00"/>
    <x v="8"/>
    <n v="6"/>
    <n v="22"/>
    <s v="4 AÑOS 6 MESES 2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 90 SUR 12 F ESTE 36 IN 1 PI 1"/>
    <n v="3142164982"/>
    <m/>
    <x v="0"/>
    <s v="NO SE AUTORECONOCE EN NINGUNO DE LOS ANTERIORES"/>
    <x v="1"/>
    <x v="1"/>
    <s v="NO_"/>
    <s v="NO_"/>
    <s v="o. Ingresos iguales o inferiores a 1.5 Smlv"/>
    <m/>
    <s v="MADRE"/>
    <s v="CC"/>
    <n v="1043607672"/>
    <s v="MARBELLA"/>
    <s v="PAOLA"/>
    <s v="TORRES"/>
    <s v="QUIROZ"/>
    <d v="1991-10-04T00:00:00"/>
    <s v="COLOMBIA"/>
    <s v="ATLÁNTICO"/>
    <s v="SUÁN"/>
    <s v="CC"/>
    <n v="1049896600"/>
    <s v="JULIO"/>
    <s v="CESAR"/>
    <s v="GIL"/>
    <s v="TREN"/>
    <d v="1989-05-31T00:00:00"/>
    <n v="33"/>
    <s v="COLOMBIA"/>
    <s v="BOLÍVAR"/>
    <s v="HATILLO DE LOBA"/>
    <s v="CC"/>
    <n v="1043607672"/>
    <s v="MARBELLA"/>
    <s v="PAOLA"/>
    <s v="TORRES"/>
    <s v="QUIROZ"/>
    <d v="1991-10-04T00:00:00"/>
    <n v="31"/>
    <s v="COLOMBIA"/>
    <s v="ATLÁNTICO"/>
    <s v="SUÁN"/>
    <x v="0"/>
    <x v="6"/>
    <x v="0"/>
    <d v="2022-09-15T00:00:00"/>
    <s v="SI_"/>
    <x v="1"/>
    <m/>
    <s v="NO_"/>
    <m/>
    <m/>
    <n v="40"/>
    <n v="4000"/>
    <n v="51"/>
    <m/>
    <n v="6"/>
    <n v="12"/>
    <m/>
    <x v="3"/>
    <m/>
  </r>
  <r>
    <n v="1243859568"/>
    <x v="1"/>
    <d v="2022-09-12T00:00:00"/>
    <m/>
    <m/>
    <m/>
    <m/>
    <x v="0"/>
    <x v="7"/>
    <x v="7"/>
    <s v="RC"/>
    <s v="THIAGO"/>
    <s v="ALEXANDER"/>
    <s v="TORO"/>
    <s v="GODOY"/>
    <s v="THIAGO ALEXANDER TORO GODOY"/>
    <d v="2020-10-15T00:00:00"/>
    <x v="2"/>
    <n v="2"/>
    <n v="11"/>
    <s v="2 AÑOS 2 MESES 1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3 ESTE 89 SUR 20 "/>
    <n v="3195533049"/>
    <m/>
    <x v="0"/>
    <s v="NO SE AUTORECONOCE EN NINGUNO DE LOS ANTERIORES"/>
    <x v="1"/>
    <x v="1"/>
    <s v="NO_"/>
    <s v="NO_"/>
    <s v="o. Ingresos iguales o inferiores a 1.5 Smlv"/>
    <m/>
    <s v="MADRE"/>
    <s v="CC"/>
    <n v="1031163992"/>
    <s v="PAOLA"/>
    <s v="ALEXANDRA"/>
    <s v="GODOY"/>
    <s v="PARRA"/>
    <d v="1996-01-29T00:00:00"/>
    <s v="COLOMBIA"/>
    <s v="BOGOTÁ"/>
    <s v="BOGOTÁ"/>
    <s v="CC"/>
    <n v="80807617"/>
    <s v="GUILLERMO"/>
    <s v="ALEXANDER"/>
    <s v="TORO"/>
    <s v="GUARNIZO"/>
    <d v="1984-03-13T00:00:00"/>
    <n v="38"/>
    <s v="COLOMBIA"/>
    <s v="BOGOTÁ"/>
    <s v="BOGOTÁ"/>
    <s v="CC"/>
    <n v="1031163992"/>
    <s v="PAOLA"/>
    <s v="ALEXANDRA"/>
    <s v="GODOY"/>
    <s v="PARRA"/>
    <d v="1996-01-29T00:00:00"/>
    <n v="26"/>
    <s v="COLOMBIA"/>
    <s v="BOGOTÁ"/>
    <s v="BOGOTÁ"/>
    <x v="1"/>
    <x v="15"/>
    <x v="0"/>
    <d v="2022-09-15T00:00:00"/>
    <s v="NO_"/>
    <x v="2"/>
    <n v="1"/>
    <s v="NO_"/>
    <m/>
    <m/>
    <n v="37"/>
    <s v="2.8"/>
    <n v="57"/>
    <m/>
    <n v="6"/>
    <n v="12"/>
    <m/>
    <x v="1"/>
    <m/>
  </r>
  <r>
    <n v="1206225376"/>
    <x v="1"/>
    <d v="2022-09-12T00:00:00"/>
    <m/>
    <m/>
    <m/>
    <m/>
    <x v="0"/>
    <x v="7"/>
    <x v="7"/>
    <s v="RC"/>
    <s v="IFFTAN"/>
    <s v="JHUAN"/>
    <s v="RUIZ"/>
    <s v="HERNANDEZ"/>
    <s v="IFFTAN JHUAN RUIZ HERNANDEZ"/>
    <d v="2019-06-29T00:00:00"/>
    <x v="10"/>
    <n v="5"/>
    <n v="27"/>
    <s v="3 AÑOS 5 MESES 2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2 B ESTE 88 F SUR 48"/>
    <n v="3014720298"/>
    <m/>
    <x v="0"/>
    <s v="NO SE AUTORECONOCE EN NINGUNO DE LOS ANTERIORES"/>
    <x v="1"/>
    <x v="1"/>
    <s v="NO_"/>
    <s v="NO_"/>
    <s v="o. Ingresos iguales o inferiores a 1.5 Smlv"/>
    <m/>
    <s v="MADRE"/>
    <s v="CC"/>
    <n v="1026304869"/>
    <s v="CAROLINA"/>
    <m/>
    <s v="HERNANDEZ"/>
    <s v="MONROY"/>
    <d v="1999-01-26T00:00:00"/>
    <s v="COLOMBIA"/>
    <s v="BOGOTÁ"/>
    <s v="BOGOTÁ"/>
    <m/>
    <m/>
    <m/>
    <m/>
    <m/>
    <m/>
    <m/>
    <s v=""/>
    <m/>
    <m/>
    <m/>
    <s v="CC"/>
    <n v="1026304869"/>
    <s v="CAROLINA"/>
    <m/>
    <s v="HERNANDEZ"/>
    <s v="MONROY"/>
    <d v="1999-01-26T00:00:00"/>
    <n v="23"/>
    <s v="COLOMBIA"/>
    <s v="BOGOTÁ"/>
    <s v="BOGOTÁ"/>
    <x v="1"/>
    <x v="13"/>
    <x v="0"/>
    <d v="2022-09-15T00:00:00"/>
    <s v="SI_"/>
    <x v="2"/>
    <n v="0"/>
    <s v="NO_"/>
    <m/>
    <m/>
    <n v="38"/>
    <m/>
    <m/>
    <m/>
    <n v="6"/>
    <n v="9"/>
    <m/>
    <x v="3"/>
    <m/>
  </r>
  <r>
    <n v="1023985952"/>
    <x v="1"/>
    <d v="2022-09-12T00:00:00"/>
    <m/>
    <m/>
    <m/>
    <m/>
    <x v="0"/>
    <x v="7"/>
    <x v="7"/>
    <s v="RC"/>
    <s v="DAMIAN"/>
    <s v="STIVEN"/>
    <s v="BERMUDEZ"/>
    <s v="RIVERA"/>
    <s v="DAMIAN STIVEN BERMUDEZ RIVERA"/>
    <d v="2019-09-06T00:00:00"/>
    <x v="10"/>
    <n v="3"/>
    <n v="20"/>
    <s v="3 AÑOS 3 MESES 20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3 B ESTE 71 B SUR 79"/>
    <n v="3138718592"/>
    <m/>
    <x v="0"/>
    <s v="NO SE AUTORECONOCE EN NINGUNO DE LOS ANTERIORES"/>
    <x v="1"/>
    <x v="1"/>
    <s v="NO_"/>
    <s v="NO_"/>
    <s v="o. Ingresos iguales o inferiores a 1.5 Smlv"/>
    <m/>
    <s v="MADRE"/>
    <s v="CC"/>
    <n v="1000776029"/>
    <s v="NICOL"/>
    <s v="DAYANA"/>
    <s v="RIVERA"/>
    <s v="RICO"/>
    <d v="2001-11-16T00:00:00"/>
    <s v="COLOMBIA"/>
    <s v="BOGOTÁ"/>
    <s v="BOGOTÁ"/>
    <s v="CC"/>
    <n v="1013687473"/>
    <s v="JOHNNY"/>
    <s v="JOSEPH"/>
    <s v="BERMUDEZ"/>
    <s v="CAGUA"/>
    <d v="1999-04-21T00:00:00"/>
    <n v="23"/>
    <s v="COLOMBIA"/>
    <s v="BOGOTÁ"/>
    <s v="BOGOTÁ"/>
    <s v="CC"/>
    <n v="1000776029"/>
    <s v="NICOL"/>
    <s v="DAYANA"/>
    <s v="RIVERA"/>
    <s v="RICO"/>
    <d v="2001-11-16T00:00:00"/>
    <n v="21"/>
    <s v="COLOMBIA"/>
    <s v="BOGOTÁ"/>
    <s v="BOGOTÁ"/>
    <x v="1"/>
    <x v="13"/>
    <x v="0"/>
    <d v="2022-09-15T00:00:00"/>
    <s v="SI_"/>
    <x v="0"/>
    <m/>
    <m/>
    <m/>
    <m/>
    <m/>
    <m/>
    <m/>
    <m/>
    <m/>
    <m/>
    <m/>
    <x v="3"/>
    <m/>
  </r>
  <r>
    <n v="1028675591"/>
    <x v="1"/>
    <d v="2022-09-12T00:00:00"/>
    <m/>
    <m/>
    <m/>
    <m/>
    <x v="0"/>
    <x v="7"/>
    <x v="7"/>
    <s v="RC"/>
    <s v="JEAN"/>
    <s v="PAUL"/>
    <s v="BERMUDEZ"/>
    <s v="RIVERA"/>
    <s v="JEAN PAUL BERMUDEZ RIVERA"/>
    <d v="2021-07-15T00:00:00"/>
    <x v="3"/>
    <n v="5"/>
    <n v="11"/>
    <s v="1 AÑOS 5 MESES 1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3 B ESTE 71 B SUR 79"/>
    <n v="3138718592"/>
    <m/>
    <x v="0"/>
    <s v="NO SE AUTORECONOCE EN NINGUNO DE LOS ANTERIORES"/>
    <x v="1"/>
    <x v="1"/>
    <s v="NO_"/>
    <s v="NO_"/>
    <s v="o. Ingresos iguales o inferiores a 1.5 Smlv"/>
    <m/>
    <s v="MADRE"/>
    <s v="CC"/>
    <n v="1000776029"/>
    <s v="NICOL"/>
    <s v="DAYANA"/>
    <s v="RIVERA"/>
    <s v="RICO"/>
    <d v="2001-11-16T00:00:00"/>
    <s v="COLOMBIA"/>
    <s v="BOGOTÁ"/>
    <s v="BOGOTÁ"/>
    <s v="CC"/>
    <s v="GUILLERMO"/>
    <s v="GUILLERMO"/>
    <s v="JOSEPH"/>
    <s v="BERMUDEZ"/>
    <s v="CAGUA"/>
    <d v="1999-04-21T00:00:00"/>
    <n v="23"/>
    <s v="COLOMBIA"/>
    <s v="BOGOTÁ"/>
    <s v="BOGOTÁ"/>
    <s v="CC"/>
    <n v="1000776029"/>
    <s v="NICOL"/>
    <s v="DAYANA"/>
    <s v="RIVERA"/>
    <s v="RICO"/>
    <d v="2001-11-16T00:00:00"/>
    <n v="21"/>
    <s v="COLOMBIA"/>
    <s v="BOGOTÁ"/>
    <s v="BOGOTÁ"/>
    <x v="1"/>
    <x v="13"/>
    <x v="0"/>
    <d v="2022-09-15T00:00:00"/>
    <s v="SI_"/>
    <x v="0"/>
    <m/>
    <m/>
    <m/>
    <m/>
    <m/>
    <m/>
    <m/>
    <m/>
    <m/>
    <m/>
    <m/>
    <x v="1"/>
    <m/>
  </r>
  <r>
    <n v="1028675301"/>
    <x v="1"/>
    <d v="2022-09-12T00:00:00"/>
    <m/>
    <m/>
    <m/>
    <m/>
    <x v="0"/>
    <x v="7"/>
    <x v="7"/>
    <s v="RC"/>
    <s v="IHAN"/>
    <s v="JESUS"/>
    <s v="FIGUEROA"/>
    <s v="SAUMETH"/>
    <s v="IHAN JESUS FIGUEROA SAUMETH"/>
    <d v="2020-12-25T00:00:00"/>
    <x v="2"/>
    <n v="0"/>
    <n v="1"/>
    <s v="2 AÑOS 0 MESES 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2 D ESTE 88 F SUR 47"/>
    <n v="3227207930"/>
    <m/>
    <x v="0"/>
    <s v="NO SE AUTORECONOCE EN NINGUNO DE LOS ANTERIORES"/>
    <x v="1"/>
    <x v="1"/>
    <s v="NO_"/>
    <s v="NO_"/>
    <s v="o. Ingresos iguales o inferiores a 1.5 Smlv"/>
    <m/>
    <s v="MADRE"/>
    <s v="CC"/>
    <n v="1065574239"/>
    <s v="DISNEYS"/>
    <s v="MARIA"/>
    <s v="SAUMETH"/>
    <s v="PALENCIA"/>
    <d v="1984-06-14T00:00:00"/>
    <s v="COLOMBIA"/>
    <s v="ATLÁNTICO"/>
    <s v="BARRANQUILLA"/>
    <s v="PEP"/>
    <n v="5248340"/>
    <s v="ROSMER"/>
    <s v="JOSUE"/>
    <s v="FIGUEROA"/>
    <s v="DELGADO"/>
    <d v="1998-04-17T00:00:00"/>
    <n v="24"/>
    <s v="VENEZUELA"/>
    <s v="EXTERIOR"/>
    <s v="EXTERIOR"/>
    <s v="CC"/>
    <n v="1065574239"/>
    <s v="DISNEYS"/>
    <s v="MARIA"/>
    <s v="SAUMETH"/>
    <s v="PALENCIA"/>
    <d v="1984-06-14T00:00:00"/>
    <n v="38"/>
    <s v="COLOMBIA"/>
    <s v="ATLÁNTICO"/>
    <s v="BARRANQUILLA"/>
    <x v="0"/>
    <x v="2"/>
    <x v="0"/>
    <d v="2022-09-15T00:00:00"/>
    <s v="NO_"/>
    <x v="2"/>
    <n v="0"/>
    <s v="NO_"/>
    <m/>
    <m/>
    <m/>
    <n v="2800"/>
    <n v="49"/>
    <m/>
    <n v="6"/>
    <n v="12"/>
    <m/>
    <x v="1"/>
    <m/>
  </r>
  <r>
    <n v="1028675603"/>
    <x v="1"/>
    <d v="2022-09-12T00:00:00"/>
    <m/>
    <m/>
    <m/>
    <m/>
    <x v="0"/>
    <x v="7"/>
    <x v="7"/>
    <s v="RC"/>
    <s v="ROSSE"/>
    <s v="VALENTINA"/>
    <s v="TORREALBA"/>
    <s v="LINAREZ"/>
    <s v="ROSSE VALENTINA TORREALBA LINAREZ"/>
    <d v="2021-07-21T00:00:00"/>
    <x v="3"/>
    <n v="5"/>
    <n v="5"/>
    <s v="1 AÑOS 5 MESES 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3 F ESTE 89 SUR 17"/>
    <n v="3204623422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YULIARBIS"/>
    <s v="ROSELIN"/>
    <s v="LINAREZ"/>
    <s v="RIVERO"/>
    <d v="1995-10-09T00:00:00"/>
    <s v="VENEZUELA"/>
    <s v="EXTERIOR"/>
    <s v="EXTERIOR"/>
    <s v="SIN DOCUMENTO"/>
    <m/>
    <s v="ROGER"/>
    <s v="ALEJANDRO"/>
    <s v="TORREALBA"/>
    <m/>
    <d v="1993-04-13T00:00:00"/>
    <n v="29"/>
    <s v="VENEZUELA"/>
    <s v="EXTERIOR"/>
    <s v="EXTERIOR"/>
    <s v="SIN DOCUMENTO"/>
    <m/>
    <s v="YULIARBIS"/>
    <s v="ROSELIN"/>
    <s v="LINAREZ"/>
    <s v="RIVERO"/>
    <d v="1995-10-09T00:00:00"/>
    <n v="27"/>
    <s v="VENEZUELA"/>
    <s v="EXTERIOR"/>
    <s v="BOGOTÁ"/>
    <x v="1"/>
    <x v="27"/>
    <x v="0"/>
    <d v="2022-09-15T00:00:00"/>
    <s v="NO_"/>
    <x v="2"/>
    <n v="5"/>
    <s v="SI_"/>
    <m/>
    <m/>
    <n v="37"/>
    <s v="2.2"/>
    <n v="49"/>
    <m/>
    <n v="6"/>
    <s v="ACTUAL"/>
    <m/>
    <x v="1"/>
    <m/>
  </r>
  <r>
    <n v="1023988198"/>
    <x v="1"/>
    <d v="2022-09-12T00:00:00"/>
    <m/>
    <m/>
    <m/>
    <m/>
    <x v="0"/>
    <x v="7"/>
    <x v="7"/>
    <s v="RC"/>
    <s v="JERONIMO"/>
    <m/>
    <s v="CESPEDES"/>
    <s v="LEON"/>
    <s v="JERONIMO  CESPEDES LEON"/>
    <d v="2021-03-08T00:00:00"/>
    <x v="3"/>
    <n v="9"/>
    <n v="18"/>
    <s v="1 AÑOS 9 MESES 18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L 89 D SUR 19 ESTE 60 "/>
    <n v="3102096168"/>
    <m/>
    <x v="0"/>
    <s v="NO SE AUTORECONOCE EN NINGUNO DE LOS ANTERIORES"/>
    <x v="1"/>
    <x v="1"/>
    <s v="NO_"/>
    <s v="NO_"/>
    <s v="o. Ingresos iguales o inferiores a 1.5 Smlv"/>
    <m/>
    <s v="MADRE"/>
    <s v="CC"/>
    <n v="1023957276"/>
    <s v="CAMILA"/>
    <m/>
    <s v="LEON"/>
    <s v="DIAZ"/>
    <d v="1996-11-28T00:00:00"/>
    <s v="COLOMBIA"/>
    <s v="BOGOTÁ"/>
    <s v="BOGOTÁ"/>
    <m/>
    <m/>
    <m/>
    <m/>
    <m/>
    <m/>
    <m/>
    <s v=""/>
    <m/>
    <m/>
    <m/>
    <s v="CC"/>
    <n v="1023957276"/>
    <s v="CAMILA"/>
    <m/>
    <s v="LEON"/>
    <s v="DIAZ"/>
    <d v="1996-11-28T00:00:00"/>
    <n v="26"/>
    <s v="COLOMBIA"/>
    <s v="BOGOTÁ"/>
    <s v="BOGOTÁ"/>
    <x v="1"/>
    <x v="28"/>
    <x v="0"/>
    <d v="2022-09-15T00:00:00"/>
    <s v="SI_"/>
    <x v="2"/>
    <n v="1"/>
    <s v="NO_"/>
    <m/>
    <m/>
    <n v="40"/>
    <s v="3.5"/>
    <n v="49"/>
    <m/>
    <n v="1"/>
    <n v="1"/>
    <m/>
    <x v="1"/>
    <m/>
  </r>
  <r>
    <n v="1107538160"/>
    <x v="1"/>
    <d v="2022-09-12T00:00:00"/>
    <m/>
    <m/>
    <m/>
    <m/>
    <x v="0"/>
    <x v="7"/>
    <x v="7"/>
    <s v="RC"/>
    <s v="SOFIA"/>
    <s v="ISABELLA"/>
    <s v="BUÑAY"/>
    <s v="ZERPA"/>
    <s v="SOFIA ISABELLA BUÑAY ZERPA"/>
    <d v="2021-01-08T00:00:00"/>
    <x v="3"/>
    <n v="11"/>
    <n v="18"/>
    <s v="1 AÑOS 11 MESES 18 DIAS "/>
    <x v="2"/>
    <x v="0"/>
    <x v="0"/>
    <s v="VALLE_DEL_CAUCA"/>
    <s v="CALI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 89 SUR 13 B ESTE 17 PI 2"/>
    <n v="3238094086"/>
    <m/>
    <x v="0"/>
    <s v="NO SE AUTORECONOCE EN NINGUNO DE LOS ANTERIORES"/>
    <x v="1"/>
    <x v="1"/>
    <s v="NO_"/>
    <s v="NO_"/>
    <s v="o. Ingresos iguales o inferiores a 1.5 Smlv"/>
    <m/>
    <s v="MADRE"/>
    <s v="PEP"/>
    <n v="2100928"/>
    <s v="LAURA"/>
    <s v="DEL VALLE"/>
    <s v="ZERPA"/>
    <s v="CABEZA"/>
    <d v="1993-03-27T00:00:00"/>
    <s v="VENEZUELA"/>
    <s v="EXTERIOR"/>
    <s v="EXTERIOR"/>
    <s v="CC"/>
    <n v="1143870718"/>
    <s v="PEDRO"/>
    <s v="ALONSO"/>
    <s v="BUÑAY"/>
    <s v="BRAVO"/>
    <d v="1996-12-02T00:00:00"/>
    <n v="26"/>
    <s v="COLOMBIA"/>
    <s v="VALLE_DEL_CAUCA"/>
    <s v="CALI"/>
    <s v="PEP"/>
    <n v="2100928"/>
    <s v="LAURA"/>
    <s v="DEL VALLE"/>
    <s v="ZERPA"/>
    <s v="CABEZA"/>
    <d v="1993-03-27T00:00:00"/>
    <n v="29"/>
    <s v="VENEZUELA"/>
    <s v="EXTERIOR"/>
    <s v="EXTERIOR"/>
    <x v="1"/>
    <x v="14"/>
    <x v="0"/>
    <d v="2022-09-15T00:00:00"/>
    <s v="NO_"/>
    <x v="2"/>
    <n v="3"/>
    <s v="NO_"/>
    <m/>
    <m/>
    <n v="38"/>
    <s v="2.9"/>
    <n v="49"/>
    <m/>
    <n v="5"/>
    <s v="ACTUAL"/>
    <m/>
    <x v="1"/>
    <m/>
  </r>
  <r>
    <n v="1016751226"/>
    <x v="1"/>
    <d v="2022-09-12T00:00:00"/>
    <m/>
    <m/>
    <m/>
    <m/>
    <x v="0"/>
    <x v="7"/>
    <x v="7"/>
    <s v="RC"/>
    <s v="IAN"/>
    <s v="ESTEBAN"/>
    <s v="GUATIVA"/>
    <s v="RIVEROS"/>
    <s v="IAN ESTEBAN GUATIVA RIVEROS"/>
    <d v="2021-01-13T00:00:00"/>
    <x v="3"/>
    <n v="11"/>
    <n v="13"/>
    <s v="1 AÑOS 11 MESES 1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 89 SUR 13 B ESTE 17 PI 2"/>
    <n v="3133364604"/>
    <m/>
    <x v="0"/>
    <s v="NO SE AUTORECONOCE EN NINGUNO DE LOS ANTERIORES"/>
    <x v="1"/>
    <x v="1"/>
    <s v="NO_"/>
    <s v="NO_"/>
    <s v="o. Ingresos iguales o inferiores a 1.5 Smlv"/>
    <m/>
    <s v="MADRE"/>
    <s v="CC"/>
    <n v="1023011021"/>
    <s v="LEIDY"/>
    <s v="JOHANNA"/>
    <s v="RIVEROS"/>
    <s v="CARDENAS"/>
    <d v="1996-02-13T00:00:00"/>
    <s v="COLOMBIA"/>
    <s v="BOGOTÁ"/>
    <s v="BOGOTÁ"/>
    <s v="CC"/>
    <n v="1023004082"/>
    <s v="IVAN"/>
    <s v="ANDRES"/>
    <s v="GUATIVA"/>
    <s v="SUAREZ"/>
    <d v="1995-04-20T00:00:00"/>
    <n v="27"/>
    <s v="COLOMBIA"/>
    <s v="BOGOTÁ"/>
    <s v="BOGOTÁ"/>
    <s v="CC"/>
    <n v="1023011021"/>
    <s v="LEIDY"/>
    <s v="JOHANNA"/>
    <s v="RIVEROS"/>
    <s v="CARDENAS"/>
    <d v="1996-02-13T00:00:00"/>
    <n v="26"/>
    <s v="COLOMBIA"/>
    <s v="BOGOTÁ"/>
    <s v="BOGOTÁ"/>
    <x v="0"/>
    <x v="2"/>
    <x v="0"/>
    <d v="2022-09-15T00:00:00"/>
    <s v="SI_"/>
    <x v="2"/>
    <n v="2"/>
    <s v="NO_"/>
    <m/>
    <m/>
    <m/>
    <s v="2.5"/>
    <n v="49"/>
    <m/>
    <m/>
    <m/>
    <m/>
    <x v="1"/>
    <m/>
  </r>
  <r>
    <n v="1023987672"/>
    <x v="0"/>
    <d v="2022-09-12T00:00:00"/>
    <d v="2022-11-01T00:00:00"/>
    <m/>
    <e v="#N/A"/>
    <m/>
    <x v="0"/>
    <x v="7"/>
    <x v="7"/>
    <s v="RC"/>
    <s v="SALOME"/>
    <m/>
    <s v="RODRIGUEZ"/>
    <s v="PARADA"/>
    <s v="SALOME  RODRIGUEZ PARADA"/>
    <d v="2020-12-02T00:00:00"/>
    <x v="2"/>
    <n v="0"/>
    <n v="24"/>
    <s v="2 AÑOS 0 MESES 2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5 ESTE 89 B SUR 25 PI 1"/>
    <n v="3026021492"/>
    <m/>
    <x v="0"/>
    <s v="NO SE AUTORECONOCE EN NINGUNO DE LOS ANTERIORES"/>
    <x v="1"/>
    <x v="1"/>
    <s v="NO_"/>
    <s v="NO_"/>
    <s v="o. Ingresos iguales o inferiores a 1.5 Smlv"/>
    <m/>
    <s v="MADRE"/>
    <s v="CC"/>
    <n v="1007337005"/>
    <s v="DINA"/>
    <s v="MARCELA"/>
    <s v="PARADA"/>
    <s v="COBO"/>
    <d v="2000-04-01T00:00:00"/>
    <s v="COLOMBIA"/>
    <s v="HUILA"/>
    <s v="PITALITO"/>
    <m/>
    <m/>
    <m/>
    <m/>
    <m/>
    <m/>
    <m/>
    <s v=""/>
    <m/>
    <m/>
    <m/>
    <s v="CC"/>
    <n v="1007337005"/>
    <s v="DINA"/>
    <s v="MARCELA"/>
    <s v="PARADA"/>
    <s v="COBO"/>
    <d v="2000-04-01T00:00:00"/>
    <n v="22"/>
    <s v="COLOMBIA"/>
    <s v="HUILA"/>
    <s v="PITALITO"/>
    <x v="0"/>
    <x v="18"/>
    <x v="0"/>
    <d v="2022-09-15T00:00:00"/>
    <s v="SI_"/>
    <x v="2"/>
    <n v="2"/>
    <s v="NO_"/>
    <m/>
    <m/>
    <n v="38"/>
    <s v="2.8"/>
    <n v="51"/>
    <m/>
    <n v="6"/>
    <n v="16"/>
    <m/>
    <x v="1"/>
    <m/>
  </r>
  <r>
    <n v="1016751403"/>
    <x v="1"/>
    <d v="2022-09-12T00:00:00"/>
    <m/>
    <m/>
    <m/>
    <m/>
    <x v="0"/>
    <x v="8"/>
    <x v="8"/>
    <s v="RC"/>
    <s v="IVONNE"/>
    <s v="SAMANTHA"/>
    <s v="ROA"/>
    <s v="OLAYA"/>
    <s v="IVONNE SAMANTHA ROA OLAYA"/>
    <d v="2021-02-11T00:00:00"/>
    <x v="3"/>
    <n v="10"/>
    <n v="15"/>
    <s v="1 AÑOS 10 MESES 1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5 ESTE 86 SUR 83 MZ 20 LOTE 25"/>
    <n v="3007137299"/>
    <m/>
    <x v="0"/>
    <s v="NO SE AUTORECONOCE EN NINGUNO DE LOS ANTERIORES"/>
    <x v="1"/>
    <x v="1"/>
    <s v="NO_"/>
    <s v="NO_"/>
    <s v="o. Ingresos iguales o inferiores a 1.5 Smlv"/>
    <m/>
    <s v="PADRE"/>
    <s v="CC"/>
    <n v="1023971049"/>
    <s v="JONATHAN"/>
    <s v="ANDRES"/>
    <s v="ROA"/>
    <s v="CASTAÑEDA"/>
    <d v="1998-07-07T00:00:00"/>
    <s v="COLOMBIA"/>
    <s v="BOGOTÁ"/>
    <s v="BOGOTÁ"/>
    <s v="CC"/>
    <n v="1023971049"/>
    <s v="JONATHAN"/>
    <s v="ANDRES"/>
    <s v="ROA"/>
    <s v="CASTAÑEDA"/>
    <d v="1998-07-07T00:00:00"/>
    <n v="24"/>
    <s v="COLOMBIA"/>
    <s v="BOGOTÁ"/>
    <s v="BOGOTÁ"/>
    <s v="TI"/>
    <n v="1032384658"/>
    <s v="CAMILA"/>
    <s v="ANDREA"/>
    <s v="OLAYA"/>
    <s v="GENES"/>
    <d v="2005-02-17T00:00:00"/>
    <n v="17"/>
    <s v="COLOMBIA"/>
    <s v="BOGOTÁ"/>
    <s v="BOGOTÁ"/>
    <x v="0"/>
    <x v="27"/>
    <x v="0"/>
    <d v="2022-09-15T00:00:00"/>
    <s v="SI_"/>
    <x v="2"/>
    <n v="1"/>
    <s v="NO_"/>
    <m/>
    <m/>
    <n v="37"/>
    <s v="2.5"/>
    <n v="44"/>
    <m/>
    <n v="6"/>
    <s v="ACTUAL"/>
    <m/>
    <x v="1"/>
    <m/>
  </r>
  <r>
    <n v="1016753171"/>
    <x v="1"/>
    <d v="2022-09-12T00:00:00"/>
    <m/>
    <m/>
    <m/>
    <m/>
    <x v="0"/>
    <x v="8"/>
    <x v="8"/>
    <s v="RC"/>
    <s v="MARTIN"/>
    <s v="JOEL"/>
    <s v="GONZALEZ"/>
    <s v="PINTO"/>
    <s v="MARTIN JOEL GONZALEZ PINTO"/>
    <d v="2021-11-30T00:00:00"/>
    <x v="3"/>
    <n v="0"/>
    <n v="26"/>
    <s v="1 AÑOS 0 MESES 26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5 ESTE 86 SUR 83 MZ 20 LOTE 25"/>
    <n v="3233994120"/>
    <n v="3144100818"/>
    <x v="0"/>
    <s v="NO SE AUTORECONOCE EN NINGUNO DE LOS ANTERIORES"/>
    <x v="1"/>
    <x v="1"/>
    <s v="NO_"/>
    <s v="NO_"/>
    <s v="o. Ingresos iguales o inferiores a 1.5 Smlv"/>
    <m/>
    <s v="MADRE"/>
    <s v="CC"/>
    <n v="1000239479"/>
    <s v="LAURA"/>
    <s v="LORENA"/>
    <s v="GONZALEZ"/>
    <s v="PINTO"/>
    <d v="2001-03-19T00:00:00"/>
    <s v="COLOMBIA"/>
    <s v="BOGOTÁ"/>
    <s v="BOGOTÁ"/>
    <m/>
    <m/>
    <m/>
    <m/>
    <m/>
    <m/>
    <m/>
    <s v=""/>
    <m/>
    <m/>
    <m/>
    <s v="CC"/>
    <n v="1000239479"/>
    <s v="LAURA"/>
    <s v="LORENA"/>
    <s v="GONZALEZ"/>
    <s v="PINTO"/>
    <d v="2001-03-19T00:00:00"/>
    <n v="21"/>
    <s v="COLOMBIA"/>
    <s v="BOGOTÁ"/>
    <s v="BOGOTÁ"/>
    <x v="0"/>
    <x v="28"/>
    <x v="0"/>
    <d v="2022-09-15T00:00:00"/>
    <s v="SI_"/>
    <x v="2"/>
    <n v="2"/>
    <s v="NO_"/>
    <m/>
    <m/>
    <n v="39"/>
    <s v="3.2"/>
    <n v="50"/>
    <m/>
    <n v="6"/>
    <s v="ACTUAL"/>
    <m/>
    <x v="1"/>
    <m/>
  </r>
  <r>
    <n v="22012020072"/>
    <x v="1"/>
    <d v="2022-09-12T00:00:00"/>
    <m/>
    <m/>
    <m/>
    <m/>
    <x v="0"/>
    <x v="8"/>
    <x v="8"/>
    <s v="ANM"/>
    <s v="GIEOVANNY"/>
    <s v="SUSET"/>
    <s v="HERNANDEZ"/>
    <s v="RODRIGUEZ"/>
    <s v="GIEOVANNY SUSET HERNANDEZ RODRIGUEZ"/>
    <d v="2020-01-22T00:00:00"/>
    <x v="2"/>
    <n v="11"/>
    <n v="4"/>
    <s v="2 AÑOS 11 MESES 4 DIAS "/>
    <x v="2"/>
    <x v="1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RR 13 F  ESTE 89 D 06"/>
    <n v="3112778766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INES"/>
    <s v="ANDREINA"/>
    <s v="RODRIGUEZ"/>
    <s v="RIVAS"/>
    <d v="1999-01-16T00:00:00"/>
    <s v="VENEZUELA"/>
    <s v="EXTERIOR"/>
    <s v="EXTERIOR"/>
    <m/>
    <m/>
    <m/>
    <m/>
    <m/>
    <m/>
    <m/>
    <s v=""/>
    <m/>
    <m/>
    <m/>
    <s v="SIN DOCUMENTO"/>
    <m/>
    <s v="INES"/>
    <s v="ANDREINA"/>
    <s v="RODRIGUEZ"/>
    <s v="RIVAS"/>
    <d v="1999-01-16T00:00:00"/>
    <n v="23"/>
    <s v="VENEZUELA"/>
    <s v="EXTERIOR"/>
    <s v="EXTERIOR"/>
    <x v="3"/>
    <x v="12"/>
    <x v="1"/>
    <d v="2022-09-15T00:00:00"/>
    <s v="SI_"/>
    <x v="2"/>
    <m/>
    <s v="NO_"/>
    <m/>
    <m/>
    <m/>
    <m/>
    <m/>
    <m/>
    <m/>
    <m/>
    <m/>
    <x v="1"/>
    <m/>
  </r>
  <r>
    <n v="11022018069"/>
    <x v="1"/>
    <d v="2022-09-12T00:00:00"/>
    <m/>
    <m/>
    <m/>
    <m/>
    <x v="0"/>
    <x v="8"/>
    <x v="8"/>
    <s v="ANM"/>
    <s v="KENYEL"/>
    <s v="IZAIAS"/>
    <s v="HERNANDEZ"/>
    <s v="MILANO"/>
    <s v="KENYEL IZAIAS HERNANDEZ MILANO"/>
    <d v="2018-02-11T00:00:00"/>
    <x v="8"/>
    <n v="10"/>
    <n v="15"/>
    <s v="4 AÑOS 10 MESES 15 DIAS "/>
    <x v="2"/>
    <x v="1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RR 13 F  ESTE 89 D 06"/>
    <n v="3202323889"/>
    <n v="3112778766"/>
    <x v="0"/>
    <s v="NO SE AUTORECONOCE EN NINGUNO DE LOS ANTERIORES"/>
    <x v="1"/>
    <x v="1"/>
    <s v="NO_"/>
    <s v="NO_"/>
    <s v="o. Ingresos iguales o inferiores a 1.5 Smlv"/>
    <m/>
    <s v="MADRE"/>
    <s v="SIN DOCUMENTO"/>
    <m/>
    <s v="MIRIALBEL"/>
    <s v="DEL VALLE"/>
    <s v="HERNANDEZ"/>
    <s v="MILANO"/>
    <d v="1998-08-21T00:00:00"/>
    <s v="VENEZUELA"/>
    <s v="EXTERIOR"/>
    <s v="EXTERIOR"/>
    <m/>
    <m/>
    <m/>
    <m/>
    <m/>
    <m/>
    <m/>
    <s v=""/>
    <m/>
    <m/>
    <m/>
    <s v="SIN DOCUMENTO"/>
    <m/>
    <s v="MIRIALBEL"/>
    <s v="DEL VALLE"/>
    <s v="HERNANDEZ"/>
    <s v="MILANO"/>
    <d v="1998-08-21T00:00:00"/>
    <n v="24"/>
    <s v="VENEZUELA"/>
    <s v="EXTERIOR"/>
    <s v="EXTERIOR"/>
    <x v="3"/>
    <x v="12"/>
    <x v="0"/>
    <d v="2022-09-15T00:00:00"/>
    <s v="SI_"/>
    <x v="2"/>
    <n v="2"/>
    <s v="NO_"/>
    <m/>
    <m/>
    <m/>
    <m/>
    <m/>
    <m/>
    <m/>
    <m/>
    <m/>
    <x v="3"/>
    <m/>
  </r>
  <r>
    <s v="B0AC49D07A014D5CA1F08EF76BF880AC43320"/>
    <x v="1"/>
    <d v="2022-09-12T00:00:00"/>
    <m/>
    <m/>
    <m/>
    <m/>
    <x v="0"/>
    <x v="8"/>
    <x v="8"/>
    <s v="SIN DOCUMENTO"/>
    <s v="MIRIANYELIS"/>
    <s v="DANIELA"/>
    <s v="HERNANDEZ"/>
    <s v="CABRERA"/>
    <s v="MIRIANYELIS DANIELA HERNANDEZ CABRERA"/>
    <d v="2019-04-02T00:00:00"/>
    <x v="10"/>
    <n v="8"/>
    <n v="24"/>
    <s v="3 AÑOS 8 MESES 24 DIAS "/>
    <x v="2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RR 13 F  ESTE 89 D 06"/>
    <n v="3112752491"/>
    <n v="3112778766"/>
    <x v="0"/>
    <s v="NO SE AUTORECONOCE EN NINGUNO DE LOS ANTERIORES"/>
    <x v="1"/>
    <x v="1"/>
    <s v="NO_"/>
    <s v="NO_"/>
    <s v="o. Ingresos iguales o inferiores a 1.5 Smlv"/>
    <m/>
    <s v="MADRE"/>
    <s v="SIN DOCUMENTO"/>
    <m/>
    <s v="MARYENNI"/>
    <s v="MARINA"/>
    <s v="CABRERA"/>
    <s v="VALDEZ"/>
    <d v="2003-09-26T00:00:00"/>
    <s v="VENEZUELA"/>
    <s v="EXTERIOR"/>
    <s v="EXTERIOR"/>
    <m/>
    <m/>
    <m/>
    <m/>
    <m/>
    <m/>
    <m/>
    <s v=""/>
    <m/>
    <m/>
    <m/>
    <s v="SIN DOCUMENTO"/>
    <m/>
    <s v="MARYENNI"/>
    <s v="MARINA"/>
    <s v="CABRERA"/>
    <s v="VALDEZ"/>
    <d v="2003-09-26T00:00:00"/>
    <n v="19"/>
    <s v="VENEZUELA"/>
    <s v="EXTERIOR"/>
    <s v="EXTERIOR"/>
    <x v="3"/>
    <x v="12"/>
    <x v="1"/>
    <d v="2022-09-15T00:00:00"/>
    <m/>
    <x v="1"/>
    <m/>
    <s v="NO_"/>
    <m/>
    <m/>
    <m/>
    <m/>
    <m/>
    <m/>
    <m/>
    <m/>
    <m/>
    <x v="3"/>
    <m/>
  </r>
  <r>
    <n v="1028673762"/>
    <x v="1"/>
    <d v="2022-09-12T00:00:00"/>
    <m/>
    <m/>
    <m/>
    <m/>
    <x v="0"/>
    <x v="7"/>
    <x v="7"/>
    <s v="RC"/>
    <s v="MAILY"/>
    <s v="SADIRA"/>
    <s v="MACHADO"/>
    <s v="GONZALEZ"/>
    <s v="MAILY SADIRA MACHADO GONZALEZ"/>
    <d v="2018-11-25T00:00:00"/>
    <x v="8"/>
    <n v="1"/>
    <n v="1"/>
    <s v="4 AÑOS 1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7"/>
    <m/>
    <m/>
    <n v="3105774702"/>
    <s v="NO_"/>
    <x v="4"/>
    <s v="NO SE AUTORECONOCE EN NINGUNO DE LOS ANTERIORES"/>
    <x v="2"/>
    <x v="1"/>
    <m/>
    <m/>
    <m/>
    <m/>
    <m/>
    <m/>
    <m/>
    <m/>
    <m/>
    <m/>
    <m/>
    <m/>
    <m/>
    <m/>
    <m/>
    <m/>
    <m/>
    <m/>
    <m/>
    <m/>
    <m/>
    <m/>
    <s v=""/>
    <m/>
    <m/>
    <m/>
    <m/>
    <m/>
    <m/>
    <m/>
    <m/>
    <m/>
    <m/>
    <s v=""/>
    <m/>
    <m/>
    <m/>
    <x v="1"/>
    <x v="1"/>
    <x v="2"/>
    <m/>
    <m/>
    <x v="0"/>
    <m/>
    <s v="SI_"/>
    <m/>
    <m/>
    <n v="30"/>
    <n v="1800"/>
    <n v="46"/>
    <m/>
    <n v="6"/>
    <s v="ACTUAL"/>
    <m/>
    <x v="3"/>
    <m/>
  </r>
  <r>
    <n v="1016753593"/>
    <x v="1"/>
    <d v="2022-09-12T00:00:00"/>
    <m/>
    <m/>
    <m/>
    <m/>
    <x v="0"/>
    <x v="7"/>
    <x v="7"/>
    <s v="RC"/>
    <s v="AILIN"/>
    <s v="SAMARA"/>
    <s v="DIAZ"/>
    <s v="SANCHEZ"/>
    <s v="AILIN SAMARA DIAZ SANCHEZ"/>
    <d v="2022-02-24T00:00:00"/>
    <x v="1"/>
    <n v="10"/>
    <n v="2"/>
    <s v="0 AÑOS 10 MESES 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7"/>
    <m/>
    <m/>
    <n v="3144662770"/>
    <m/>
    <x v="2"/>
    <s v="NO SE AUTORECONOCE EN NINGUNO DE LOS ANTERIORES"/>
    <x v="2"/>
    <x v="1"/>
    <m/>
    <m/>
    <m/>
    <m/>
    <m/>
    <m/>
    <m/>
    <m/>
    <m/>
    <m/>
    <m/>
    <m/>
    <m/>
    <m/>
    <m/>
    <m/>
    <m/>
    <m/>
    <m/>
    <m/>
    <m/>
    <m/>
    <s v=""/>
    <m/>
    <m/>
    <m/>
    <m/>
    <m/>
    <m/>
    <m/>
    <m/>
    <m/>
    <m/>
    <s v=""/>
    <m/>
    <m/>
    <m/>
    <x v="1"/>
    <x v="0"/>
    <x v="2"/>
    <m/>
    <m/>
    <x v="0"/>
    <m/>
    <s v="NO_"/>
    <m/>
    <m/>
    <n v="40"/>
    <n v="3145"/>
    <n v="55"/>
    <m/>
    <n v="6"/>
    <s v="ACTUAL"/>
    <m/>
    <x v="2"/>
    <s v="TICKET 566831"/>
  </r>
  <r>
    <s v="D23CD9AC5ECE435DA8FF42297D133AD113177"/>
    <x v="0"/>
    <d v="2022-09-12T00:00:00"/>
    <d v="2022-10-24T00:00:00"/>
    <m/>
    <e v="#N/A"/>
    <m/>
    <x v="0"/>
    <x v="7"/>
    <x v="7"/>
    <s v="RC"/>
    <s v="DAYLIN"/>
    <s v="LUCIANA"/>
    <s v="NAVARRO"/>
    <s v="LAGOS"/>
    <s v="DAYLIN LUCIANA NAVARRO LAGOS"/>
    <d v="2021-04-01T00:00:00"/>
    <x v="3"/>
    <n v="8"/>
    <n v="25"/>
    <s v="1 AÑOS 8 MESES 25 DIAS "/>
    <x v="2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7"/>
    <m/>
    <m/>
    <n v="3244926546"/>
    <m/>
    <x v="2"/>
    <s v="NO SE AUTORECONOCE EN NINGUNO DE LOS ANTERIORES"/>
    <x v="2"/>
    <x v="1"/>
    <m/>
    <m/>
    <m/>
    <m/>
    <m/>
    <m/>
    <m/>
    <m/>
    <m/>
    <m/>
    <m/>
    <m/>
    <m/>
    <m/>
    <m/>
    <m/>
    <m/>
    <m/>
    <m/>
    <m/>
    <m/>
    <m/>
    <s v=""/>
    <m/>
    <m/>
    <m/>
    <m/>
    <m/>
    <m/>
    <m/>
    <m/>
    <m/>
    <m/>
    <s v=""/>
    <m/>
    <m/>
    <m/>
    <x v="3"/>
    <x v="12"/>
    <x v="2"/>
    <m/>
    <m/>
    <x v="0"/>
    <m/>
    <s v="NO_"/>
    <m/>
    <m/>
    <n v="40"/>
    <n v="3500"/>
    <n v="59"/>
    <m/>
    <n v="6"/>
    <s v="ACTUAL"/>
    <m/>
    <x v="1"/>
    <m/>
  </r>
  <r>
    <n v="1123212095"/>
    <x v="1"/>
    <d v="2022-09-19T00:00:00"/>
    <m/>
    <m/>
    <m/>
    <m/>
    <x v="0"/>
    <x v="1"/>
    <x v="1"/>
    <s v="RC"/>
    <s v="AUSTIN"/>
    <s v="ERICK"/>
    <s v="CAICEDO"/>
    <s v="QUINTERO"/>
    <s v="AUSTIN ERICK CAICEDO QUINTERO"/>
    <d v="2021-06-07T00:00:00"/>
    <x v="3"/>
    <n v="6"/>
    <n v="19"/>
    <s v="1 AÑOS 6 MESES 19 DIAS "/>
    <x v="2"/>
    <x v="1"/>
    <x v="0"/>
    <s v="PUTUMAYO"/>
    <s v="PUERTO ASÍS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CLL 105 SUR N 7 H ESTE 88"/>
    <n v="3128921723"/>
    <m/>
    <x v="0"/>
    <s v="NO SE AUTORECONOCE EN NINGUNO DE LOS ANTERIORES"/>
    <x v="0"/>
    <x v="10"/>
    <s v="NO_"/>
    <s v="NO_"/>
    <s v="o. Ingresos iguales o inferiores a 1.5 Smlv"/>
    <m/>
    <s v="MADRE"/>
    <s v="CC"/>
    <n v="1007492639"/>
    <s v="VALENTINA "/>
    <s v="ALEJANDRA"/>
    <s v="QUINTERO"/>
    <s v="PRADO"/>
    <d v="2002-06-06T00:00:00"/>
    <s v="COLOMBIA"/>
    <s v="BOYACÁ"/>
    <s v="PUERTO "/>
    <m/>
    <m/>
    <m/>
    <m/>
    <m/>
    <m/>
    <m/>
    <s v=""/>
    <m/>
    <m/>
    <m/>
    <s v="CC"/>
    <n v="1007492639"/>
    <s v="VALENTINA "/>
    <s v="ALEJANDRA"/>
    <s v="QUINTERO"/>
    <s v="PRADO"/>
    <d v="2002-06-06T00:00:00"/>
    <n v="20"/>
    <s v="COLOMBIA"/>
    <s v="BOYACÁ"/>
    <s v="PUERTO "/>
    <x v="1"/>
    <x v="2"/>
    <x v="0"/>
    <d v="2022-09-19T00:00:00"/>
    <s v="SI_"/>
    <x v="2"/>
    <n v="2"/>
    <s v="NO_"/>
    <m/>
    <m/>
    <n v="39"/>
    <n v="2920"/>
    <n v="41"/>
    <m/>
    <n v="6"/>
    <n v="6"/>
    <m/>
    <x v="1"/>
    <m/>
  </r>
  <r>
    <n v="1240696682"/>
    <x v="0"/>
    <d v="2022-09-19T00:00:00"/>
    <d v="2022-09-20T00:00:00"/>
    <e v="#REF!"/>
    <e v="#N/A"/>
    <m/>
    <x v="0"/>
    <x v="1"/>
    <x v="1"/>
    <s v="RC"/>
    <s v="DYLAN "/>
    <s v="ANDRES"/>
    <s v="PEROZO"/>
    <s v="COLOMBO"/>
    <s v="DYLAN  ANDRES PEROZO COLOMBO"/>
    <d v="2021-09-03T00:00:00"/>
    <x v="3"/>
    <n v="3"/>
    <n v="23"/>
    <s v="1 AÑOS 3 MESES 23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ZON DE ASENTAMIENTO SIN LEGALIZAAR "/>
    <n v="3246153488"/>
    <n v="3246739093"/>
    <x v="0"/>
    <s v="NO SE AUTORECONOCE EN NINGUNO DE LOS ANTERIORES"/>
    <x v="1"/>
    <x v="1"/>
    <s v="NO_"/>
    <s v="NO_"/>
    <s v="o. Ingresos iguales o inferiores a 1.5 Smlv"/>
    <m/>
    <s v="TIO(A)"/>
    <s v="PEP"/>
    <m/>
    <s v="LUICIANA"/>
    <s v="CAROLINA"/>
    <s v="PEROZO"/>
    <s v="GRISALES"/>
    <d v="1994-01-31T00:00:00"/>
    <s v="VENEZUELA"/>
    <s v="EXTERIOR"/>
    <s v="EXTERIOR"/>
    <m/>
    <m/>
    <m/>
    <m/>
    <m/>
    <m/>
    <m/>
    <s v=""/>
    <m/>
    <m/>
    <m/>
    <m/>
    <m/>
    <m/>
    <m/>
    <m/>
    <m/>
    <m/>
    <s v=""/>
    <m/>
    <m/>
    <m/>
    <x v="1"/>
    <x v="29"/>
    <x v="0"/>
    <d v="2022-09-19T00:00:00"/>
    <s v="NO_"/>
    <x v="1"/>
    <m/>
    <s v="NO_"/>
    <m/>
    <m/>
    <n v="40"/>
    <n v="3200"/>
    <n v="47"/>
    <m/>
    <n v="3"/>
    <n v="3"/>
    <m/>
    <x v="1"/>
    <m/>
  </r>
  <r>
    <n v="1243762304"/>
    <x v="1"/>
    <d v="2022-09-19T00:00:00"/>
    <m/>
    <m/>
    <m/>
    <m/>
    <x v="0"/>
    <x v="5"/>
    <x v="5"/>
    <s v="RC"/>
    <s v="EMILY "/>
    <s v="YULIANA "/>
    <s v="CANGREJO "/>
    <s v="SUAREZ"/>
    <s v="EMILY  YULIANA  CANGREJO  SUAREZ"/>
    <d v="2022-02-02T00:00:00"/>
    <x v="1"/>
    <n v="10"/>
    <n v="24"/>
    <s v="0 AÑOS 10 MESES 24 DIAS "/>
    <x v="2"/>
    <x v="0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CALLE112A-·#9-92FSUR"/>
    <n v="3242132685"/>
    <n v="3153569273"/>
    <x v="0"/>
    <s v="NO SE AUTORECONOCE EN NINGUNO DE LOS ANTERIORES"/>
    <x v="0"/>
    <x v="11"/>
    <s v="NO_"/>
    <s v="NO_"/>
    <m/>
    <m/>
    <s v="ABUELO(A)"/>
    <s v="CC"/>
    <n v="5243519"/>
    <s v="ANDREA "/>
    <s v="PATRICIA"/>
    <s v="SUAREZ"/>
    <s v="MOSETON"/>
    <d v="1985-07-25T00:00:00"/>
    <s v="COLOMBIA"/>
    <s v="BOGOTÁ"/>
    <s v="BOGOTÁ"/>
    <m/>
    <m/>
    <m/>
    <m/>
    <m/>
    <m/>
    <m/>
    <s v=""/>
    <m/>
    <m/>
    <m/>
    <s v="CC"/>
    <n v="1000987923"/>
    <s v="LISETH"/>
    <s v="FERNANDA"/>
    <s v="CANGREJO "/>
    <s v="SUAREZ"/>
    <d v="2003-03-26T00:00:00"/>
    <n v="19"/>
    <s v="COLOMBIA"/>
    <s v="BOGOTÁ"/>
    <s v="BOGOTÁ"/>
    <x v="0"/>
    <x v="6"/>
    <x v="0"/>
    <d v="2022-09-19T00:00:00"/>
    <s v="NO_"/>
    <x v="2"/>
    <m/>
    <s v="SI_"/>
    <s v="NO"/>
    <m/>
    <m/>
    <n v="2236"/>
    <n v="46"/>
    <m/>
    <n v="6"/>
    <s v="HASTA EL MOMENTO"/>
    <n v="37"/>
    <x v="2"/>
    <m/>
  </r>
  <r>
    <n v="1243861102"/>
    <x v="1"/>
    <d v="2022-09-19T00:00:00"/>
    <m/>
    <m/>
    <m/>
    <m/>
    <x v="0"/>
    <x v="0"/>
    <x v="0"/>
    <s v="RC"/>
    <s v="ADRIEL"/>
    <s v="SANTIAGO"/>
    <s v="PARDO"/>
    <s v="MONCALEANO"/>
    <s v="ADRIEL SANTIAGO PARDO MONCALEANO"/>
    <d v="2022-06-02T00:00:00"/>
    <x v="1"/>
    <n v="6"/>
    <n v="24"/>
    <s v="0 AÑOS 6 MESES 24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CARRERA10CESTE108SUR"/>
    <n v="3219234131"/>
    <n v="3134199399"/>
    <x v="0"/>
    <s v="NO SE AUTORECONOCE EN NINGUNO DE LOS ANTERIORES"/>
    <x v="1"/>
    <x v="1"/>
    <s v="NO_"/>
    <s v="NO_"/>
    <m/>
    <m/>
    <m/>
    <m/>
    <m/>
    <m/>
    <m/>
    <m/>
    <m/>
    <m/>
    <m/>
    <m/>
    <m/>
    <m/>
    <m/>
    <m/>
    <m/>
    <m/>
    <m/>
    <m/>
    <s v=""/>
    <m/>
    <m/>
    <m/>
    <s v="CC"/>
    <n v="1005773018"/>
    <s v="JEIMY"/>
    <s v="JULIETH"/>
    <s v="MONCALEANO"/>
    <s v="ARIAS"/>
    <d v="1999-07-20T00:00:00"/>
    <n v="23"/>
    <s v="COLOMBIA"/>
    <s v="TOLIMA"/>
    <s v="ESPINAL"/>
    <x v="0"/>
    <x v="6"/>
    <x v="0"/>
    <d v="2022-09-19T00:00:00"/>
    <s v="SI_"/>
    <x v="2"/>
    <m/>
    <s v="NO_"/>
    <s v="NO"/>
    <m/>
    <m/>
    <n v="2985"/>
    <n v="49"/>
    <m/>
    <n v="3"/>
    <n v="3"/>
    <n v="38"/>
    <x v="2"/>
    <m/>
  </r>
  <r>
    <n v="1076320839"/>
    <x v="1"/>
    <d v="2022-10-25T00:00:00"/>
    <m/>
    <m/>
    <m/>
    <m/>
    <x v="0"/>
    <x v="3"/>
    <x v="3"/>
    <s v="CC"/>
    <s v="MIRELY"/>
    <m/>
    <s v="CORDOA"/>
    <s v="MORENO"/>
    <s v="MIRELY  CORDOA MORENO"/>
    <d v="1993-09-17T00:00:00"/>
    <x v="20"/>
    <n v="3"/>
    <n v="9"/>
    <s v="29 AÑOS 3 MESES 9 DIAS "/>
    <x v="0"/>
    <x v="0"/>
    <x v="0"/>
    <s v="CHOCÓ"/>
    <s v="ISTMINA"/>
    <x v="0"/>
    <s v="NO_"/>
    <s v="NO"/>
    <s v="NINGUNA"/>
    <s v="NO_"/>
    <s v="NO_"/>
    <s v="NO_"/>
    <s v="NO_"/>
    <s v="NO_"/>
    <s v="NO_"/>
    <s v="NO_"/>
    <s v="NO_"/>
    <s v="COLOMBIA"/>
    <s v="BOGOTÁ"/>
    <x v="0"/>
    <s v="LOCALIDAD"/>
    <x v="0"/>
    <x v="0"/>
    <m/>
    <s v="BARRIO LA ESMERALDA"/>
    <n v="3122317136"/>
    <n v="3168280143"/>
    <x v="0"/>
    <s v="NO SE AUTORECONOCE EN NINGUNO DE LOS ANTERIORES"/>
    <x v="0"/>
    <x v="10"/>
    <s v="NO_"/>
    <s v="SI_"/>
    <s v="o. Ingresos iguales o inferiores a 1.5 Smlv"/>
    <m/>
    <s v="CONYUGE"/>
    <s v="CC"/>
    <n v="16883624"/>
    <s v="ROBINSO"/>
    <m/>
    <s v="SANCHEZ"/>
    <s v="TIERRADENTRO"/>
    <d v="1970-02-18T00:00:00"/>
    <m/>
    <m/>
    <m/>
    <m/>
    <m/>
    <m/>
    <m/>
    <m/>
    <m/>
    <m/>
    <s v=""/>
    <m/>
    <m/>
    <m/>
    <m/>
    <m/>
    <m/>
    <m/>
    <m/>
    <m/>
    <m/>
    <s v=""/>
    <m/>
    <m/>
    <m/>
    <x v="1"/>
    <x v="1"/>
    <x v="1"/>
    <d v="2022-09-20T00:00:00"/>
    <s v="NO_"/>
    <x v="1"/>
    <m/>
    <m/>
    <m/>
    <m/>
    <m/>
    <m/>
    <m/>
    <m/>
    <m/>
    <m/>
    <n v="18"/>
    <x v="0"/>
    <m/>
  </r>
  <r>
    <n v="1105058029"/>
    <x v="0"/>
    <d v="2022-09-19T00:00:00"/>
    <d v="2022-10-24T00:00:00"/>
    <m/>
    <e v="#N/A"/>
    <m/>
    <x v="0"/>
    <x v="0"/>
    <x v="0"/>
    <s v="CC"/>
    <s v="MARIA"/>
    <s v="CARMENZA"/>
    <s v="AGUJA"/>
    <s v="SOGAMOSO"/>
    <s v="MARIA CARMENZA AGUJA SOGAMOSO"/>
    <d v="1990-04-09T00:00:00"/>
    <x v="11"/>
    <n v="8"/>
    <n v="17"/>
    <s v="32 AÑOS 8 MESES 17 DIAS "/>
    <x v="0"/>
    <x v="0"/>
    <x v="0"/>
    <s v="TOLIMA"/>
    <s v="COYAIMA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CALLE109SUR9ESTE"/>
    <n v="3132582410"/>
    <m/>
    <x v="0"/>
    <s v="NO SE AUTORECONOCE EN NINGUNO DE LOS ANTERIORES"/>
    <x v="0"/>
    <x v="12"/>
    <s v="NO_"/>
    <s v="NO_"/>
    <s v="o. Ingresos iguales o inferiores a 1.5 Smlv"/>
    <m/>
    <s v="MADRE"/>
    <s v="CC"/>
    <n v="1105060780"/>
    <s v="LEYLA"/>
    <m/>
    <s v="MADRIGAL"/>
    <s v="SOACHA"/>
    <d v="1993-05-26T00:00:00"/>
    <m/>
    <m/>
    <m/>
    <m/>
    <m/>
    <m/>
    <m/>
    <m/>
    <m/>
    <m/>
    <s v=""/>
    <m/>
    <m/>
    <m/>
    <m/>
    <m/>
    <m/>
    <m/>
    <m/>
    <n v="23"/>
    <m/>
    <s v=""/>
    <m/>
    <m/>
    <m/>
    <x v="0"/>
    <x v="2"/>
    <x v="0"/>
    <d v="2022-09-19T00:00:00"/>
    <s v="SI_"/>
    <x v="0"/>
    <m/>
    <m/>
    <m/>
    <m/>
    <m/>
    <m/>
    <m/>
    <m/>
    <m/>
    <m/>
    <m/>
    <x v="0"/>
    <m/>
  </r>
  <r>
    <n v="2611201712"/>
    <x v="1"/>
    <d v="2022-09-19T00:00:00"/>
    <m/>
    <m/>
    <m/>
    <m/>
    <x v="0"/>
    <x v="1"/>
    <x v="1"/>
    <s v="ANM"/>
    <s v="JUAN "/>
    <s v="CAMILO"/>
    <s v="MORENO "/>
    <s v="BARRETO"/>
    <s v="JUAN  CAMILO MORENO  BARRETO"/>
    <d v="2017-11-26T00:00:00"/>
    <x v="9"/>
    <n v="1"/>
    <n v="0"/>
    <s v="5 AÑOS 1 MESES 0 DIAS "/>
    <x v="2"/>
    <x v="1"/>
    <x v="1"/>
    <s v="EXTERIOR"/>
    <s v="EXTERIOR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ZON DE ASENTAMIENTO SIN LEGALIZAAR "/>
    <n v="3217878497"/>
    <m/>
    <x v="0"/>
    <s v="NO SE AUTORECONOCE EN NINGUNO DE LOS ANTERIORES"/>
    <x v="0"/>
    <x v="2"/>
    <s v="NO_"/>
    <s v="NO_"/>
    <s v="o. Ingresos iguales o inferiores a 1.5 Smlv"/>
    <m/>
    <s v="MADRE"/>
    <s v="SIN DOCUMENTO"/>
    <m/>
    <s v="MARY "/>
    <s v="DEL CARMEN "/>
    <s v="MORENO"/>
    <s v="BARETO"/>
    <d v="1997-04-10T00:00:00"/>
    <s v="VENEZUELA"/>
    <s v="EXTERIOR"/>
    <s v="EXTERIOR"/>
    <m/>
    <m/>
    <m/>
    <m/>
    <m/>
    <m/>
    <m/>
    <s v=""/>
    <m/>
    <m/>
    <m/>
    <s v="SIN DOCUMENTO"/>
    <m/>
    <s v="MARY "/>
    <s v="DEL CARMEN "/>
    <s v="MORENO"/>
    <s v="BARETO"/>
    <d v="1997-04-10T00:00:00"/>
    <n v="25"/>
    <s v="VENEZUELA"/>
    <s v="EXTERIOR"/>
    <s v="EXTERIOR"/>
    <x v="1"/>
    <x v="9"/>
    <x v="0"/>
    <d v="2022-09-19T00:00:00"/>
    <s v="SI_"/>
    <x v="2"/>
    <n v="1"/>
    <s v="SI_"/>
    <m/>
    <m/>
    <n v="29"/>
    <n v="1600"/>
    <n v="40"/>
    <m/>
    <n v="6"/>
    <m/>
    <m/>
    <x v="3"/>
    <m/>
  </r>
  <r>
    <n v="1243858043"/>
    <x v="1"/>
    <d v="2022-09-19T00:00:00"/>
    <m/>
    <m/>
    <m/>
    <m/>
    <x v="0"/>
    <x v="1"/>
    <x v="1"/>
    <s v="RC"/>
    <s v="DAVID "/>
    <s v="SANTIAGO"/>
    <s v="MORENO "/>
    <s v="ARAQUE "/>
    <s v="DAVID  SANTIAGO MORENO  ARAQUE "/>
    <d v="2019-11-04T00:00:00"/>
    <x v="10"/>
    <n v="1"/>
    <n v="22"/>
    <s v="3 AÑOS 1 MESES 22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CALLE 110 SUR 10 ESTE 37"/>
    <n v="3209615461"/>
    <m/>
    <x v="0"/>
    <s v="NO SE AUTORECONOCE EN NINGUNO DE LOS ANTERIORES"/>
    <x v="0"/>
    <x v="6"/>
    <s v="NO_"/>
    <s v="NO_"/>
    <s v="o. Ingresos iguales o inferiores a 1.5 Smlv"/>
    <m/>
    <s v="MADRE"/>
    <s v="CC"/>
    <n v="1000133527"/>
    <s v="YEIMY"/>
    <s v="VIVIANA "/>
    <s v="ARAQUE "/>
    <s v="VELASQUEZ"/>
    <d v="1993-08-23T00:00:00"/>
    <s v="COLOMBIA"/>
    <s v="BOGOTÁ"/>
    <s v="BOGOTÁ"/>
    <m/>
    <m/>
    <m/>
    <m/>
    <m/>
    <m/>
    <m/>
    <s v=""/>
    <m/>
    <m/>
    <m/>
    <s v="CC"/>
    <n v="1000133527"/>
    <s v="YEIMY"/>
    <s v="VIVIANA "/>
    <s v="ARAQUE "/>
    <s v="VELASQUEZ"/>
    <d v="1993-08-23T00:00:00"/>
    <n v="29"/>
    <s v="COLOMBIA"/>
    <s v="BOGOTÁ"/>
    <s v="BOGOTÁ"/>
    <x v="1"/>
    <x v="1"/>
    <x v="0"/>
    <d v="2022-09-19T00:00:00"/>
    <s v="SI_"/>
    <x v="2"/>
    <n v="1"/>
    <s v="NO_"/>
    <m/>
    <m/>
    <n v="39"/>
    <n v="2875"/>
    <n v="49"/>
    <m/>
    <n v="6"/>
    <m/>
    <m/>
    <x v="3"/>
    <m/>
  </r>
  <r>
    <n v="1010850706"/>
    <x v="1"/>
    <d v="2022-09-19T00:00:00"/>
    <m/>
    <m/>
    <m/>
    <m/>
    <x v="0"/>
    <x v="1"/>
    <x v="1"/>
    <s v="RC"/>
    <s v="DYLAN "/>
    <s v="SAMUEL "/>
    <s v="FLOREZ"/>
    <s v="PEREZ"/>
    <s v="DYLAN  SAMUEL  FLOREZ PEREZ"/>
    <d v="2022-03-15T00:00:00"/>
    <x v="1"/>
    <n v="9"/>
    <n v="11"/>
    <s v="0 AÑOS 9 MESES 11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ZON DE ASENTAMIENTO SIN LEGALIZAAR "/>
    <n v="3174067070"/>
    <m/>
    <x v="0"/>
    <s v="NO SE AUTORECONOCE EN NINGUNO DE LOS ANTERIORES"/>
    <x v="0"/>
    <x v="12"/>
    <s v="NO_"/>
    <s v="NO_"/>
    <s v="o. Ingresos iguales o inferiores a 1.5 Smlv"/>
    <m/>
    <s v="MADRE"/>
    <s v="CC"/>
    <n v="1054546097"/>
    <s v="YEIMI"/>
    <s v="ANDREA"/>
    <s v="PEREZ"/>
    <s v="ROSALES"/>
    <d v="1987-09-07T00:00:00"/>
    <s v="COLOMBIA"/>
    <s v="CALDAS"/>
    <s v="LA DORADA"/>
    <s v="CC"/>
    <n v="91017521"/>
    <s v="HAYLER "/>
    <m/>
    <s v="FLOREZ"/>
    <s v="ANZOLA "/>
    <d v="1981-11-29T00:00:00"/>
    <n v="41"/>
    <s v="COLOMBIA"/>
    <s v="BOYACÁ"/>
    <s v="PUERTO "/>
    <s v="CC"/>
    <n v="1054546097"/>
    <s v="YEIMI"/>
    <s v="ANDREA"/>
    <s v="PEREZ"/>
    <s v="ROSALES"/>
    <d v="1987-09-07T00:00:00"/>
    <n v="35"/>
    <s v="COLOMBIA"/>
    <s v="CALDAS"/>
    <s v="LA DORADA"/>
    <x v="0"/>
    <x v="6"/>
    <x v="0"/>
    <d v="2022-09-19T00:00:00"/>
    <s v="SI_"/>
    <x v="2"/>
    <n v="1"/>
    <s v="NO_"/>
    <m/>
    <m/>
    <n v="34"/>
    <n v="1670"/>
    <n v="42"/>
    <m/>
    <n v="6"/>
    <m/>
    <m/>
    <x v="2"/>
    <m/>
  </r>
  <r>
    <n v="1031172814"/>
    <x v="1"/>
    <d v="2022-09-19T00:00:00"/>
    <m/>
    <m/>
    <m/>
    <m/>
    <x v="0"/>
    <x v="1"/>
    <x v="1"/>
    <s v="CC"/>
    <s v="ANGIE "/>
    <s v="PAOLA "/>
    <s v="AMAYA "/>
    <s v="MORENO"/>
    <s v="ANGIE  PAOLA  AMAYA  MORENO"/>
    <d v="1997-10-25T00:00:00"/>
    <x v="22"/>
    <n v="2"/>
    <n v="1"/>
    <s v="25 AÑOS 2 MESES 1 DIAS "/>
    <x v="0"/>
    <x v="0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CALLE 112 A SUR 8 A 27 ESTE "/>
    <n v="3223985308"/>
    <m/>
    <x v="0"/>
    <s v="NO SE AUTORECONOCE EN NINGUNO DE LOS ANTERIORES"/>
    <x v="0"/>
    <x v="5"/>
    <s v="NO_"/>
    <s v="NO_"/>
    <s v="o. Ingresos iguales o inferiores a 1.5 Smlv"/>
    <m/>
    <s v="CONYUGE"/>
    <s v="CC"/>
    <n v="1023015632"/>
    <s v="BRAYAB "/>
    <s v="STIVEN"/>
    <s v="GARAVITO "/>
    <s v="ZAPATA"/>
    <d v="1996-09-13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2"/>
    <x v="19"/>
    <x v="1"/>
    <d v="2022-09-19T00:00:00"/>
    <m/>
    <x v="0"/>
    <m/>
    <m/>
    <m/>
    <m/>
    <m/>
    <m/>
    <m/>
    <m/>
    <m/>
    <m/>
    <s v="26 SEM"/>
    <x v="0"/>
    <m/>
  </r>
  <r>
    <n v="2092021054"/>
    <x v="1"/>
    <d v="2022-09-19T00:00:00"/>
    <m/>
    <m/>
    <m/>
    <m/>
    <x v="0"/>
    <x v="1"/>
    <x v="1"/>
    <s v="ANM"/>
    <s v="SAMUEL"/>
    <s v="IMANOL"/>
    <s v="VIERA "/>
    <s v="MONTESINO "/>
    <s v="SAMUEL IMANOL VIERA  MONTESINO "/>
    <d v="2021-09-02T00:00:00"/>
    <x v="3"/>
    <n v="3"/>
    <n v="24"/>
    <s v="1 AÑOS 3 MESES 24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ZON DE ASENTAMIENTO SIN LEGALIZAAR "/>
    <n v="3212417552"/>
    <m/>
    <x v="0"/>
    <s v="NO SE AUTORECONOCE EN NINGUNO DE LOS ANTERIORES"/>
    <x v="1"/>
    <x v="1"/>
    <s v="NO_"/>
    <s v="NO_"/>
    <s v="o. Ingresos iguales o inferiores a 1.5 Smlv"/>
    <m/>
    <s v="MADRE"/>
    <s v="SIN DOCUMENTO"/>
    <m/>
    <s v="AMARILIZ"/>
    <s v="ROENA"/>
    <s v="MONTESINO "/>
    <s v="PINTO"/>
    <d v="1983-06-01T00:00:00"/>
    <s v="VENEZUELA"/>
    <s v="EXTERIOR"/>
    <s v="EXTERIOR"/>
    <s v="SIN DOCUMENTO"/>
    <m/>
    <s v="MANUEL "/>
    <m/>
    <s v="VIERA "/>
    <s v="GRAYEROL"/>
    <d v="1987-08-05T00:00:00"/>
    <n v="35"/>
    <s v="VENEZUELA"/>
    <s v="EXTERIOR"/>
    <s v="EXTERIOR"/>
    <s v="SIN DOCUMENTO"/>
    <m/>
    <s v="AMARILIZ"/>
    <s v="ROENA"/>
    <s v="MONTESINO "/>
    <s v="PINTO"/>
    <d v="1983-06-01T00:00:00"/>
    <n v="39"/>
    <s v="VENEZUELA"/>
    <s v="EXTERIOR"/>
    <s v="EXTERIOR"/>
    <x v="3"/>
    <x v="12"/>
    <x v="0"/>
    <d v="2022-09-19T00:00:00"/>
    <s v="SI_"/>
    <x v="2"/>
    <n v="1"/>
    <s v="NO_"/>
    <m/>
    <m/>
    <n v="39"/>
    <n v="2750"/>
    <n v="52"/>
    <m/>
    <n v="6"/>
    <m/>
    <m/>
    <x v="1"/>
    <m/>
  </r>
  <r>
    <n v="1023048734"/>
    <x v="0"/>
    <d v="2022-09-19T00:00:00"/>
    <d v="2022-09-20T00:00:00"/>
    <e v="#REF!"/>
    <e v="#N/A"/>
    <m/>
    <x v="0"/>
    <x v="1"/>
    <x v="1"/>
    <s v="RC"/>
    <s v="IAN "/>
    <s v="MATEO"/>
    <s v="MARQUEZ"/>
    <s v="SALAZAR"/>
    <s v="IAN  MATEO MARQUEZ SALAZAR"/>
    <d v="2022-07-10T00:00:00"/>
    <x v="1"/>
    <n v="5"/>
    <n v="16"/>
    <s v="0 AÑOS 5 MESES 16 DIAS "/>
    <x v="1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ZON DE ASENTAMIENTO SIN LEGALIZAAR "/>
    <n v="3123919971"/>
    <m/>
    <x v="0"/>
    <s v="NO SE AUTORECONOCE EN NINGUNO DE LOS ANTERIORES"/>
    <x v="0"/>
    <x v="16"/>
    <s v="NO_"/>
    <s v="NO_"/>
    <s v="o. Ingresos iguales o inferiores a 1.5 Smlv"/>
    <m/>
    <s v="MADRE"/>
    <s v="CC"/>
    <n v="1033731314"/>
    <s v="ERIKA"/>
    <s v="LILIAM"/>
    <s v="SALAZAR"/>
    <s v="LOPEZ"/>
    <d v="1991-02-26T00:00:00"/>
    <s v="COLOMBIA"/>
    <s v="BOGOTÁ"/>
    <s v="BOGOTÁ"/>
    <s v="CC"/>
    <n v="1033710232"/>
    <s v="ALBERTO"/>
    <s v="RODOLFO"/>
    <s v="MARQUEZ "/>
    <s v="ALACON"/>
    <d v="1989-06-04T00:00:00"/>
    <n v="33"/>
    <s v="COLOMBIA"/>
    <s v="BOGOTÁ"/>
    <s v="BOGOTÁ"/>
    <s v="CC"/>
    <n v="1033731314"/>
    <s v="ERIKA"/>
    <s v="LILIAM"/>
    <s v="SALAZAR"/>
    <s v="LOPEZ"/>
    <d v="1991-02-26T00:00:00"/>
    <n v="31"/>
    <s v="COLOMBIA"/>
    <s v="BOGOTÁ"/>
    <s v="BOGOTÁ"/>
    <x v="0"/>
    <x v="5"/>
    <x v="0"/>
    <d v="2022-09-19T00:00:00"/>
    <s v="SI_"/>
    <x v="2"/>
    <n v="1"/>
    <s v="NO_"/>
    <m/>
    <m/>
    <n v="39"/>
    <n v="2790"/>
    <n v="49"/>
    <m/>
    <m/>
    <s v="HASTA EL MOMENTO"/>
    <m/>
    <x v="0"/>
    <m/>
  </r>
  <r>
    <s v="DEDAF86721994CF08B703251615567C941120"/>
    <x v="1"/>
    <d v="2022-09-19T00:00:00"/>
    <m/>
    <m/>
    <m/>
    <m/>
    <x v="0"/>
    <x v="0"/>
    <x v="0"/>
    <s v="SIN DOCUMENTO"/>
    <s v="ROXANA "/>
    <s v="CAROLINA "/>
    <s v="SOTO "/>
    <s v="URDANETA "/>
    <s v="ROXANA  CAROLINA  SOTO  URDANETA "/>
    <d v="2003-11-27T00:00:00"/>
    <x v="16"/>
    <n v="0"/>
    <n v="29"/>
    <s v="19 AÑOS 0 MESES 29 DIAS "/>
    <x v="0"/>
    <x v="0"/>
    <x v="1"/>
    <s v="EXTERIOR"/>
    <s v="EXTERIOR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ZON DE ASENTAMIENTO SIN LEGALIZAAR "/>
    <n v="3246176340"/>
    <m/>
    <x v="0"/>
    <s v="NO SE AUTORECONOCE EN NINGUNO DE LOS ANTERIORES"/>
    <x v="1"/>
    <x v="1"/>
    <s v="NO_"/>
    <s v="NO_"/>
    <s v="o. Ingresos iguales o inferiores a 1.5 Smlv"/>
    <m/>
    <s v="CONYUGE"/>
    <s v="CC"/>
    <n v="1143168382"/>
    <s v="ALEXANDRE "/>
    <s v="DAVID "/>
    <s v="HERNANDEZ "/>
    <s v="ESTRADA "/>
    <d v="1997-09-13T00:00:00"/>
    <s v="COLOMBIA"/>
    <s v="CÓRDOBA"/>
    <s v="SAHAGÚN"/>
    <m/>
    <m/>
    <m/>
    <m/>
    <m/>
    <m/>
    <m/>
    <s v=""/>
    <m/>
    <m/>
    <m/>
    <m/>
    <m/>
    <m/>
    <m/>
    <m/>
    <m/>
    <m/>
    <s v=""/>
    <m/>
    <m/>
    <m/>
    <x v="3"/>
    <x v="12"/>
    <x v="0"/>
    <d v="2022-09-19T00:00:00"/>
    <s v="NO_"/>
    <x v="1"/>
    <m/>
    <m/>
    <m/>
    <m/>
    <m/>
    <m/>
    <m/>
    <m/>
    <m/>
    <m/>
    <s v="5 SEM"/>
    <x v="0"/>
    <m/>
  </r>
  <r>
    <n v="1146148428"/>
    <x v="1"/>
    <d v="2022-09-20T00:00:00"/>
    <m/>
    <m/>
    <m/>
    <m/>
    <x v="0"/>
    <x v="1"/>
    <x v="1"/>
    <s v="RC"/>
    <s v="AHMANET"/>
    <s v="SAMANTHA"/>
    <s v="PUERTA "/>
    <s v="FLOREZ"/>
    <s v="AHMANET SAMANTHA PUERTA  FLOREZ"/>
    <d v="2020-07-24T00:00:00"/>
    <x v="2"/>
    <n v="5"/>
    <n v="2"/>
    <s v="2 AÑOS 5 MESES 2 DIAS "/>
    <x v="2"/>
    <x v="0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ZONA DE ASENTAMIENTO SIN LEGALIZAAR "/>
    <n v="3006397884"/>
    <m/>
    <x v="0"/>
    <s v="NO SE AUTORECONOCE EN NINGUNO DE LOS ANTERIORES"/>
    <x v="0"/>
    <x v="5"/>
    <s v="NO_"/>
    <s v="NO_"/>
    <s v="o. Ingresos iguales o inferiores a 1.5 Smlv"/>
    <m/>
    <s v="MADRE"/>
    <s v="CC"/>
    <n v="1193115300"/>
    <s v="WUENDY"/>
    <s v="ESMERALDA"/>
    <s v="FLOREZ"/>
    <s v="TORRES"/>
    <d v="1999-07-11T00:00:00"/>
    <s v="COLOMBIA"/>
    <s v="SANTANDER"/>
    <s v="PIEDECUESTA"/>
    <s v="CC"/>
    <n v="1127584951"/>
    <s v="GUSTAVO"/>
    <s v="ADOLFO"/>
    <s v="PUERTA "/>
    <s v="CARDENAS"/>
    <d v="1999-11-15T00:00:00"/>
    <n v="23"/>
    <s v="VENEZUELA"/>
    <s v="EXTERIOR"/>
    <s v="EXTERIOR"/>
    <s v="CC"/>
    <n v="1193115300"/>
    <s v="WUENDY"/>
    <s v="ESMERALDA"/>
    <s v="FLOREZ"/>
    <s v="TORRES"/>
    <d v="1999-07-11T00:00:00"/>
    <n v="23"/>
    <s v="COLOMBIA"/>
    <s v="SANTANDER"/>
    <s v="PIEDECUESTA"/>
    <x v="0"/>
    <x v="5"/>
    <x v="0"/>
    <d v="2022-09-21T00:00:00"/>
    <s v="SI_"/>
    <x v="1"/>
    <m/>
    <s v="NO_"/>
    <m/>
    <m/>
    <n v="39"/>
    <n v="2800"/>
    <n v="48"/>
    <m/>
    <n v="6"/>
    <m/>
    <m/>
    <x v="1"/>
    <m/>
  </r>
  <r>
    <n v="1023043597"/>
    <x v="0"/>
    <d v="2022-09-20T00:00:00"/>
    <d v="2022-10-03T00:00:00"/>
    <e v="#REF!"/>
    <e v="#N/A"/>
    <m/>
    <x v="0"/>
    <x v="1"/>
    <x v="1"/>
    <s v="RC"/>
    <s v="DERECK"/>
    <s v="JOELL"/>
    <s v="VARGAS "/>
    <s v="BONILLA"/>
    <s v="DERECK JOELL VARGAS  BONILLA"/>
    <d v="2019-05-29T00:00:00"/>
    <x v="10"/>
    <n v="6"/>
    <n v="27"/>
    <s v="3 AÑOS 6 MESES 27 DIAS "/>
    <x v="2"/>
    <x v="1"/>
    <x v="0"/>
    <s v="BOGOTÁ"/>
    <s v="BOGOTÁ"/>
    <x v="0"/>
    <s v="NO_"/>
    <s v="N/A"/>
    <s v="NINGUNA"/>
    <s v="N/A"/>
    <s v="NO_"/>
    <s v="NO_"/>
    <s v="NO_"/>
    <s v="NO_"/>
    <s v="NO_"/>
    <s v="NO_"/>
    <s v="NO_"/>
    <s v="COLOMBIA"/>
    <s v="BOGOTÁ"/>
    <x v="0"/>
    <s v="LOCALIDAD"/>
    <x v="0"/>
    <x v="17"/>
    <m/>
    <s v="VEREDA LOS SOCHES "/>
    <n v="3246030883"/>
    <m/>
    <x v="0"/>
    <s v="NO SE AUTORECONOCE EN NINGUNO DE LOS ANTERIORES"/>
    <x v="1"/>
    <x v="1"/>
    <s v="NO_"/>
    <s v="NO_"/>
    <s v="o. Ingresos iguales o inferiores a 1.5 Smlv"/>
    <m/>
    <s v="PADRE"/>
    <s v="CC"/>
    <n v="1007105845"/>
    <s v="EDISON "/>
    <s v="ARMANDO"/>
    <s v="VARGAS "/>
    <s v="GONZALEZ"/>
    <d v="1998-08-21T00:00:00"/>
    <s v="COLOMBIA"/>
    <s v="BOGOTÁ"/>
    <s v="BOGOTÁ"/>
    <s v="CC"/>
    <n v="1007105845"/>
    <s v="EDISON "/>
    <s v="ARMANDO"/>
    <s v="VARGAS "/>
    <s v="GONZALEZ"/>
    <d v="1998-08-21T00:00:00"/>
    <n v="24"/>
    <s v="COLOMBIA"/>
    <s v="BOGOTÁ"/>
    <s v="BOGOTÁ"/>
    <m/>
    <m/>
    <m/>
    <m/>
    <m/>
    <m/>
    <m/>
    <s v=""/>
    <m/>
    <m/>
    <m/>
    <x v="0"/>
    <x v="6"/>
    <x v="0"/>
    <d v="2022-09-21T00:00:00"/>
    <s v="SI_"/>
    <x v="2"/>
    <n v="44825"/>
    <s v="NO_"/>
    <m/>
    <m/>
    <n v="39"/>
    <n v="2950"/>
    <n v="49"/>
    <s v="SI_"/>
    <n v="9"/>
    <m/>
    <m/>
    <x v="3"/>
    <m/>
  </r>
  <r>
    <n v="1023043988"/>
    <x v="1"/>
    <d v="2022-09-20T00:00:00"/>
    <m/>
    <m/>
    <m/>
    <m/>
    <x v="0"/>
    <x v="1"/>
    <x v="1"/>
    <s v="RC"/>
    <s v="MAICOL "/>
    <s v="ADRIAN "/>
    <s v="PEÑA "/>
    <s v="CARDENAS"/>
    <s v="MAICOL  ADRIAN  PEÑA  CARDENAS"/>
    <d v="2019-08-13T00:00:00"/>
    <x v="10"/>
    <n v="4"/>
    <n v="13"/>
    <s v="3 AÑOS 4 MESES 13 DIAS "/>
    <x v="2"/>
    <x v="1"/>
    <x v="0"/>
    <s v="BOGOTÁ"/>
    <s v="BOGOTÁ"/>
    <x v="0"/>
    <s v="NO_"/>
    <s v="N/A"/>
    <s v="NINGUNA"/>
    <s v="N/A"/>
    <s v="NO_"/>
    <s v="NO_"/>
    <s v="NO_"/>
    <s v="NO_"/>
    <s v="NO_"/>
    <s v="NO_"/>
    <s v="NO_"/>
    <s v="COLOMBIA"/>
    <s v="BOGOTÁ"/>
    <x v="0"/>
    <s v="LOCALIDAD"/>
    <x v="0"/>
    <x v="17"/>
    <m/>
    <s v="VEREDA LOS SOCHES "/>
    <n v="3057780632"/>
    <m/>
    <x v="0"/>
    <s v="NO SE AUTORECONOCE EN NINGUNO DE LOS ANTERIORES"/>
    <x v="0"/>
    <x v="17"/>
    <s v="NO_"/>
    <s v="NO_"/>
    <s v="o. Ingresos iguales o inferiores a 1.5 Smlv"/>
    <m/>
    <s v="MADRE"/>
    <s v="CC"/>
    <n v="1022972403"/>
    <s v="DILSA"/>
    <s v="PAOLA"/>
    <s v="CARDENAS "/>
    <s v="MARTINEZ"/>
    <d v="1991-04-26T00:00:00"/>
    <s v="COLOMBIA"/>
    <s v="BOGOTÁ"/>
    <s v="BOGOTÁ"/>
    <s v="CC"/>
    <n v="80254808"/>
    <s v="OSCAR "/>
    <s v="ALBERTO"/>
    <s v="PEÑA "/>
    <s v="ACOSTA "/>
    <d v="1984-08-11T00:00:00"/>
    <n v="38"/>
    <s v="COLOMBIA"/>
    <s v="BOGOTÁ"/>
    <s v="BOGOTÁ"/>
    <s v="CC"/>
    <n v="1022972403"/>
    <s v="DILSA"/>
    <s v="PAOLA"/>
    <s v="CARDENAS "/>
    <s v="MARTINEZ"/>
    <d v="1991-04-26T00:00:00"/>
    <n v="31"/>
    <s v="COLOMBIA"/>
    <s v="BOGOTÁ"/>
    <s v="BOGOTÁ"/>
    <x v="1"/>
    <x v="1"/>
    <x v="0"/>
    <d v="2022-09-21T00:00:00"/>
    <s v="SI_"/>
    <x v="2"/>
    <n v="44825"/>
    <s v="NO_"/>
    <m/>
    <m/>
    <n v="39"/>
    <n v="3380"/>
    <n v="52"/>
    <m/>
    <m/>
    <m/>
    <m/>
    <x v="3"/>
    <m/>
  </r>
  <r>
    <n v="1023046582"/>
    <x v="1"/>
    <d v="2022-09-20T00:00:00"/>
    <m/>
    <m/>
    <m/>
    <m/>
    <x v="0"/>
    <x v="1"/>
    <x v="1"/>
    <s v="RC"/>
    <s v="HEIDY"/>
    <s v="KATHERIN"/>
    <s v="PEÑA "/>
    <s v="CARDENAS"/>
    <s v="HEIDY KATHERIN PEÑA  CARDENAS"/>
    <d v="2021-04-17T00:00:00"/>
    <x v="3"/>
    <n v="8"/>
    <n v="9"/>
    <s v="1 AÑOS 8 MESES 9 DIAS "/>
    <x v="2"/>
    <x v="0"/>
    <x v="0"/>
    <s v="BOGOTÁ"/>
    <s v="BOGOTÁ"/>
    <x v="0"/>
    <s v="NO_"/>
    <s v="N/A"/>
    <s v="NINGUNA"/>
    <s v="N/A"/>
    <s v="NO_"/>
    <s v="NO_"/>
    <s v="NO_"/>
    <s v="NO_"/>
    <s v="NO_"/>
    <s v="NO_"/>
    <s v="NO_"/>
    <s v="COLOMBIA"/>
    <s v="BOGOTÁ"/>
    <x v="0"/>
    <s v="LOCALIDAD"/>
    <x v="0"/>
    <x v="17"/>
    <m/>
    <s v="VEREDA LOS SOCHES "/>
    <n v="3057780632"/>
    <m/>
    <x v="0"/>
    <s v="NO SE AUTORECONOCE EN NINGUNO DE LOS ANTERIORES"/>
    <x v="0"/>
    <x v="17"/>
    <s v="NO_"/>
    <s v="NO_"/>
    <s v="o. Ingresos iguales o inferiores a 1.5 Smlv"/>
    <m/>
    <s v="MADRE"/>
    <s v="CC"/>
    <n v="1022972404"/>
    <s v="DILSA"/>
    <s v="PAOLA"/>
    <s v="CARDENAS "/>
    <s v="MARTINEZ"/>
    <d v="1991-04-26T00:00:00"/>
    <s v="COLOMBIA"/>
    <s v="BOGOTÁ"/>
    <s v="BOGOTÁ"/>
    <s v="CC"/>
    <n v="80254808"/>
    <s v="OSCAR "/>
    <s v="ALBERTO"/>
    <s v="PEÑA "/>
    <s v="ACOSTA "/>
    <d v="1984-08-11T00:00:00"/>
    <n v="38"/>
    <s v="COLOMBIA"/>
    <s v="BOGOTÁ"/>
    <s v="BOGOTÁ"/>
    <s v="CC"/>
    <n v="1022972404"/>
    <s v="DILSA"/>
    <s v="PAOLA"/>
    <s v="CARDENAS "/>
    <s v="MARTINEZ"/>
    <d v="1991-04-26T00:00:00"/>
    <n v="31"/>
    <s v="COLOMBIA"/>
    <s v="BOGOTÁ"/>
    <s v="BOGOTÁ"/>
    <x v="1"/>
    <x v="1"/>
    <x v="0"/>
    <d v="2022-09-21T00:00:00"/>
    <s v="SI_"/>
    <x v="2"/>
    <n v="44825"/>
    <s v="NO_"/>
    <m/>
    <m/>
    <n v="39"/>
    <n v="3040"/>
    <n v="50"/>
    <m/>
    <m/>
    <m/>
    <m/>
    <x v="1"/>
    <m/>
  </r>
  <r>
    <n v="1023044204"/>
    <x v="1"/>
    <d v="2022-09-20T00:00:00"/>
    <m/>
    <m/>
    <m/>
    <m/>
    <x v="0"/>
    <x v="1"/>
    <x v="1"/>
    <s v="RC"/>
    <s v="ANGEL"/>
    <s v="DARIO"/>
    <s v="PORRAS"/>
    <s v="CARDENAS"/>
    <s v="ANGEL DARIO PORRAS CARDENAS"/>
    <d v="2019-09-07T00:00:00"/>
    <x v="10"/>
    <n v="3"/>
    <n v="19"/>
    <s v="3 AÑOS 3 MESES 19 DIAS "/>
    <x v="2"/>
    <x v="1"/>
    <x v="0"/>
    <s v="BOGOTÁ"/>
    <s v="BOGOTÁ"/>
    <x v="0"/>
    <s v="NO_"/>
    <s v="N/A"/>
    <s v="NINGUNA"/>
    <s v="N/A"/>
    <s v="NO_"/>
    <s v="NO_"/>
    <s v="NO_"/>
    <s v="NO_"/>
    <s v="NO_"/>
    <s v="NO_"/>
    <s v="NO_"/>
    <s v="COLOMBIA"/>
    <s v="BOGOTÁ"/>
    <x v="0"/>
    <s v="LOCALIDAD"/>
    <x v="0"/>
    <x v="17"/>
    <m/>
    <s v="VEREDA LOS SOCHES "/>
    <n v="3209964461"/>
    <m/>
    <x v="0"/>
    <s v="NO SE AUTORECONOCE EN NINGUNO DE LOS ANTERIORES"/>
    <x v="0"/>
    <x v="3"/>
    <s v="NO_"/>
    <s v="NO_"/>
    <s v="o. Ingresos iguales o inferiores a 1.5 Smlv"/>
    <m/>
    <s v="MADRE"/>
    <s v="CC"/>
    <n v="1022978602"/>
    <s v="YUDI"/>
    <s v="CONSTANZA "/>
    <s v="CARDENAS "/>
    <s v="MARTINEZ"/>
    <d v="1992-05-24T00:00:00"/>
    <s v="COLOMBIA"/>
    <s v="BOGOTÁ"/>
    <s v="BOGOTÁ"/>
    <s v="CC"/>
    <n v="79815115"/>
    <s v="ALFONSO"/>
    <m/>
    <s v="PORRAS "/>
    <s v="MALDONADO "/>
    <d v="1974-05-02T00:00:00"/>
    <n v="48"/>
    <s v="COLOMBIA"/>
    <s v="BOGOTÁ"/>
    <s v="BOGOTÁ"/>
    <s v="CC"/>
    <n v="1022978602"/>
    <s v="YUDI"/>
    <s v="CONSTANZA "/>
    <s v="CARDENAS "/>
    <s v="MARTINEZ"/>
    <d v="1992-05-24T00:00:00"/>
    <n v="30"/>
    <s v="COLOMBIA"/>
    <s v="BOGOTÁ"/>
    <s v="BOGOTÁ"/>
    <x v="1"/>
    <x v="1"/>
    <x v="0"/>
    <d v="2022-09-21T00:00:00"/>
    <s v="SI_"/>
    <x v="2"/>
    <n v="44825"/>
    <s v="NO_"/>
    <m/>
    <m/>
    <n v="39"/>
    <n v="3330"/>
    <n v="50"/>
    <m/>
    <m/>
    <m/>
    <m/>
    <x v="3"/>
    <m/>
  </r>
  <r>
    <n v="1028793142"/>
    <x v="1"/>
    <d v="2022-09-26T00:00:00"/>
    <m/>
    <m/>
    <m/>
    <m/>
    <x v="0"/>
    <x v="3"/>
    <x v="3"/>
    <s v="RC"/>
    <s v="IVANA"/>
    <m/>
    <s v="DÍAZ"/>
    <s v="GIL"/>
    <s v="IVANA  DÍAZ GIL"/>
    <d v="2017-07-01T00:00:00"/>
    <x v="9"/>
    <n v="5"/>
    <n v="25"/>
    <s v="5 AÑOS 5 MESES 2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ASENTAMIENTO LA ESMERALDA "/>
    <n v="323157253"/>
    <m/>
    <x v="0"/>
    <s v="NO SE AUTORECONOCE EN NINGUNO DE LOS ANTERIORES"/>
    <x v="1"/>
    <x v="1"/>
    <s v="NO_"/>
    <s v="SI_"/>
    <s v="f. Víctimas de hechos violentos asociados al conflicto armado, de acuerdo con las directrices establecidas en la Ley 1448 de 2011 y los Decretos ley 4633, 4634 y 4635 de 2011, así como la Sentencia T-025 de 2004 proferida por la Corte Constitucional y demás desarrollos jurisprudenciales en torno a la existencia de un estado de cosas inconstitucional; para lo cual se considerarán aquellos cuyo estado se encuentre incluido dentro del RUV."/>
    <m/>
    <s v="MADRE"/>
    <s v="CC"/>
    <n v="1022994607"/>
    <s v="LEYDIS"/>
    <m/>
    <s v="GIL"/>
    <s v="VANEGAS "/>
    <m/>
    <s v="COLOMBIA"/>
    <s v="BOGOTÁ"/>
    <s v="BOGOTÁ"/>
    <m/>
    <m/>
    <m/>
    <m/>
    <m/>
    <m/>
    <m/>
    <s v=""/>
    <m/>
    <m/>
    <m/>
    <s v="CC"/>
    <n v="1022994607"/>
    <s v="LEYDIS"/>
    <m/>
    <s v="GIL"/>
    <s v="VANEGAS"/>
    <m/>
    <s v=""/>
    <s v="COLOMBIA"/>
    <m/>
    <m/>
    <x v="1"/>
    <x v="1"/>
    <x v="0"/>
    <d v="2022-09-26T00:00:00"/>
    <s v="SI_"/>
    <x v="2"/>
    <m/>
    <s v="NO_"/>
    <m/>
    <m/>
    <n v="39"/>
    <n v="2950"/>
    <n v="50"/>
    <s v="NO_"/>
    <n v="6"/>
    <m/>
    <m/>
    <x v="3"/>
    <m/>
  </r>
  <r>
    <s v="DA6646ADDC394F8FAED4380A24BC3C6A15170"/>
    <x v="1"/>
    <d v="2022-09-26T00:00:00"/>
    <m/>
    <m/>
    <m/>
    <m/>
    <x v="0"/>
    <x v="3"/>
    <x v="3"/>
    <s v="SIN DOCUMENTO"/>
    <s v="YASMIN"/>
    <s v="YOHANA"/>
    <s v="FINOL"/>
    <s v="PEÑA"/>
    <s v="YASMIN YOHANA FINOL PEÑA"/>
    <d v="2017-03-28T00:00:00"/>
    <x v="9"/>
    <n v="8"/>
    <n v="28"/>
    <s v="5 AÑOS 8 MESES 28 DIAS "/>
    <x v="2"/>
    <x v="0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ASENTAMIENTO LA ESMERALDA "/>
    <n v="3102819517"/>
    <m/>
    <x v="0"/>
    <s v="NO SE AUTORECONOCE EN NINGUNO DE LOS ANTERIORES"/>
    <x v="1"/>
    <x v="1"/>
    <s v="NO_"/>
    <s v="NO_"/>
    <m/>
    <m/>
    <s v="MADRE"/>
    <s v="CC"/>
    <n v="1003734192"/>
    <s v="KIRA"/>
    <s v="LISNEY"/>
    <s v="SEGURA"/>
    <s v="ACOSTA"/>
    <d v="2001-07-07T00:00:00"/>
    <s v="COLOMBIA"/>
    <s v="CÓRDOBA"/>
    <s v="TIERRALTA"/>
    <m/>
    <m/>
    <m/>
    <m/>
    <m/>
    <m/>
    <m/>
    <s v=""/>
    <m/>
    <m/>
    <m/>
    <s v="CC"/>
    <n v="1003734192"/>
    <s v="KIRA"/>
    <s v="LISNEY"/>
    <s v="SEGURA"/>
    <s v="ACOSTA"/>
    <d v="2001-07-07T00:00:00"/>
    <n v="21"/>
    <s v="COLOMBIA"/>
    <m/>
    <m/>
    <x v="4"/>
    <x v="16"/>
    <x v="2"/>
    <m/>
    <m/>
    <x v="0"/>
    <m/>
    <m/>
    <m/>
    <m/>
    <m/>
    <m/>
    <m/>
    <m/>
    <m/>
    <m/>
    <m/>
    <x v="3"/>
    <m/>
  </r>
  <r>
    <n v="1003734192"/>
    <x v="1"/>
    <d v="2022-09-26T00:00:00"/>
    <m/>
    <m/>
    <m/>
    <m/>
    <x v="0"/>
    <x v="3"/>
    <x v="3"/>
    <s v="CC"/>
    <s v="KIRA"/>
    <s v="LISNEY"/>
    <s v="SEGURA"/>
    <s v="ACOSTA"/>
    <s v="KIRA LISNEY SEGURA ACOSTA"/>
    <d v="2001-07-07T00:00:00"/>
    <x v="15"/>
    <n v="5"/>
    <n v="19"/>
    <s v="21 AÑOS 5 MESES 19 DIAS "/>
    <x v="0"/>
    <x v="0"/>
    <x v="0"/>
    <s v="CÓRDOBA"/>
    <s v="TIERRALTA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ASENTAMIENTO LA ESMERALDA "/>
    <n v="3102819517"/>
    <m/>
    <x v="0"/>
    <s v="NO SE AUTORECONOCE EN NINGUNO DE LOS ANTERIORES"/>
    <x v="1"/>
    <x v="1"/>
    <s v="NO_"/>
    <s v="NO_"/>
    <m/>
    <m/>
    <s v="MADRE"/>
    <s v="CC"/>
    <n v="1003734192"/>
    <m/>
    <m/>
    <m/>
    <m/>
    <m/>
    <m/>
    <m/>
    <m/>
    <m/>
    <m/>
    <m/>
    <m/>
    <m/>
    <m/>
    <m/>
    <s v=""/>
    <m/>
    <m/>
    <m/>
    <m/>
    <m/>
    <m/>
    <m/>
    <m/>
    <m/>
    <m/>
    <s v=""/>
    <m/>
    <m/>
    <m/>
    <x v="4"/>
    <x v="16"/>
    <x v="2"/>
    <m/>
    <m/>
    <x v="0"/>
    <m/>
    <m/>
    <m/>
    <m/>
    <m/>
    <m/>
    <m/>
    <m/>
    <m/>
    <m/>
    <m/>
    <x v="0"/>
    <m/>
  </r>
  <r>
    <n v="1023985500"/>
    <x v="1"/>
    <d v="2022-09-26T00:00:00"/>
    <m/>
    <m/>
    <m/>
    <m/>
    <x v="0"/>
    <x v="3"/>
    <x v="3"/>
    <s v="RC"/>
    <s v="JHOSELYN"/>
    <s v="MARIAM"/>
    <s v="CADENA"/>
    <s v="VELANDIA"/>
    <s v="JHOSELYN MARIAM CADENA VELANDIA"/>
    <d v="2019-07-02T00:00:00"/>
    <x v="10"/>
    <n v="5"/>
    <n v="24"/>
    <s v="3 AÑOS 5 MESES 24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ASENTAMIENTO LA ESMERALDA "/>
    <n v="3133074336"/>
    <m/>
    <x v="0"/>
    <s v="NO SE AUTORECONOCE EN NINGUNO DE LOS ANTERIORES"/>
    <x v="1"/>
    <x v="1"/>
    <s v="NO_"/>
    <s v="SI_"/>
    <s v="f. Víctimas de hechos violentos asociados al conflicto armado, de acuerdo con las directrices establecidas en la Ley 1448 de 2011 y los Decretos ley 4633, 4634 y 4635 de 2011, así como la Sentencia T-025 de 2004 proferida por la Corte Constitucional y demás desarrollos jurisprudenciales en torno a la existencia de un estado de cosas inconstitucional; para lo cual se considerarán aquellos cuyo estado se encuentre incluido dentro del RUV."/>
    <m/>
    <s v="ABUELO(A)"/>
    <s v="CC"/>
    <n v="53129420"/>
    <s v="YURY"/>
    <s v="ANDREA"/>
    <s v="VELANDIA"/>
    <s v="IPIA"/>
    <d v="1984-10-23T00:00:00"/>
    <s v="COLOMBIA"/>
    <s v="BOGOTÁ"/>
    <s v="BOGOTÁ"/>
    <m/>
    <m/>
    <m/>
    <m/>
    <m/>
    <m/>
    <m/>
    <s v=""/>
    <m/>
    <m/>
    <m/>
    <s v="CC"/>
    <n v="1000691815"/>
    <s v="KAREN"/>
    <s v="JULIED"/>
    <s v="CADENA"/>
    <s v="VELANDIA"/>
    <d v="2002-04-08T00:00:00"/>
    <n v="20"/>
    <s v="COLOMBIA"/>
    <s v="BOGOTÁ"/>
    <s v="BOGOTÁ"/>
    <x v="0"/>
    <x v="6"/>
    <x v="0"/>
    <d v="2022-09-26T00:00:00"/>
    <s v="SI_"/>
    <x v="1"/>
    <m/>
    <s v="NO_"/>
    <m/>
    <m/>
    <n v="38"/>
    <n v="2770"/>
    <n v="49"/>
    <s v="NO_"/>
    <n v="6"/>
    <m/>
    <m/>
    <x v="3"/>
    <m/>
  </r>
  <r>
    <n v="1028675792"/>
    <x v="1"/>
    <d v="2022-09-26T00:00:00"/>
    <m/>
    <m/>
    <m/>
    <m/>
    <x v="0"/>
    <x v="3"/>
    <x v="3"/>
    <s v="RC"/>
    <s v="LIHAN"/>
    <s v="ANDRES"/>
    <s v="ARDILA "/>
    <s v="CADENA"/>
    <s v="LIHAN ANDRES ARDILA  CADENA"/>
    <d v="2022-05-19T00:00:00"/>
    <x v="1"/>
    <n v="7"/>
    <n v="7"/>
    <s v="0 AÑOS 7 MESES 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ASENTAMIENTO LA ESMERALDA "/>
    <n v="3133074336"/>
    <m/>
    <x v="0"/>
    <s v="NO SE AUTORECONOCE EN NINGUNO DE LOS ANTERIORES"/>
    <x v="1"/>
    <x v="1"/>
    <s v="NO_"/>
    <s v="SI_"/>
    <s v="f. Víctimas de hechos violentos asociados al conflicto armado, de acuerdo con las directrices establecidas en la Ley 1448 de 2011 y los Decretos ley 4633, 4634 y 4635 de 2011, así como la Sentencia T-025 de 2004 proferida por la Corte Constitucional y demás desarrollos jurisprudenciales en torno a la existencia de un estado de cosas inconstitucional; para lo cual se considerarán aquellos cuyo estado se encuentre incluido dentro del RUV."/>
    <m/>
    <s v="ABUELO(A)"/>
    <s v="CC"/>
    <n v="53129420"/>
    <s v="YURY"/>
    <s v="ANDREA"/>
    <s v="VELANDIA"/>
    <s v="IPIA"/>
    <d v="1984-10-23T00:00:00"/>
    <s v="COLOMBIA"/>
    <s v="BOGOTÁ"/>
    <s v="BOGOTÁ"/>
    <m/>
    <m/>
    <m/>
    <m/>
    <m/>
    <m/>
    <m/>
    <s v=""/>
    <m/>
    <m/>
    <m/>
    <s v="CC"/>
    <n v="1000691815"/>
    <s v="KAREN"/>
    <s v="JULIED"/>
    <s v="CADENA"/>
    <s v="VELANDIA"/>
    <d v="2002-04-08T00:00:00"/>
    <n v="20"/>
    <s v="COLOMBIA"/>
    <s v="BOGOTÁ"/>
    <s v="BOGOTÁ"/>
    <x v="0"/>
    <x v="6"/>
    <x v="0"/>
    <d v="2022-09-26T00:00:00"/>
    <s v="SI_"/>
    <x v="0"/>
    <m/>
    <s v="NO_"/>
    <m/>
    <m/>
    <m/>
    <m/>
    <m/>
    <s v="NO_"/>
    <m/>
    <m/>
    <m/>
    <x v="2"/>
    <m/>
  </r>
  <r>
    <n v="1013363568"/>
    <x v="1"/>
    <d v="2022-09-26T00:00:00"/>
    <m/>
    <m/>
    <m/>
    <m/>
    <x v="0"/>
    <x v="3"/>
    <x v="3"/>
    <s v="RC"/>
    <s v="SAMANTHA "/>
    <m/>
    <s v="FAJARDO "/>
    <s v="ACOSTA"/>
    <s v="SAMANTHA   FAJARDO  ACOSTA"/>
    <d v="2017-10-09T00:00:00"/>
    <x v="9"/>
    <n v="2"/>
    <n v="17"/>
    <s v="5 AÑOS 2 MESES 17 DIAS "/>
    <x v="2"/>
    <x v="0"/>
    <x v="0"/>
    <s v="ANTIOQUIA"/>
    <s v="MEDELLÍN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ASENTAMIENTO LA ESMERALDA "/>
    <n v="3052428425"/>
    <m/>
    <x v="0"/>
    <s v="NO SE AUTORECONOCE EN NINGUNO DE LOS ANTERIORES"/>
    <x v="1"/>
    <x v="1"/>
    <s v="NO_"/>
    <s v="SI_"/>
    <s v="f. Víctimas de hechos violentos asociados al conflicto armado, de acuerdo con las directrices establecidas en la Ley 1448 de 2011 y los Decretos ley 4633, 4634 y 4635 de 2011, así como la Sentencia T-025 de 2004 proferida por la Corte Constitucional y demás desarrollos jurisprudenciales en torno a la existencia de un estado de cosas inconstitucional; para lo cual se considerarán aquellos cuyo estado se encuentre incluido dentro del RUV."/>
    <m/>
    <s v="MADRE"/>
    <s v="CC"/>
    <n v="1007612780"/>
    <s v="LINA"/>
    <s v="MARCELA"/>
    <s v="FAJARDO"/>
    <s v="ACOSTA"/>
    <m/>
    <m/>
    <m/>
    <m/>
    <m/>
    <m/>
    <m/>
    <m/>
    <m/>
    <m/>
    <m/>
    <s v=""/>
    <m/>
    <m/>
    <m/>
    <s v="CC"/>
    <n v="1007612780"/>
    <s v="LINA"/>
    <s v="MARCELA"/>
    <s v="FAJARDO"/>
    <s v="ACOSTA"/>
    <m/>
    <s v=""/>
    <s v="COLOMBIA"/>
    <s v="BOGOTÁ"/>
    <s v="BOGOTÁ"/>
    <x v="0"/>
    <x v="4"/>
    <x v="0"/>
    <d v="2022-09-26T00:00:00"/>
    <s v="SI_"/>
    <x v="1"/>
    <m/>
    <s v="NO_"/>
    <m/>
    <m/>
    <m/>
    <m/>
    <m/>
    <m/>
    <m/>
    <m/>
    <m/>
    <x v="3"/>
    <m/>
  </r>
  <r>
    <n v="1023047456"/>
    <x v="1"/>
    <d v="2022-09-26T00:00:00"/>
    <m/>
    <m/>
    <m/>
    <m/>
    <x v="0"/>
    <x v="3"/>
    <x v="3"/>
    <s v="RC"/>
    <s v="DANIEL"/>
    <s v="DAVID"/>
    <s v="GUTIERREZ"/>
    <s v="SAMPER"/>
    <s v="DANIEL DAVID GUTIERREZ SAMPER"/>
    <d v="2021-07-23T00:00:00"/>
    <x v="3"/>
    <n v="5"/>
    <n v="3"/>
    <s v="1 AÑOS 5 MESES 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ASENTAMIENTO LA ESMERALDA "/>
    <n v="3014525580"/>
    <m/>
    <x v="0"/>
    <s v="NO SE AUTORECONOCE EN NINGUNO DE LOS ANTERIORES"/>
    <x v="1"/>
    <x v="1"/>
    <s v="NO_"/>
    <s v="SI_"/>
    <m/>
    <m/>
    <s v="MADRE"/>
    <s v="CC"/>
    <n v="57455756"/>
    <s v="MARELBIS"/>
    <m/>
    <s v="GUTIERREZ"/>
    <s v="SAMPER"/>
    <d v="1976-03-21T00:00:00"/>
    <s v="COLOMBIA"/>
    <s v="MAGDALENA"/>
    <s v="SITIONUEVO"/>
    <m/>
    <m/>
    <m/>
    <m/>
    <m/>
    <m/>
    <m/>
    <s v=""/>
    <m/>
    <m/>
    <m/>
    <s v="CC"/>
    <n v="57455756"/>
    <s v="MARELBIS"/>
    <m/>
    <s v="GUTIERREZ"/>
    <s v="SAMPER"/>
    <d v="1976-03-21T00:00:00"/>
    <n v="46"/>
    <s v="COLOMBIA"/>
    <s v="MAGDALENA"/>
    <s v="SITIONUEVO"/>
    <x v="1"/>
    <x v="3"/>
    <x v="0"/>
    <d v="2022-09-26T00:00:00"/>
    <s v="SI_"/>
    <x v="2"/>
    <m/>
    <s v="NO_"/>
    <m/>
    <m/>
    <m/>
    <m/>
    <m/>
    <m/>
    <m/>
    <m/>
    <m/>
    <x v="1"/>
    <m/>
  </r>
  <r>
    <n v="1023042724"/>
    <x v="1"/>
    <d v="2022-09-26T00:00:00"/>
    <m/>
    <m/>
    <m/>
    <m/>
    <x v="0"/>
    <x v="3"/>
    <x v="3"/>
    <s v="RC"/>
    <s v="DANIELA"/>
    <s v="ALEJANDRA"/>
    <s v="MORAN "/>
    <s v="GUTIERREZ"/>
    <s v="DANIELA ALEJANDRA MORAN  GUTIERREZ"/>
    <d v="2019-02-03T00:00:00"/>
    <x v="10"/>
    <n v="10"/>
    <n v="23"/>
    <s v="3 AÑOS 10 MESES 2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ASENTAMIENTO LA ESMERALDA "/>
    <n v="3014525580"/>
    <m/>
    <x v="0"/>
    <s v="NO SE AUTORECONOCE EN NINGUNO DE LOS ANTERIORES"/>
    <x v="1"/>
    <x v="1"/>
    <s v="NO_"/>
    <s v="SI_"/>
    <m/>
    <m/>
    <s v="MADRE"/>
    <s v="CC"/>
    <n v="57455756"/>
    <s v="MARELBIS"/>
    <m/>
    <s v="GUTIERREZ"/>
    <s v="SAMPER"/>
    <d v="1976-03-21T00:00:00"/>
    <s v="COLOMBIA"/>
    <s v="MAGDALENA"/>
    <s v="SITIONUEVO"/>
    <m/>
    <m/>
    <m/>
    <m/>
    <m/>
    <m/>
    <m/>
    <s v=""/>
    <m/>
    <m/>
    <m/>
    <s v="CC"/>
    <n v="57455756"/>
    <s v="MARELBIS"/>
    <m/>
    <s v="GUTIERREZ"/>
    <s v="SAMPER"/>
    <d v="1976-03-21T00:00:00"/>
    <n v="46"/>
    <s v="COLOMBIA"/>
    <s v="MAGDALENA"/>
    <s v="SITIONUEVO"/>
    <x v="1"/>
    <x v="3"/>
    <x v="0"/>
    <d v="2022-09-26T00:00:00"/>
    <s v="SI_"/>
    <x v="2"/>
    <m/>
    <s v="NO_"/>
    <m/>
    <m/>
    <m/>
    <m/>
    <m/>
    <m/>
    <m/>
    <m/>
    <m/>
    <x v="3"/>
    <m/>
  </r>
  <r>
    <n v="1023985961"/>
    <x v="1"/>
    <d v="2022-09-26T00:00:00"/>
    <m/>
    <m/>
    <m/>
    <m/>
    <x v="0"/>
    <x v="3"/>
    <x v="3"/>
    <s v="RC"/>
    <s v="EMMANUEL "/>
    <s v="DE JESUS "/>
    <s v="ITURRIAGO"/>
    <s v="VILLERO"/>
    <s v="EMMANUEL  DE JESUS  ITURRIAGO VILLERO"/>
    <d v="2018-11-13T00:00:00"/>
    <x v="8"/>
    <n v="1"/>
    <n v="13"/>
    <s v="4 AÑOS 1 MESES 13 DIAS "/>
    <x v="2"/>
    <x v="1"/>
    <x v="0"/>
    <s v="BOLÍVAR"/>
    <s v="CARTAGENA DE INDIAS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6"/>
    <m/>
    <s v="ASENTAMIENTO LA ESMERALDA "/>
    <n v="3134754307"/>
    <m/>
    <x v="0"/>
    <s v="NO SE AUTORECONOCE EN NINGUNO DE LOS ANTERIORES"/>
    <x v="1"/>
    <x v="1"/>
    <s v="NO_"/>
    <s v="NO_"/>
    <m/>
    <m/>
    <s v="MADRE"/>
    <s v="CC"/>
    <n v="1101464263"/>
    <s v="MARIA"/>
    <s v="ELENA"/>
    <s v="VILLERO"/>
    <s v="ESTREMOR"/>
    <d v="1990-04-02T00:00:00"/>
    <s v="COLOMBIA"/>
    <s v="SUCRE"/>
    <s v="SAN ONOFRE"/>
    <m/>
    <m/>
    <m/>
    <m/>
    <m/>
    <m/>
    <m/>
    <s v=""/>
    <m/>
    <m/>
    <m/>
    <s v="CC"/>
    <n v="1101464263"/>
    <s v="MARIA"/>
    <s v="ELENA"/>
    <s v="VILLERO"/>
    <s v="ESTREMOR"/>
    <d v="1990-04-02T00:00:00"/>
    <n v="32"/>
    <s v="COLOMBIA"/>
    <s v="SUCRE"/>
    <s v="SAN ONOFRE"/>
    <x v="1"/>
    <x v="1"/>
    <x v="0"/>
    <d v="2022-09-26T00:00:00"/>
    <s v="SI_"/>
    <x v="2"/>
    <m/>
    <s v="NO_"/>
    <m/>
    <m/>
    <m/>
    <n v="3120"/>
    <n v="50"/>
    <m/>
    <n v="6"/>
    <n v="2"/>
    <m/>
    <x v="3"/>
    <m/>
  </r>
  <r>
    <n v="1110181348"/>
    <x v="1"/>
    <d v="2022-09-27T00:00:00"/>
    <m/>
    <m/>
    <m/>
    <m/>
    <x v="0"/>
    <x v="3"/>
    <x v="3"/>
    <s v="RC"/>
    <s v="DAMIAN"/>
    <m/>
    <s v="FERLA"/>
    <s v="LIZCANO"/>
    <s v="DAMIAN  FERLA LIZCANO"/>
    <d v="2021-08-19T00:00:00"/>
    <x v="3"/>
    <n v="4"/>
    <n v="7"/>
    <s v="1 AÑOS 4 MESES 7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16"/>
    <m/>
    <m/>
    <n v="3044926050"/>
    <n v="3132323367"/>
    <x v="0"/>
    <s v="NO SE AUTORECONOCE EN NINGUNO DE LOS ANTERIORES"/>
    <x v="0"/>
    <x v="10"/>
    <s v="NO_"/>
    <s v="NO_"/>
    <m/>
    <m/>
    <s v="PADRE"/>
    <s v="CC"/>
    <n v="1111262447"/>
    <s v="MARIA"/>
    <s v="ESTEFANIA"/>
    <s v="LIZCANO"/>
    <s v="GUTIERREZ"/>
    <d v="1997-10-24T00:00:00"/>
    <s v="COLOMBIA"/>
    <s v="TOLIMA"/>
    <s v="ORTEGA"/>
    <s v="CC"/>
    <n v="1006093253"/>
    <s v="ALEXIS "/>
    <m/>
    <s v="FERLA"/>
    <s v="ORTIZ"/>
    <d v="1999-03-06T00:00:00"/>
    <n v="23"/>
    <s v="COLOMBIA"/>
    <s v="TOLIMA"/>
    <s v="ORTEGA"/>
    <s v="CC"/>
    <n v="1111262447"/>
    <s v="MARIA"/>
    <s v="ESTEFANIA"/>
    <s v="LIZCANO"/>
    <s v="GUTIERREZ"/>
    <d v="1997-10-24T00:00:00"/>
    <n v="25"/>
    <s v="COLOMBIA"/>
    <s v="TOLIMA"/>
    <s v="ORTEGA"/>
    <x v="1"/>
    <x v="22"/>
    <x v="0"/>
    <m/>
    <s v="SI_"/>
    <x v="2"/>
    <n v="2"/>
    <s v="NO_"/>
    <m/>
    <m/>
    <m/>
    <n v="3255"/>
    <m/>
    <m/>
    <n v="3"/>
    <s v="HASTA EL MOMENTO"/>
    <m/>
    <x v="1"/>
    <m/>
  </r>
  <r>
    <n v="1028674952"/>
    <x v="1"/>
    <d v="2022-09-27T00:00:00"/>
    <m/>
    <m/>
    <m/>
    <m/>
    <x v="0"/>
    <x v="8"/>
    <x v="8"/>
    <s v="RC"/>
    <s v="ANGELES"/>
    <s v="VICTORIA"/>
    <s v="LINARES"/>
    <s v="PEREZ"/>
    <s v="ANGELES VICTORIA LINARES PEREZ"/>
    <d v="2020-12-01T00:00:00"/>
    <x v="2"/>
    <n v="0"/>
    <n v="25"/>
    <s v="2 AÑOS 0 MESES 2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s v="TIHUAQUE"/>
    <s v="KR13 F BIS ESTE 89 SUR 30"/>
    <n v="3183242675"/>
    <n v="3144933130"/>
    <x v="0"/>
    <s v="NO SE AUTORECONOCE EN NINGUNO DE LOS ANTERIORES"/>
    <x v="2"/>
    <x v="1"/>
    <m/>
    <m/>
    <m/>
    <m/>
    <s v="MADRE"/>
    <s v="SIN DOCUMENTO"/>
    <m/>
    <s v="MARIA DE LOS ANGELES"/>
    <m/>
    <s v="LINARES "/>
    <s v="PEREZ"/>
    <m/>
    <s v="VENEZUELA"/>
    <s v="EXTERIOR"/>
    <s v="EXTERIOR"/>
    <m/>
    <m/>
    <m/>
    <m/>
    <m/>
    <m/>
    <m/>
    <s v=""/>
    <m/>
    <m/>
    <m/>
    <s v="SIN DOCUMENTO"/>
    <m/>
    <s v="MARIA DE LOS ANGELES"/>
    <m/>
    <s v="LINARES"/>
    <s v="PEREZ"/>
    <m/>
    <s v=""/>
    <s v="VENEZUELA"/>
    <s v="EXTERIOR"/>
    <s v="EXTERIOR"/>
    <x v="1"/>
    <x v="1"/>
    <x v="0"/>
    <s v="21/09/2022"/>
    <s v="SI_"/>
    <x v="1"/>
    <m/>
    <m/>
    <m/>
    <m/>
    <m/>
    <m/>
    <m/>
    <m/>
    <m/>
    <m/>
    <m/>
    <x v="1"/>
    <m/>
  </r>
  <r>
    <n v="1243760535"/>
    <x v="1"/>
    <d v="2022-10-25T00:00:00"/>
    <m/>
    <m/>
    <m/>
    <m/>
    <x v="0"/>
    <x v="8"/>
    <x v="8"/>
    <s v="RC"/>
    <s v="ERICK"/>
    <s v="JAMPIER"/>
    <s v="FONSECA"/>
    <s v="LAVACUDE"/>
    <s v="ERICK JAMPIER FONSECA LAVACUDE"/>
    <d v="2021-06-22T00:00:00"/>
    <x v="3"/>
    <n v="6"/>
    <n v="4"/>
    <s v="1 AÑOS 6 MESES 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s v="TIHUAQUE"/>
    <s v="KR 12 A NUMERO 88 F 51 SUR"/>
    <n v="3102328918"/>
    <n v="3208076013"/>
    <x v="0"/>
    <s v="NO SE AUTORECONOCE EN NINGUNO DE LOS ANTERIORES"/>
    <x v="1"/>
    <x v="1"/>
    <s v="NO_"/>
    <s v="NO_"/>
    <s v="o. Ingresos iguales o inferiores a 1.5 Smlv"/>
    <m/>
    <s v="ABUELO(A)"/>
    <s v="CC"/>
    <n v="23522682"/>
    <s v="LUCILA"/>
    <m/>
    <s v="REAY"/>
    <s v="MARTINEZ"/>
    <d v="1977-08-26T00:00:00"/>
    <s v="COLOMBIA"/>
    <s v="BOYACÁ"/>
    <s v="CHITA"/>
    <m/>
    <m/>
    <m/>
    <m/>
    <m/>
    <m/>
    <m/>
    <s v=""/>
    <m/>
    <m/>
    <m/>
    <s v="CC"/>
    <n v="1000804663"/>
    <s v="LUZ"/>
    <s v="LEIDY"/>
    <s v="LAVACUDE"/>
    <s v="REAY"/>
    <d v="2000-09-09T00:00:00"/>
    <n v="22"/>
    <s v="COLOMBIA"/>
    <s v="BOGOTÁ"/>
    <s v="BOGOTÁ"/>
    <x v="0"/>
    <x v="6"/>
    <x v="0"/>
    <d v="2022-10-21T00:00:00"/>
    <s v="SI_"/>
    <x v="2"/>
    <m/>
    <s v="SI_"/>
    <m/>
    <m/>
    <n v="37"/>
    <s v="1990 GR"/>
    <s v="45 CM"/>
    <m/>
    <n v="7"/>
    <m/>
    <m/>
    <x v="1"/>
    <m/>
  </r>
  <r>
    <n v="1023045866"/>
    <x v="0"/>
    <d v="2022-09-27T00:00:00"/>
    <d v="2022-10-24T00:00:00"/>
    <m/>
    <e v="#N/A"/>
    <m/>
    <x v="0"/>
    <x v="2"/>
    <x v="2"/>
    <s v="RC"/>
    <s v="EVAN"/>
    <s v="RICARDO"/>
    <s v="SALAMANCA"/>
    <s v="SANABRIA"/>
    <s v="EVAN RICARDO SALAMANCA SANABRIA"/>
    <s v="29/11/2020"/>
    <x v="2"/>
    <n v="0"/>
    <n v="27"/>
    <s v="2 AÑOS 0 MESES 27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8"/>
    <s v="TIHUAQUE"/>
    <s v="KR 23 ESTE 92 SUR 78 AP 202"/>
    <n v="3209531820"/>
    <n v="3102760861"/>
    <x v="0"/>
    <s v="NO SE AUTORECONOCE EN NINGUNO DE LOS ANTERIORES"/>
    <x v="0"/>
    <x v="14"/>
    <m/>
    <m/>
    <m/>
    <m/>
    <s v="MADRE"/>
    <s v="CC"/>
    <n v="1007695229"/>
    <s v="MICHELL"/>
    <s v="DAYANNA"/>
    <s v="SANABRIA"/>
    <s v="DUARTE"/>
    <s v="29/06/2000"/>
    <s v="COLOMBIA"/>
    <s v="BOGOTÁ"/>
    <s v="BOGOTÁ"/>
    <m/>
    <m/>
    <m/>
    <m/>
    <m/>
    <m/>
    <m/>
    <s v=""/>
    <m/>
    <m/>
    <m/>
    <s v="CC"/>
    <n v="1007695229"/>
    <s v="MICHELL"/>
    <s v="DAYANNA"/>
    <s v="SANABRIA"/>
    <s v="DUARTE"/>
    <s v="29/06/2000"/>
    <n v="22"/>
    <s v="COLOMBIA"/>
    <s v="BOGOTÁ"/>
    <s v="BOGOTÁ"/>
    <x v="0"/>
    <x v="6"/>
    <x v="0"/>
    <s v="21/09/2022"/>
    <s v="SI_"/>
    <x v="2"/>
    <m/>
    <m/>
    <m/>
    <m/>
    <m/>
    <m/>
    <m/>
    <m/>
    <m/>
    <m/>
    <m/>
    <x v="1"/>
    <m/>
  </r>
  <r>
    <n v="1028675486"/>
    <x v="1"/>
    <d v="2022-09-27T00:00:00"/>
    <m/>
    <m/>
    <m/>
    <m/>
    <x v="0"/>
    <x v="8"/>
    <x v="8"/>
    <s v="RC"/>
    <s v="EIMY"/>
    <s v="JULIETH"/>
    <s v="PAREDES"/>
    <s v="DUGARTE"/>
    <s v="EIMY JULIETH PAREDES DUGARTE"/>
    <d v="2021-03-29T00:00:00"/>
    <x v="3"/>
    <n v="8"/>
    <n v="27"/>
    <s v="1 AÑOS 8 MESES 2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KR 13 F BIS ESTE NO 89 SUR 50"/>
    <n v="3112390714"/>
    <n v="3045754779"/>
    <x v="0"/>
    <s v="NO SE AUTORECONOCE EN NINGUNO DE LOS ANTERIORES"/>
    <x v="1"/>
    <x v="1"/>
    <s v="NO_"/>
    <s v="NO_"/>
    <s v="o. Ingresos iguales o inferiores a 1.5 Smlv"/>
    <m/>
    <s v="MADRE"/>
    <s v="SIN DOCUMENTO"/>
    <m/>
    <s v="YUDIANIS"/>
    <s v="DEL CARMEN"/>
    <s v="PAREDES"/>
    <s v="DUGARTE"/>
    <m/>
    <s v="VENEZUELA"/>
    <s v="EXTERIOR"/>
    <s v="EXTERIOR"/>
    <m/>
    <m/>
    <m/>
    <m/>
    <m/>
    <m/>
    <m/>
    <s v=""/>
    <m/>
    <m/>
    <m/>
    <s v="SIN DOCUMENTO"/>
    <m/>
    <s v="YUDIANIS"/>
    <s v="DEL CARMEN"/>
    <s v="PAREDES"/>
    <s v="DUGARTE"/>
    <m/>
    <s v=""/>
    <s v="VENEZUELA"/>
    <s v="EXTERIOR"/>
    <s v="EXTERIOR"/>
    <x v="1"/>
    <x v="1"/>
    <x v="0"/>
    <d v="2022-09-21T00:00:00"/>
    <s v="SI_"/>
    <x v="2"/>
    <n v="1"/>
    <s v="NO_"/>
    <m/>
    <m/>
    <n v="40"/>
    <n v="2655"/>
    <n v="50"/>
    <m/>
    <n v="6"/>
    <m/>
    <m/>
    <x v="1"/>
    <m/>
  </r>
  <r>
    <n v="6856169"/>
    <x v="1"/>
    <d v="2022-09-27T00:00:00"/>
    <m/>
    <m/>
    <m/>
    <m/>
    <x v="0"/>
    <x v="8"/>
    <x v="8"/>
    <s v="PPT"/>
    <s v="CESAR"/>
    <s v="AUGUSTO"/>
    <s v="FUENMAYOR"/>
    <s v="MENDOZA"/>
    <s v="CESAR AUGUSTO FUENMAYOR MENDOZA"/>
    <d v="2020-12-10T00:00:00"/>
    <x v="2"/>
    <n v="0"/>
    <n v="16"/>
    <s v="2 AÑOS 0 MESES 16 DIAS "/>
    <x v="2"/>
    <x v="1"/>
    <x v="1"/>
    <s v="EXTERIOR"/>
    <s v="EXTERIOR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ALLE 90 B SUR 19 ESTE 77 PISO 2"/>
    <n v="3132723737"/>
    <n v="3224502439"/>
    <x v="0"/>
    <s v="NO SE AUTORECONOCE EN NINGUNO DE LOS ANTERIORES"/>
    <x v="1"/>
    <x v="1"/>
    <s v="NO_"/>
    <s v="NO_"/>
    <s v="o. Ingresos iguales o inferiores a 1.5 Smlv"/>
    <m/>
    <s v="MADRE"/>
    <s v="PEP"/>
    <n v="6855717"/>
    <s v="GEORGINA"/>
    <s v="MARIA"/>
    <s v="MENDOZA"/>
    <s v="VASQUEZ"/>
    <d v="2002-12-18T00:00:00"/>
    <s v="VENEZUELA"/>
    <s v="EXTERIOR"/>
    <s v="EXTERIOR"/>
    <s v="PEP"/>
    <n v="6856222"/>
    <s v="WILMER"/>
    <s v="AUGUSTO"/>
    <s v="FUENMAYOR"/>
    <s v="RODRIGUEZ"/>
    <d v="2004-04-27T00:00:00"/>
    <n v="18"/>
    <s v="VENEZUELA"/>
    <s v="EXTERIOR"/>
    <s v="EXTERIOR"/>
    <s v="PEP"/>
    <n v="6855717"/>
    <s v="GEORGINA"/>
    <s v="MARIA"/>
    <s v="MENDOZA"/>
    <s v="VASQUEZ"/>
    <d v="2002-12-18T00:00:00"/>
    <n v="20"/>
    <s v="VENEZUELA"/>
    <s v="EXTERIOR"/>
    <s v="EXTERIOR"/>
    <x v="3"/>
    <x v="12"/>
    <x v="0"/>
    <d v="2022-09-21T00:00:00"/>
    <s v="SI_"/>
    <x v="1"/>
    <m/>
    <s v="NO_"/>
    <m/>
    <m/>
    <n v="42"/>
    <n v="3050"/>
    <n v="51"/>
    <m/>
    <n v="5"/>
    <m/>
    <m/>
    <x v="1"/>
    <m/>
  </r>
  <r>
    <n v="1245078145"/>
    <x v="1"/>
    <d v="2022-09-27T00:00:00"/>
    <m/>
    <m/>
    <m/>
    <m/>
    <x v="0"/>
    <x v="7"/>
    <x v="7"/>
    <s v="RC"/>
    <s v="YULI"/>
    <s v="SARAY"/>
    <s v="GONZALEZ"/>
    <s v="BULLA"/>
    <s v="YULI SARAY GONZALEZ BULLA"/>
    <d v="2020-10-20T00:00:00"/>
    <x v="2"/>
    <n v="2"/>
    <n v="6"/>
    <s v="2 AÑOS 2 MESES 6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ARRERA 20 ESTE NO 92-16 SUR"/>
    <n v="3197696112"/>
    <n v="3142562409"/>
    <x v="0"/>
    <s v="NO SE AUTORECONOCE EN NINGUNO DE LOS ANTERIORES"/>
    <x v="1"/>
    <x v="1"/>
    <s v="NO_"/>
    <s v="NO_"/>
    <s v="o. Ingresos iguales o inferiores a 1.5 Smlv"/>
    <m/>
    <s v="MADRE"/>
    <s v="CC"/>
    <n v="52861390"/>
    <s v="DIANA"/>
    <s v="CAROLINA"/>
    <s v="BULLA"/>
    <s v="SALGAR"/>
    <d v="1983-01-24T00:00:00"/>
    <s v="COLOMBIA"/>
    <s v="BOGOTÁ"/>
    <s v="BOGOTÁ"/>
    <m/>
    <m/>
    <m/>
    <m/>
    <m/>
    <m/>
    <m/>
    <s v=""/>
    <m/>
    <m/>
    <m/>
    <s v="CC"/>
    <n v="52861390"/>
    <s v="DIANA"/>
    <s v="CAROLINA"/>
    <s v="BULLA"/>
    <s v="SALGAR"/>
    <d v="1983-01-24T00:00:00"/>
    <n v="39"/>
    <s v="COLOMBIA"/>
    <s v="BOGOTÁ"/>
    <s v="BOGOTÁ"/>
    <x v="1"/>
    <x v="1"/>
    <x v="0"/>
    <d v="2022-09-21T00:00:00"/>
    <s v="SI_"/>
    <x v="2"/>
    <n v="1"/>
    <s v="NO_"/>
    <m/>
    <m/>
    <n v="39"/>
    <n v="2245"/>
    <n v="49"/>
    <m/>
    <n v="5"/>
    <m/>
    <m/>
    <x v="1"/>
    <m/>
  </r>
  <r>
    <n v="1016750611"/>
    <x v="1"/>
    <d v="2022-12-01T00:00:00"/>
    <m/>
    <m/>
    <m/>
    <n v="1"/>
    <x v="0"/>
    <x v="7"/>
    <x v="7"/>
    <s v="RC"/>
    <s v="ANDRES "/>
    <s v="MATIAS"/>
    <s v="PERDOMO"/>
    <s v="BOLIVAR"/>
    <s v="ANDRES  MATIAS PERDOMO BOLIVAR"/>
    <d v="2020-09-24T00:00:00"/>
    <x v="2"/>
    <n v="3"/>
    <n v="2"/>
    <s v="2 AÑOS 3 MESES 2 DIAS "/>
    <x v="2"/>
    <x v="1"/>
    <x v="0"/>
    <s v="BOGOTÁ"/>
    <s v="BOGOTÁ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63"/>
    <m/>
    <s v="KRA 13F BIS ESTE#90BSUR-16"/>
    <n v="3202977325"/>
    <m/>
    <x v="0"/>
    <s v="NO SE AUTORECONOCE EN NINGUNO DE LOS ANTERIORES"/>
    <x v="0"/>
    <x v="3"/>
    <s v="NO_"/>
    <s v="NO_"/>
    <s v="a. Pertenecientes a hogares con puntaje SISBEN"/>
    <m/>
    <s v="ABUELO(A)"/>
    <s v="CC"/>
    <n v="53044118"/>
    <s v="MILI"/>
    <s v="JOHANNA"/>
    <s v="GUTIERREZ"/>
    <s v="ARIAS"/>
    <d v="1983-06-29T00:00:00"/>
    <s v="COLOMBIA"/>
    <s v="BOGOTÁ"/>
    <s v="BOGOTÁ"/>
    <m/>
    <m/>
    <m/>
    <m/>
    <m/>
    <m/>
    <m/>
    <s v=""/>
    <m/>
    <m/>
    <m/>
    <s v="CC"/>
    <n v="1000778180"/>
    <s v="KAREN"/>
    <s v="MICHELLE"/>
    <s v="BOLIVAR"/>
    <s v="GUTIERREZ"/>
    <d v="2003-06-06T00:00:00"/>
    <n v="19"/>
    <s v="COLOMBIA"/>
    <s v="BOGOTÁ"/>
    <s v="BOGOTÁ"/>
    <x v="0"/>
    <x v="6"/>
    <x v="0"/>
    <d v="2022-11-18T00:00:00"/>
    <s v="SI_"/>
    <x v="2"/>
    <n v="1"/>
    <s v="SI_"/>
    <s v="N/A"/>
    <m/>
    <n v="34"/>
    <n v="2075"/>
    <n v="49"/>
    <m/>
    <n v="6"/>
    <n v="24"/>
    <s v="N/A"/>
    <x v="1"/>
    <m/>
  </r>
  <r>
    <n v="1016752177"/>
    <x v="0"/>
    <d v="2022-09-27T00:00:00"/>
    <d v="2022-12-01T00:00:00"/>
    <m/>
    <m/>
    <m/>
    <x v="0"/>
    <x v="7"/>
    <x v="7"/>
    <s v="RC"/>
    <s v="SALOME"/>
    <m/>
    <s v="ROMEO"/>
    <s v="ROMERO"/>
    <s v="SALOME  ROMEO ROMERO"/>
    <d v="2021-06-29T00:00:00"/>
    <x v="3"/>
    <n v="5"/>
    <n v="27"/>
    <s v="1 AÑOS 5 MESES 27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KR 13 F BIS ESTE NO H SUR 11"/>
    <n v="3203440570"/>
    <n v="3057559308"/>
    <x v="0"/>
    <s v="NO SE AUTORECONOCE EN NINGUNO DE LOS ANTERIORES"/>
    <x v="1"/>
    <x v="1"/>
    <s v="NO_"/>
    <s v="NO_"/>
    <s v="o. Ingresos iguales o inferiores a 1.5 Smlv"/>
    <m/>
    <s v="MADRE"/>
    <s v="CC"/>
    <n v="52954889"/>
    <s v="FRANCYS"/>
    <s v="PAOLA"/>
    <s v="ROMERO"/>
    <s v="LONDOÑO"/>
    <d v="1983-06-12T00:00:00"/>
    <s v="COLOMBIA"/>
    <s v="BOGOTÁ"/>
    <s v="BOGOTÁ"/>
    <s v="CC"/>
    <n v="80116178"/>
    <s v="JESUS"/>
    <s v="ANTONIO"/>
    <s v="ROMERO"/>
    <s v="FORERO"/>
    <d v="1980-10-12T00:00:00"/>
    <n v="42"/>
    <s v="COLOMBIA"/>
    <s v="BOYACÁ"/>
    <s v="SAN JOSÉ DE PARE"/>
    <s v="CC"/>
    <n v="52954889"/>
    <s v="FRANCYS"/>
    <s v="PAOLA"/>
    <s v="ROMERO"/>
    <s v="LONDOÑO"/>
    <d v="1983-06-12T00:00:00"/>
    <n v="39"/>
    <s v="COLOMBIA"/>
    <s v="BOGOTÁ"/>
    <s v="BOGOTÁ"/>
    <x v="0"/>
    <x v="5"/>
    <x v="0"/>
    <d v="2022-09-21T00:00:00"/>
    <s v="SI_"/>
    <x v="2"/>
    <n v="7"/>
    <s v="NO_"/>
    <m/>
    <m/>
    <n v="37"/>
    <n v="2970"/>
    <n v="49"/>
    <m/>
    <n v="5"/>
    <m/>
    <m/>
    <x v="1"/>
    <m/>
  </r>
  <r>
    <n v="1023990109"/>
    <x v="1"/>
    <d v="2022-12-01T00:00:00"/>
    <m/>
    <m/>
    <m/>
    <m/>
    <x v="0"/>
    <x v="7"/>
    <x v="7"/>
    <s v="RC"/>
    <s v="KAROL"/>
    <s v="MICHELL"/>
    <s v="RIVERA"/>
    <s v="HERNANDEZ"/>
    <s v="KAROL MICHELL RIVERA HERNANDEZ"/>
    <d v="2022-04-07T00:00:00"/>
    <x v="1"/>
    <n v="8"/>
    <n v="19"/>
    <s v="0 AÑOS 8 MESES 19 DIAS "/>
    <x v="2"/>
    <x v="0"/>
    <x v="0"/>
    <s v="BOGOTÁ"/>
    <s v="BOGOTÁ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74"/>
    <m/>
    <s v="KR 12 B ESTE 88 F SUR 48"/>
    <n v="3014720298"/>
    <m/>
    <x v="0"/>
    <s v="NO SE AUTORECONOCE EN NINGUNO DE LOS ANTERIORES"/>
    <x v="1"/>
    <x v="1"/>
    <s v="NO_"/>
    <s v="NO_"/>
    <s v="o. Ingresos iguales o inferiores a 1.5 Smlv"/>
    <m/>
    <s v="MADRE"/>
    <s v="CC"/>
    <n v="1026304869"/>
    <s v="CAROLINA"/>
    <m/>
    <s v="HERNANDEZ"/>
    <s v="MONROY"/>
    <d v="1999-01-26T00:00:00"/>
    <s v="COLOMBIA"/>
    <s v="BOGOTÁ"/>
    <s v="BOGOTÁ"/>
    <m/>
    <m/>
    <m/>
    <m/>
    <m/>
    <m/>
    <m/>
    <s v=""/>
    <m/>
    <m/>
    <m/>
    <s v="CC"/>
    <n v="1026304869"/>
    <s v="CAROLINA"/>
    <m/>
    <s v="HERNANDEZ"/>
    <s v="MONROY"/>
    <d v="1999-01-26T00:00:00"/>
    <n v="23"/>
    <s v="COLOMBIA"/>
    <s v="BOGOTÁ"/>
    <s v="BOGOTÁ"/>
    <x v="1"/>
    <x v="13"/>
    <x v="0"/>
    <s v="28/11//2022"/>
    <s v="SI_"/>
    <x v="2"/>
    <n v="1"/>
    <s v="NO_"/>
    <s v="N/A"/>
    <m/>
    <n v="38"/>
    <n v="3400"/>
    <n v="50"/>
    <s v="SI_"/>
    <n v="6"/>
    <s v="ACTUAL "/>
    <s v="N/A"/>
    <x v="2"/>
    <m/>
  </r>
  <r>
    <n v="1013697728"/>
    <x v="0"/>
    <d v="2022-09-27T00:00:00"/>
    <d v="2022-12-01T00:00:00"/>
    <m/>
    <m/>
    <m/>
    <x v="0"/>
    <x v="7"/>
    <x v="7"/>
    <s v="RC"/>
    <s v="AARON"/>
    <s v="SANTIAGO"/>
    <s v="PAEZ"/>
    <s v="CASTAÑO"/>
    <s v="AARON SANTIAGO PAEZ CASTAÑO"/>
    <d v="2021-03-02T00:00:00"/>
    <x v="3"/>
    <n v="9"/>
    <n v="24"/>
    <s v="1 AÑOS 9 MESES 24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ZONA SIN LEGALIZAR"/>
    <n v="3002457061"/>
    <n v="3212611110"/>
    <x v="0"/>
    <s v="NO SE AUTORECONOCE EN NINGUNO DE LOS ANTERIORES"/>
    <x v="1"/>
    <x v="1"/>
    <s v="NO_"/>
    <s v="NO_"/>
    <s v="o. Ingresos iguales o inferiores a 1.5 Smlv"/>
    <m/>
    <s v="MADRE"/>
    <s v="CC"/>
    <n v="1000781328"/>
    <s v="LAURA"/>
    <s v="VALENTINA"/>
    <s v="CASTAÑO"/>
    <s v="REINA"/>
    <d v="2001-01-17T00:00:00"/>
    <s v="COLOMBIA"/>
    <s v="BOGOTÁ"/>
    <s v="BOGOTÁ"/>
    <m/>
    <m/>
    <m/>
    <m/>
    <m/>
    <m/>
    <m/>
    <s v=""/>
    <m/>
    <m/>
    <m/>
    <s v="CC"/>
    <n v="1000781328"/>
    <s v="LAURA"/>
    <s v="VALENTINA"/>
    <s v="CASTAÑO"/>
    <s v="REINA"/>
    <d v="2001-01-17T00:00:00"/>
    <n v="21"/>
    <s v="COLOMBIA"/>
    <s v="BOGOTÁ"/>
    <s v="BOGOTÁ"/>
    <x v="1"/>
    <x v="1"/>
    <x v="0"/>
    <d v="2022-09-21T00:00:00"/>
    <s v="SI_"/>
    <x v="2"/>
    <n v="1"/>
    <s v="NO_"/>
    <m/>
    <m/>
    <n v="40"/>
    <n v="2920"/>
    <n v="39"/>
    <m/>
    <n v="5"/>
    <m/>
    <m/>
    <x v="1"/>
    <m/>
  </r>
  <r>
    <n v="1023989585"/>
    <x v="1"/>
    <d v="2022-10-10T00:00:00"/>
    <m/>
    <m/>
    <m/>
    <m/>
    <x v="0"/>
    <x v="8"/>
    <x v="8"/>
    <s v="RC"/>
    <s v="EMILY"/>
    <s v="SOFIA"/>
    <s v="DIMATE"/>
    <s v="VALERO"/>
    <s v="EMILY SOFIA DIMATE VALERO"/>
    <d v="2021-11-19T00:00:00"/>
    <x v="3"/>
    <n v="1"/>
    <n v="7"/>
    <s v="1 AÑOS 1 MESES 7 DIAS "/>
    <x v="2"/>
    <x v="0"/>
    <x v="0"/>
    <s v="BOGOTÁ"/>
    <s v="BOGOTÁ"/>
    <x v="0"/>
    <s v="NO_"/>
    <s v="NO_"/>
    <s v="NO_"/>
    <s v="NO_"/>
    <s v="NO_"/>
    <s v="NO_"/>
    <s v="NO_"/>
    <s v="NO_"/>
    <s v="NO_"/>
    <s v="NO_"/>
    <m/>
    <s v="COLOMBIA"/>
    <s v="BOGOTÁ"/>
    <x v="0"/>
    <s v="LOCALIDAD"/>
    <x v="0"/>
    <x v="74"/>
    <m/>
    <s v="KR 12 H ESTE 88 F SUR 0091 0100003"/>
    <n v="3222396328"/>
    <n v="3103052784"/>
    <x v="0"/>
    <s v="NO SE AUTORECONOCE EN NINGUNO DE LOS ANTERIORES"/>
    <x v="1"/>
    <x v="22"/>
    <s v="NO_"/>
    <s v="NO_"/>
    <s v="o. Ingresos iguales o inferiores a 1.5 Smlv"/>
    <m/>
    <s v="MADRE"/>
    <s v="CC"/>
    <n v="1007103675"/>
    <s v="ISA"/>
    <s v="CATERINE"/>
    <s v="VALERO"/>
    <s v="RAMIREZ"/>
    <d v="2003-09-02T00:00:00"/>
    <s v="COLOMBIA"/>
    <s v="BOGOTÁ"/>
    <s v="BOGOTÁ"/>
    <s v="CC"/>
    <n v="1003527753"/>
    <s v="JUAN"/>
    <s v="CAMILO"/>
    <s v="DIMATE"/>
    <s v="SANCHEZ"/>
    <d v="2001-04-30T00:00:00"/>
    <n v="21"/>
    <s v="COLOMBIA"/>
    <s v="CUNDINAMARCA"/>
    <s v="FUNZA"/>
    <s v="CC"/>
    <n v="1007103675"/>
    <s v="ISA"/>
    <s v="CATERINE"/>
    <s v="VALERO"/>
    <s v="RAMIREZ"/>
    <d v="2003-09-02T00:00:00"/>
    <n v="19"/>
    <s v="COLOMBIA"/>
    <s v="BOGOTÁ"/>
    <s v="BOGOTÁ"/>
    <x v="1"/>
    <x v="13"/>
    <x v="0"/>
    <d v="2022-10-10T00:00:00"/>
    <s v="SI_"/>
    <x v="4"/>
    <m/>
    <s v="SI_"/>
    <s v="SI"/>
    <m/>
    <n v="35"/>
    <n v="1500"/>
    <n v="50"/>
    <s v="NO"/>
    <s v="4 MESES"/>
    <s v="4 MESES"/>
    <m/>
    <x v="1"/>
    <m/>
  </r>
  <r>
    <n v="1072433413"/>
    <x v="0"/>
    <d v="2022-09-27T00:00:00"/>
    <d v="2022-10-10T00:00:00"/>
    <e v="#REF!"/>
    <e v="#N/A"/>
    <m/>
    <x v="0"/>
    <x v="7"/>
    <x v="7"/>
    <s v="RC"/>
    <s v="SOL"/>
    <s v="DAHIANN"/>
    <s v="MARTINEZ"/>
    <s v="GARCIA"/>
    <s v="SOL DAHIANN MARTINEZ GARCIA"/>
    <d v="2021-11-13T00:00:00"/>
    <x v="3"/>
    <n v="1"/>
    <n v="13"/>
    <s v="1 AÑOS 1 MESES 1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KR 12 G ESTE NO 89 SUR 06 PI 2"/>
    <n v="3114121688"/>
    <n v="3103540972"/>
    <x v="0"/>
    <s v="NO SE AUTORECONOCE EN NINGUNO DE LOS ANTERIORES"/>
    <x v="1"/>
    <x v="1"/>
    <s v="NO_"/>
    <s v="NO_"/>
    <s v="o. Ingresos iguales o inferiores a 1.5 Smlv"/>
    <m/>
    <s v="MADRE"/>
    <s v="CC"/>
    <n v="1007155571"/>
    <s v="YEIMI"/>
    <s v="FERNANDA "/>
    <s v="GARCIA"/>
    <s v="FAJARDO"/>
    <d v="2002-04-25T00:00:00"/>
    <s v="COLOMBIA"/>
    <s v="CUNDINAMARCA"/>
    <s v="LA MESA"/>
    <s v="CC"/>
    <n v="1010141347"/>
    <s v="HEINEMAN"/>
    <s v="ENRIQUE"/>
    <s v="MARTINEZ"/>
    <s v="TOVAR"/>
    <d v="2000-09-16T00:00:00"/>
    <n v="22"/>
    <s v="COLOMBIA"/>
    <s v="LA_GUAJIRA"/>
    <s v="URIBIA"/>
    <s v="CC"/>
    <n v="1007155571"/>
    <s v="YEIMI"/>
    <s v="FERNANDA "/>
    <s v="GARCIA"/>
    <s v="FAJARDO"/>
    <d v="2002-04-25T00:00:00"/>
    <n v="20"/>
    <s v="COLOMBIA"/>
    <s v="CUNDINAMARCA"/>
    <s v="LA MESA"/>
    <x v="1"/>
    <x v="30"/>
    <x v="0"/>
    <d v="2022-09-21T00:00:00"/>
    <s v="SI_"/>
    <x v="2"/>
    <n v="5"/>
    <s v="NO_"/>
    <m/>
    <m/>
    <n v="38"/>
    <n v="2860"/>
    <n v="48"/>
    <m/>
    <n v="5"/>
    <m/>
    <m/>
    <x v="1"/>
    <m/>
  </r>
  <r>
    <n v="1024611079"/>
    <x v="1"/>
    <d v="2022-12-01T00:00:00"/>
    <m/>
    <m/>
    <m/>
    <m/>
    <x v="0"/>
    <x v="2"/>
    <x v="2"/>
    <s v="RC"/>
    <s v="ESTEFANI "/>
    <s v="SAMANTHA"/>
    <s v="TORRES"/>
    <s v="SUANCA"/>
    <s v="ESTEFANI  SAMANTHA TORRES SUANCA"/>
    <d v="2021-04-14T00:00:00"/>
    <x v="3"/>
    <n v="8"/>
    <n v="12"/>
    <s v="1 AÑOS 8 MESES 1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KR 12B ESTE 88 F SUR "/>
    <n v="3202252017"/>
    <m/>
    <x v="0"/>
    <s v="NO SE AUTORECONOCE EN NINGUNO DE LOS ANTERIORES"/>
    <x v="1"/>
    <x v="1"/>
    <s v="NO_"/>
    <s v="NO_"/>
    <s v="o. Ingresos iguales o inferiores a 1.5 Smlv"/>
    <m/>
    <s v="MADRE"/>
    <s v="CC"/>
    <n v="1032363567"/>
    <s v="YESICA"/>
    <s v="CATERINE"/>
    <s v="SUANCA"/>
    <s v="SUSA"/>
    <d v="2002-11-18T00:00:00"/>
    <s v="COLOMBIA"/>
    <s v="BOGOTÁ"/>
    <s v="BOGOTÁ"/>
    <s v="CC"/>
    <n v="1001272721"/>
    <s v="WILMER"/>
    <s v="STIVEN"/>
    <s v="TORRES"/>
    <s v="BARRAGAN"/>
    <d v="2000-07-15T00:00:00"/>
    <n v="22"/>
    <s v="COLOMBIA"/>
    <s v="BOGOTÁ"/>
    <s v="BOGOTÁ"/>
    <s v="CC"/>
    <n v="1032363567"/>
    <s v="YESICA"/>
    <s v="CATERINE"/>
    <s v="SUANCA"/>
    <s v="SUSA"/>
    <d v="2002-11-16T00:00:00"/>
    <n v="20"/>
    <s v="COLOMBIA"/>
    <s v="BOGOTÁ"/>
    <s v="BOGOTÁ"/>
    <x v="1"/>
    <x v="1"/>
    <x v="0"/>
    <d v="2022-11-25T00:00:00"/>
    <s v="SI_"/>
    <x v="2"/>
    <n v="1"/>
    <m/>
    <m/>
    <m/>
    <n v="40"/>
    <n v="2540"/>
    <n v="48"/>
    <m/>
    <n v="6"/>
    <n v="6"/>
    <m/>
    <x v="1"/>
    <m/>
  </r>
  <r>
    <n v="1023988244"/>
    <x v="0"/>
    <d v="2022-09-27T00:00:00"/>
    <d v="2022-12-01T00:00:00"/>
    <m/>
    <m/>
    <m/>
    <x v="0"/>
    <x v="8"/>
    <x v="8"/>
    <s v="RC"/>
    <s v="MIA"/>
    <s v="SAMANTHA"/>
    <s v="VENERO"/>
    <s v="HERRAN"/>
    <s v="MIA SAMANTHA VENERO HERRAN"/>
    <d v="2021-03-25T00:00:00"/>
    <x v="3"/>
    <n v="9"/>
    <n v="1"/>
    <s v="1 AÑOS 9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3"/>
    <m/>
    <s v="KR 14 A ESTE NO 90 A SUR 16"/>
    <n v="3107929360"/>
    <m/>
    <x v="0"/>
    <s v="NO SE AUTORECONOCE EN NINGUNO DE LOS ANTERIORES"/>
    <x v="1"/>
    <x v="1"/>
    <s v="NO_"/>
    <s v="NO_"/>
    <s v="o. Ingresos iguales o inferiores a 1.5 Smlv"/>
    <m/>
    <s v="MADRE"/>
    <s v="CC"/>
    <n v="1010191424"/>
    <s v="LUISA"/>
    <s v="MARIA"/>
    <s v="HERRAN "/>
    <s v="ORTIZ"/>
    <m/>
    <s v="COLOMBIA"/>
    <m/>
    <m/>
    <s v="SIN DOCUMENTO"/>
    <m/>
    <s v="JOAO"/>
    <s v="MOISES"/>
    <s v="VENERO "/>
    <s v="PINTO NAZARETH"/>
    <m/>
    <s v=""/>
    <s v="VENEZUELA"/>
    <s v="EXTERIOR"/>
    <s v="EXTERIOR"/>
    <s v="CC"/>
    <n v="1010191424"/>
    <s v="LUISA"/>
    <s v="MARIA"/>
    <s v="HERRAN "/>
    <s v="ORTIZ"/>
    <m/>
    <s v=""/>
    <s v="COLOMBIA"/>
    <m/>
    <m/>
    <x v="4"/>
    <x v="16"/>
    <x v="0"/>
    <d v="2022-09-21T00:00:00"/>
    <s v="SI_"/>
    <x v="2"/>
    <n v="4"/>
    <s v="NO_"/>
    <m/>
    <m/>
    <n v="38"/>
    <n v="3240"/>
    <n v="50"/>
    <m/>
    <n v="5"/>
    <m/>
    <m/>
    <x v="1"/>
    <m/>
  </r>
  <r>
    <n v="1023045054"/>
    <x v="1"/>
    <d v="2022-10-04T00:00:00"/>
    <m/>
    <m/>
    <m/>
    <m/>
    <x v="0"/>
    <x v="1"/>
    <x v="1"/>
    <s v="RC"/>
    <s v="EMERSON"/>
    <s v="FERNELY"/>
    <s v="AREVALO"/>
    <s v="BERNAL"/>
    <s v="EMERSON FERNELY AREVALO BERNAL"/>
    <d v="2020-01-09T00:00:00"/>
    <x v="2"/>
    <n v="11"/>
    <n v="17"/>
    <s v="2 AÑOS 11 MESES 17 DIAS "/>
    <x v="2"/>
    <x v="1"/>
    <x v="0"/>
    <s v="BOGOTÁ"/>
    <s v="BOGOTÁ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17"/>
    <m/>
    <s v="SOCHES"/>
    <n v="3016653391"/>
    <m/>
    <x v="0"/>
    <s v="NO SE AUTORECONOCE EN NINGUNO DE LOS ANTERIORES"/>
    <x v="0"/>
    <x v="3"/>
    <s v="NO_"/>
    <s v="NO_"/>
    <s v="o. Ingresos iguales o inferiores a 1.5 Smlv"/>
    <m/>
    <s v="MADRE"/>
    <s v="CC"/>
    <n v="1019002243"/>
    <s v="YAMILE"/>
    <m/>
    <s v="BERNAL"/>
    <s v="VELOZA"/>
    <d v="2002-03-28T00:00:00"/>
    <s v="COLOMBIA"/>
    <s v="BOGOTÁ"/>
    <s v="BOGOTÁ"/>
    <s v="CC"/>
    <n v="80879159"/>
    <s v="FREDY"/>
    <s v="NORALDO"/>
    <s v="AREVALO"/>
    <s v="CARDENAS"/>
    <d v="1985-03-27T00:00:00"/>
    <n v="37"/>
    <s v="COLOMBIA"/>
    <s v="BOGOTÁ"/>
    <s v="BOGOTÁ"/>
    <s v="CC"/>
    <n v="1019002243"/>
    <s v="YAMILE"/>
    <m/>
    <s v="BERNAL"/>
    <s v="VELOZA"/>
    <d v="2002-03-28T00:00:00"/>
    <n v="20"/>
    <s v="COLOMBIA"/>
    <s v="BOGOTÁ"/>
    <s v="BOGOTÁ"/>
    <x v="1"/>
    <x v="1"/>
    <x v="1"/>
    <d v="2022-09-28T00:00:00"/>
    <s v="NO_"/>
    <x v="1"/>
    <m/>
    <s v="NO_"/>
    <s v="NO"/>
    <m/>
    <s v="40 SEM"/>
    <n v="2510"/>
    <n v="50"/>
    <s v="NO_"/>
    <n v="6"/>
    <n v="6"/>
    <m/>
    <x v="1"/>
    <m/>
  </r>
  <r>
    <n v="1074830522"/>
    <x v="1"/>
    <d v="2022-12-05T00:00:00"/>
    <m/>
    <m/>
    <m/>
    <m/>
    <x v="0"/>
    <x v="7"/>
    <x v="7"/>
    <s v="RC"/>
    <s v="ELY"/>
    <s v=" MILAGROS "/>
    <s v="ESPINOZA "/>
    <s v="ALGARRA"/>
    <s v="ELY  MILAGROS  ESPINOZA  ALGARRA"/>
    <d v="2020-12-27T00:00:00"/>
    <x v="3"/>
    <n v="11"/>
    <n v="29"/>
    <s v="1 AÑOS 11 MESES 29 DIAS "/>
    <x v="2"/>
    <x v="0"/>
    <x v="0"/>
    <s v="BOGOTA "/>
    <s v="BOGOTA 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63"/>
    <m/>
    <s v="CALLE 89 SUR #13 B ESTE -17 PISO 2 "/>
    <n v="3136845573"/>
    <m/>
    <x v="0"/>
    <s v="NO SE AUTORECONOCE EN NINGUNO DE LOS ANTERIORES"/>
    <x v="0"/>
    <x v="2"/>
    <s v="NO"/>
    <s v="NO"/>
    <s v="a. Pertenecientes a hogares con puntaje SISBEN"/>
    <m/>
    <s v="MADRE"/>
    <s v="CC"/>
    <n v="1012391017"/>
    <s v="ADRIANA "/>
    <s v="MARCELA "/>
    <s v="ALGARRA "/>
    <s v="SABOGAL"/>
    <d v="1992-08-16T00:00:00"/>
    <s v="COLOMBIA "/>
    <s v="BOGOTA"/>
    <s v="BOGOTA"/>
    <s v="CC"/>
    <n v="1099545371"/>
    <s v="JORGE "/>
    <s v="ELIECER"/>
    <s v="ESPINOZA"/>
    <s v="MEJIA "/>
    <d v="1988-09-17T00:00:00"/>
    <n v="34"/>
    <s v="COLOMBIA "/>
    <s v="CHIMA "/>
    <s v="SANTANDER "/>
    <s v="CC"/>
    <n v="1012391017"/>
    <s v="ADRIANA "/>
    <s v="MARCELA "/>
    <s v="ALGARRA "/>
    <s v="SABOGAL"/>
    <d v="1992-08-16T00:00:00"/>
    <n v="30"/>
    <s v="COLOMBIA "/>
    <s v="BOGOTA "/>
    <s v="BOGOTA "/>
    <x v="1"/>
    <x v="31"/>
    <x v="0"/>
    <d v="2022-12-05T00:00:00"/>
    <s v="SI_"/>
    <x v="1"/>
    <n v="0"/>
    <s v="NO_"/>
    <s v="NO"/>
    <m/>
    <n v="40"/>
    <n v="3350"/>
    <n v="50"/>
    <s v="NO_"/>
    <n v="5"/>
    <n v="23"/>
    <m/>
    <x v="1"/>
    <m/>
  </r>
  <r>
    <n v="1027541214"/>
    <x v="0"/>
    <d v="2022-12-01T00:00:00"/>
    <d v="2022-12-01T00:00:00"/>
    <m/>
    <m/>
    <n v="1"/>
    <x v="0"/>
    <x v="7"/>
    <x v="7"/>
    <s v="RC"/>
    <s v="SOL"/>
    <s v="ALEJANDRA"/>
    <s v="BERNAL"/>
    <s v="RODRIGUEZ"/>
    <s v="SOL ALEJANDRA BERNAL RODRIGUEZ"/>
    <d v="2020-01-16T00:00:00"/>
    <x v="2"/>
    <n v="11"/>
    <n v="10"/>
    <s v="2 AÑOS 11 MESES 10 DIAS "/>
    <x v="2"/>
    <x v="0"/>
    <x v="0"/>
    <s v="BOGOTÁ"/>
    <s v="BOGOTÁ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40"/>
    <s v="TIHUAQUE"/>
    <s v="CALLE 90B SUR #12B ESTE 13 "/>
    <n v="3112380989"/>
    <m/>
    <x v="0"/>
    <s v="NO SE AUTORECONOCE EN NINGUNO DE LOS ANTERIORES"/>
    <x v="0"/>
    <x v="6"/>
    <s v="NO_"/>
    <s v="NO_"/>
    <s v="a. Pertenecientes a hogares con puntaje SISBEN"/>
    <m/>
    <s v="MADRE"/>
    <s v="CC"/>
    <n v="52883197"/>
    <s v="DIANA"/>
    <s v="ALEJANDRA"/>
    <s v="RODRIGUEZ"/>
    <s v="PACANCHIQUE"/>
    <d v="1981-08-01T00:00:00"/>
    <s v="COLOMBIA"/>
    <s v="BOGOTÁ"/>
    <s v="BOGOTÁ"/>
    <m/>
    <m/>
    <m/>
    <m/>
    <m/>
    <m/>
    <m/>
    <s v=""/>
    <m/>
    <m/>
    <m/>
    <s v="CC"/>
    <n v="52883197"/>
    <s v="DIANA"/>
    <s v="ALEJANDRA"/>
    <s v="RODRIGUEZ"/>
    <s v="PACANCHIQUE"/>
    <d v="1981-08-01T00:00:00"/>
    <n v="41"/>
    <s v="COLOMBIA"/>
    <s v="BOGOTÁ"/>
    <s v="BOGOTÁ"/>
    <x v="0"/>
    <x v="4"/>
    <x v="0"/>
    <d v="2022-11-18T00:00:00"/>
    <s v="SI_"/>
    <x v="1"/>
    <n v="1"/>
    <s v="NO_"/>
    <s v="NO"/>
    <m/>
    <n v="37"/>
    <n v="3370"/>
    <n v="54"/>
    <m/>
    <n v="6"/>
    <n v="24"/>
    <s v="N/A"/>
    <x v="1"/>
    <m/>
  </r>
  <r>
    <n v="1031187823"/>
    <x v="0"/>
    <d v="2022-10-04T00:00:00"/>
    <d v="2022-12-01T00:00:00"/>
    <m/>
    <m/>
    <m/>
    <x v="0"/>
    <x v="7"/>
    <x v="7"/>
    <s v="RC"/>
    <s v="JOSE"/>
    <s v="EDUARDO"/>
    <s v="GARCIA "/>
    <s v="BAQUERO"/>
    <s v="JOSE EDUARDO GARCIA  BAQUERO"/>
    <d v="2021-09-09T00:00:00"/>
    <x v="3"/>
    <n v="3"/>
    <n v="17"/>
    <s v="1 AÑOS 3 MESES 17 DIAS "/>
    <x v="2"/>
    <x v="1"/>
    <x v="0"/>
    <s v="BOGOTÁ"/>
    <s v="BOGOTÁ"/>
    <x v="0"/>
    <s v="NO_"/>
    <s v="NO"/>
    <s v="NINGUNA"/>
    <m/>
    <s v="NO_"/>
    <s v="NO_"/>
    <s v="NO_"/>
    <s v="NO_"/>
    <s v="NO_"/>
    <s v="NO_"/>
    <s v="NO_"/>
    <s v="COLOMBIA"/>
    <s v="BOGOTÁ"/>
    <x v="0"/>
    <s v="LOCALIDAD"/>
    <x v="0"/>
    <x v="40"/>
    <s v="TIHUAQUE"/>
    <m/>
    <n v="3123237478"/>
    <n v="3125131203"/>
    <x v="0"/>
    <s v="NO SE AUTORECONOCE EN NINGUNO DE LOS ANTERIORES"/>
    <x v="1"/>
    <x v="1"/>
    <s v="NO_"/>
    <s v="NO_"/>
    <s v="o. Ingresos iguales o inferiores a 1.5 Smlv"/>
    <m/>
    <s v="MADRE"/>
    <s v="CC"/>
    <n v="1033677584"/>
    <s v="ALBA"/>
    <s v="ROCIO"/>
    <s v="BAQUERO"/>
    <s v="AVELINO"/>
    <d v="1985-09-11T00:00:00"/>
    <s v="COLOMBIA"/>
    <s v="BOGOTÁ"/>
    <s v="BOGOTÁ"/>
    <m/>
    <m/>
    <m/>
    <m/>
    <m/>
    <m/>
    <m/>
    <s v=""/>
    <m/>
    <m/>
    <m/>
    <s v="CC"/>
    <n v="1033677584"/>
    <s v="ALBA"/>
    <s v="ROCIO"/>
    <s v="BAQUERO"/>
    <s v="AVELINO"/>
    <d v="1985-09-11T00:00:00"/>
    <n v="37"/>
    <s v="COLOMBIA"/>
    <s v="BOGOTÁ"/>
    <s v="BOGOTÁ"/>
    <x v="0"/>
    <x v="2"/>
    <x v="0"/>
    <d v="2022-09-27T00:00:00"/>
    <s v="SI_"/>
    <x v="2"/>
    <n v="2"/>
    <s v="NO_"/>
    <m/>
    <m/>
    <n v="40"/>
    <n v="3610"/>
    <n v="51"/>
    <m/>
    <n v="6"/>
    <m/>
    <m/>
    <x v="1"/>
    <m/>
  </r>
  <r>
    <n v="1109423243"/>
    <x v="1"/>
    <d v="2022-10-04T00:00:00"/>
    <m/>
    <m/>
    <m/>
    <m/>
    <x v="0"/>
    <x v="8"/>
    <x v="8"/>
    <s v="RC"/>
    <s v="LINDA"/>
    <s v="ANALY"/>
    <s v="ROMERO"/>
    <s v="GIRALDO"/>
    <s v="LINDA ANALY ROMERO GIRALDO"/>
    <d v="2019-06-15T00:00:00"/>
    <x v="10"/>
    <n v="6"/>
    <n v="11"/>
    <s v="3 AÑOS 6 MESES 11 DIAS "/>
    <x v="2"/>
    <x v="0"/>
    <x v="0"/>
    <s v="BOGOTÁ"/>
    <s v="BOGOTÁ"/>
    <x v="0"/>
    <s v="NO_"/>
    <s v="NO"/>
    <s v="NINGUNA"/>
    <m/>
    <s v="NO_"/>
    <s v="NO_"/>
    <s v="NO_"/>
    <s v="NO_"/>
    <s v="NO_"/>
    <s v="NO_"/>
    <s v="NO_"/>
    <s v="COLOMBIA"/>
    <s v="BOGOTÁ"/>
    <x v="0"/>
    <s v="LOCALIDAD"/>
    <x v="0"/>
    <x v="40"/>
    <s v="TIHUAQUE"/>
    <m/>
    <n v="3173492034"/>
    <n v="3208402406"/>
    <x v="0"/>
    <s v="NO SE AUTORECONOCE EN NINGUNO DE LOS ANTERIORES"/>
    <x v="0"/>
    <x v="19"/>
    <s v="NO_"/>
    <s v="NO_"/>
    <s v="o. Ingresos iguales o inferiores a 1.5 Smlv"/>
    <m/>
    <s v="MADRE"/>
    <s v="CC"/>
    <n v="1030583636"/>
    <s v="YIRLENY"/>
    <m/>
    <s v="GIRALDO"/>
    <s v="BARRIOS"/>
    <d v="1990-08-16T00:00:00"/>
    <s v="COLOMBIA"/>
    <s v="TOLIMA"/>
    <s v="PLANADAS"/>
    <m/>
    <m/>
    <m/>
    <m/>
    <m/>
    <m/>
    <m/>
    <s v=""/>
    <m/>
    <m/>
    <m/>
    <s v="CC"/>
    <n v="1030583636"/>
    <s v="YIRLENY"/>
    <m/>
    <s v="GIRALDO"/>
    <s v="BARRIOS"/>
    <d v="1990-08-16T00:00:00"/>
    <n v="32"/>
    <s v="COLOMBIA"/>
    <s v="TOLIMA"/>
    <s v="PLANADAS"/>
    <x v="1"/>
    <x v="2"/>
    <x v="0"/>
    <d v="2022-09-27T00:00:00"/>
    <s v="SI_"/>
    <x v="2"/>
    <n v="7"/>
    <s v="NO_"/>
    <m/>
    <m/>
    <n v="40"/>
    <n v="3260"/>
    <n v="51"/>
    <m/>
    <n v="6"/>
    <m/>
    <m/>
    <x v="3"/>
    <m/>
  </r>
  <r>
    <n v="1023989178"/>
    <x v="1"/>
    <d v="2022-12-06T00:00:00"/>
    <m/>
    <s v="EMMA ISABELLA ORJUELA"/>
    <m/>
    <m/>
    <x v="0"/>
    <x v="8"/>
    <x v="8"/>
    <s v="RC"/>
    <s v="JEANMARIS"/>
    <s v="YALIANA"/>
    <s v="MURIA"/>
    <s v="BERROTERAN"/>
    <s v="JEANMARIS YALIANA MURIA BERROTERAN"/>
    <d v="2021-01-28T00:00:00"/>
    <x v="3"/>
    <n v="10"/>
    <n v="28"/>
    <s v="1 AÑOS 10 MESES 28 DIAS "/>
    <x v="2"/>
    <x v="0"/>
    <x v="0"/>
    <s v="BOGOTÁ"/>
    <s v="BOGOTÁ"/>
    <x v="0"/>
    <s v="NO_"/>
    <s v="NO"/>
    <s v="NINGUNA"/>
    <s v="NO_"/>
    <s v="NO_"/>
    <s v="NO_"/>
    <s v="NO_"/>
    <s v="NO_"/>
    <s v="NO_"/>
    <s v="NO_"/>
    <s v="NO_"/>
    <s v="COLOMBIA"/>
    <s v="BOGOTÁ"/>
    <x v="0"/>
    <s v="LOCALIDAD"/>
    <x v="0"/>
    <x v="77"/>
    <m/>
    <s v="CALLE 82 SUR NUMERO 16-15"/>
    <n v="3105583015"/>
    <n v="3004975546"/>
    <x v="0"/>
    <s v="NO SE AUTORECONOCE EN NINGUNO DE LOS ANTERIORES"/>
    <x v="1"/>
    <x v="1"/>
    <s v="NO_"/>
    <s v="NO_"/>
    <s v="o. Ingresos iguales o inferiores a 1.5 Smlv"/>
    <s v="NO_"/>
    <s v="MADRE"/>
    <s v="SIN DOCUMENTO"/>
    <m/>
    <s v="MARIA"/>
    <s v="JOSE"/>
    <s v="BERROTERAN"/>
    <s v="MACHADO"/>
    <d v="2004-03-12T00:00:00"/>
    <s v="VENEZUELA"/>
    <s v="EXTERIOR"/>
    <s v="EXTERIOR"/>
    <s v="SIN DOCUMENTO"/>
    <m/>
    <s v="JEAN"/>
    <s v="ENRIQUE"/>
    <s v="MURIA"/>
    <s v="ORTEGA"/>
    <m/>
    <s v=""/>
    <s v="VENEZUELA"/>
    <s v="EXTERIOR"/>
    <s v="EXTERIOR"/>
    <s v="SIN DOCUMENTO"/>
    <m/>
    <s v="MARIA"/>
    <s v="JOSE"/>
    <s v="BERROTERAN"/>
    <s v="MACHADO"/>
    <d v="2004-03-12T00:00:00"/>
    <n v="18"/>
    <s v="VENEZUELA"/>
    <s v="EXTERIOR"/>
    <s v="EXTERIOR"/>
    <x v="3"/>
    <x v="12"/>
    <x v="0"/>
    <d v="2022-12-06T00:00:00"/>
    <s v="SI_"/>
    <x v="1"/>
    <m/>
    <s v="NO_"/>
    <m/>
    <m/>
    <s v="40 SEMANAS"/>
    <s v="2000 GR"/>
    <s v="48 CM"/>
    <m/>
    <m/>
    <m/>
    <m/>
    <x v="1"/>
    <m/>
  </r>
  <r>
    <n v="1016752365"/>
    <x v="0"/>
    <d v="2022-10-04T00:00:00"/>
    <d v="2022-12-05T00:00:00"/>
    <m/>
    <m/>
    <m/>
    <x v="0"/>
    <x v="8"/>
    <x v="8"/>
    <s v="RC"/>
    <s v="EMMA"/>
    <s v="ISABELLA"/>
    <s v="ORJUELA"/>
    <s v="SINISTERRA"/>
    <s v="EMMA ISABELLA ORJUELA SINISTERRA"/>
    <d v="2021-07-23T00:00:00"/>
    <x v="3"/>
    <n v="5"/>
    <n v="3"/>
    <s v="1 AÑOS 5 MESES 3 DIAS "/>
    <x v="2"/>
    <x v="0"/>
    <x v="0"/>
    <s v="BOGOTÁ"/>
    <s v="BOGOTÁ"/>
    <x v="0"/>
    <s v="NO_"/>
    <s v="NO"/>
    <s v="NINGUNA"/>
    <m/>
    <s v="NO_"/>
    <s v="NO_"/>
    <s v="NO_"/>
    <s v="NO_"/>
    <s v="NO_"/>
    <s v="NO_"/>
    <s v="NO_"/>
    <s v="COLOMBIA"/>
    <s v="BOGOTÁ"/>
    <x v="0"/>
    <s v="LOCALIDAD"/>
    <x v="0"/>
    <x v="74"/>
    <s v="TIHUAQUE"/>
    <s v="KR 12 C ESTE NO 88 F SUR - 50"/>
    <n v="3227536752"/>
    <m/>
    <x v="0"/>
    <s v="NO SE AUTORECONOCE EN NINGUNO DE LOS ANTERIORES"/>
    <x v="1"/>
    <x v="1"/>
    <s v="NO_"/>
    <s v="NO_"/>
    <s v="o. Ingresos iguales o inferiores a 1.5 Smlv"/>
    <m/>
    <s v="MADRE"/>
    <s v="CC"/>
    <n v="1012392058"/>
    <s v="YOLENY"/>
    <m/>
    <s v="SINISTERRA"/>
    <s v="ORTIZ"/>
    <d v="1992-05-19T00:00:00"/>
    <s v="COLOMBIA"/>
    <s v="CAUCA"/>
    <s v="GUAPI"/>
    <m/>
    <m/>
    <m/>
    <m/>
    <m/>
    <m/>
    <m/>
    <s v=""/>
    <m/>
    <m/>
    <m/>
    <s v="CC"/>
    <n v="1012392058"/>
    <s v="YOLENY"/>
    <m/>
    <s v="SINISTERRA"/>
    <s v="ORTIZ"/>
    <d v="1992-05-19T00:00:00"/>
    <n v="30"/>
    <s v="COLOMBIA"/>
    <s v="CAUCA"/>
    <s v="GUAPI"/>
    <x v="1"/>
    <x v="32"/>
    <x v="0"/>
    <d v="2022-09-27T00:00:00"/>
    <s v="SI_"/>
    <x v="2"/>
    <n v="1"/>
    <s v="NO_"/>
    <s v="NO"/>
    <m/>
    <n v="39"/>
    <n v="2850"/>
    <n v="49"/>
    <m/>
    <n v="6"/>
    <m/>
    <m/>
    <x v="1"/>
    <m/>
  </r>
  <r>
    <n v="1031188322"/>
    <x v="1"/>
    <d v="2022-10-04T00:00:00"/>
    <m/>
    <m/>
    <m/>
    <m/>
    <x v="0"/>
    <x v="7"/>
    <x v="7"/>
    <s v="RC"/>
    <s v="LUNA"/>
    <s v="ESMERALDA"/>
    <s v="VELASQUEZ"/>
    <s v="ORTIZ"/>
    <s v="LUNA ESMERALDA VELASQUEZ ORTIZ"/>
    <d v="2022-02-04T00:00:00"/>
    <x v="1"/>
    <n v="10"/>
    <n v="22"/>
    <s v="0 AÑOS 10 MESES 22 DIAS "/>
    <x v="2"/>
    <x v="0"/>
    <x v="0"/>
    <s v="BOGOTÁ"/>
    <s v="BOGOTÁ"/>
    <x v="0"/>
    <s v="NO_"/>
    <s v="NO"/>
    <s v="NINGUNA"/>
    <m/>
    <s v="NO_"/>
    <s v="NO_"/>
    <s v="NO_"/>
    <s v="NO_"/>
    <s v="NO_"/>
    <s v="NO_"/>
    <s v="NO_"/>
    <s v="COLOMBIA"/>
    <s v="BOGOTÁ"/>
    <x v="0"/>
    <s v="LOCALIDAD"/>
    <x v="0"/>
    <x v="74"/>
    <s v="TIHUAQUE"/>
    <s v="CR 12 G ESTE NO 88 G -79"/>
    <n v="3132825003"/>
    <m/>
    <x v="0"/>
    <s v="NO SE AUTORECONOCE EN NINGUNO DE LOS ANTERIORES"/>
    <x v="1"/>
    <x v="1"/>
    <s v="NO_"/>
    <s v="NO_"/>
    <s v="o. Ingresos iguales o inferiores a 1.5 Smlv"/>
    <m/>
    <s v="MADRE"/>
    <s v="CC"/>
    <n v="52882804"/>
    <s v="ANGELICA"/>
    <s v="SMITH"/>
    <s v="ORTIZ"/>
    <s v="TINJACA"/>
    <d v="1981-06-26T00:00:00"/>
    <s v="COLOMBIA"/>
    <s v="BOGOTÁ"/>
    <s v="BOGOTÁ"/>
    <m/>
    <m/>
    <m/>
    <m/>
    <m/>
    <m/>
    <m/>
    <s v=""/>
    <m/>
    <m/>
    <m/>
    <s v="CC"/>
    <n v="52882804"/>
    <s v="ANGELICA"/>
    <s v="SMITH"/>
    <s v="ORTIZ"/>
    <s v="TINJACA"/>
    <d v="1981-06-26T00:00:00"/>
    <n v="41"/>
    <s v="COLOMBIA"/>
    <s v="BOGOTÁ"/>
    <s v="BOGOTÁ"/>
    <x v="0"/>
    <x v="32"/>
    <x v="0"/>
    <d v="2022-09-27T00:00:00"/>
    <s v="SI_"/>
    <x v="2"/>
    <n v="5"/>
    <s v="SI_"/>
    <m/>
    <m/>
    <n v="38"/>
    <n v="2180"/>
    <n v="48"/>
    <m/>
    <n v="6"/>
    <s v="HASTA EL MOMENTO"/>
    <m/>
    <x v="2"/>
    <m/>
  </r>
  <r>
    <n v="1136912511"/>
    <x v="1"/>
    <d v="2022-10-04T00:00:00"/>
    <m/>
    <m/>
    <m/>
    <m/>
    <x v="0"/>
    <x v="7"/>
    <x v="7"/>
    <s v="RC"/>
    <s v="ADELIN"/>
    <s v="VICTORIA"/>
    <s v="RIVAS"/>
    <s v="PERAZA"/>
    <s v="ADELIN VICTORIA RIVAS PERAZA"/>
    <d v="2021-06-01T00:00:00"/>
    <x v="3"/>
    <n v="6"/>
    <n v="25"/>
    <s v="1 AÑOS 6 MESES 25 DIAS "/>
    <x v="2"/>
    <x v="0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17"/>
    <m/>
    <m/>
    <n v="3209826269"/>
    <m/>
    <x v="0"/>
    <s v="NO SE AUTORECONOCE EN NINGUNO DE LOS ANTERIORES"/>
    <x v="0"/>
    <x v="1"/>
    <s v="NO_"/>
    <s v="NO_"/>
    <s v="o. Ingresos iguales o inferiores a 1.5 Smlv"/>
    <m/>
    <s v="MADRE"/>
    <s v="SD"/>
    <m/>
    <s v="YORGELYS"/>
    <s v="VICTORIA"/>
    <s v="PERAZA"/>
    <s v="GUAPARICA"/>
    <m/>
    <s v="VENEZUELA"/>
    <m/>
    <m/>
    <m/>
    <m/>
    <m/>
    <m/>
    <m/>
    <m/>
    <m/>
    <s v=""/>
    <m/>
    <m/>
    <m/>
    <s v="SD"/>
    <m/>
    <s v="YORGELYS"/>
    <s v="VICTORIA"/>
    <s v="PERAZA"/>
    <s v="GUAPARICA"/>
    <m/>
    <s v=""/>
    <s v="VENEZUELA"/>
    <m/>
    <m/>
    <x v="4"/>
    <x v="16"/>
    <x v="0"/>
    <d v="2022-03-10T00:00:00"/>
    <s v="SI_"/>
    <x v="1"/>
    <m/>
    <m/>
    <m/>
    <m/>
    <m/>
    <m/>
    <m/>
    <m/>
    <m/>
    <m/>
    <m/>
    <x v="1"/>
    <m/>
  </r>
  <r>
    <n v="1116084636"/>
    <x v="1"/>
    <d v="2022-10-04T00:00:00"/>
    <m/>
    <m/>
    <m/>
    <m/>
    <x v="0"/>
    <x v="8"/>
    <x v="8"/>
    <s v="RC"/>
    <s v="DULCE"/>
    <s v="MARIA"/>
    <s v="SINISTERRA"/>
    <s v="SOLIS"/>
    <s v="DULCE MARIA SINISTERRA SOLIS"/>
    <d v="2021-12-21T00:00:00"/>
    <x v="3"/>
    <n v="0"/>
    <n v="5"/>
    <s v="1 AÑOS 0 MESES 5 DIAS "/>
    <x v="2"/>
    <x v="0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74"/>
    <m/>
    <s v="CL 88G SUR 12 G ESTE"/>
    <n v="3167880180"/>
    <m/>
    <x v="0"/>
    <s v="NO SE AUTORECONOCE EN NINGUNO DE LOS ANTERIORES"/>
    <x v="0"/>
    <x v="10"/>
    <s v="NO_"/>
    <s v="NO_"/>
    <s v="o. Ingresos iguales o inferiores a 1.5 Smlv"/>
    <m/>
    <s v="MADRE"/>
    <s v="CC"/>
    <n v="1007478743"/>
    <s v="MARLEN"/>
    <s v="PAOLA"/>
    <s v="SOLIS"/>
    <s v="COLORADO"/>
    <d v="1997-09-30T00:00:00"/>
    <s v="COLOMBIA"/>
    <s v="NARIÑO"/>
    <s v="LA TOLA"/>
    <m/>
    <m/>
    <m/>
    <m/>
    <m/>
    <m/>
    <m/>
    <s v=""/>
    <m/>
    <m/>
    <m/>
    <s v="CC"/>
    <n v="1007478743"/>
    <s v="MARLEN"/>
    <s v="PAOLA"/>
    <s v="SOLIS"/>
    <s v="COLORADO"/>
    <d v="1997-09-30T00:00:00"/>
    <n v="25"/>
    <s v="COLOMBIA"/>
    <s v="NARIÑO"/>
    <s v="LA TOLA"/>
    <x v="4"/>
    <x v="16"/>
    <x v="0"/>
    <d v="2022-03-10T00:00:00"/>
    <s v="NO_"/>
    <x v="1"/>
    <m/>
    <m/>
    <m/>
    <m/>
    <m/>
    <m/>
    <m/>
    <m/>
    <m/>
    <m/>
    <m/>
    <x v="1"/>
    <m/>
  </r>
  <r>
    <n v="1243859848"/>
    <x v="1"/>
    <d v="2022-10-04T00:00:00"/>
    <m/>
    <m/>
    <m/>
    <m/>
    <x v="0"/>
    <x v="4"/>
    <x v="4"/>
    <s v="RC"/>
    <s v="ANNY"/>
    <s v="SHARAY"/>
    <s v="SANCHEZ"/>
    <s v="CUBIDES"/>
    <s v="ANNY SHARAY SANCHEZ CUBIDES"/>
    <d v="2020-12-18T00:00:00"/>
    <x v="2"/>
    <n v="0"/>
    <n v="8"/>
    <s v="2 AÑOS 0 MESES 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3"/>
    <m/>
    <s v="KR 6 D BIS ESTE 116 SUR 33"/>
    <n v="3142540110"/>
    <m/>
    <x v="0"/>
    <s v="NO SE AUTORECONOCE EN NINGUNO DE LOS ANTERIORES"/>
    <x v="0"/>
    <x v="12"/>
    <s v="NO_"/>
    <s v="NO_"/>
    <s v="a. Pertenecientes a hogares con puntaje SISBEN"/>
    <m/>
    <s v="ABUELO(A)"/>
    <s v="CC"/>
    <n v="37695998"/>
    <s v="MARIA"/>
    <s v="ISABEL"/>
    <s v="CUBIDES"/>
    <s v="AGUILAR"/>
    <d v="1956-09-15T00:00:00"/>
    <s v="COLOMBIA"/>
    <s v="SANTANDER"/>
    <s v="LANDÁZURI"/>
    <m/>
    <m/>
    <m/>
    <m/>
    <m/>
    <m/>
    <m/>
    <s v=""/>
    <m/>
    <m/>
    <m/>
    <s v="CC"/>
    <n v="1097992933"/>
    <s v="YOLANDA"/>
    <m/>
    <s v="CUBIDES"/>
    <s v="AGUILAR"/>
    <d v="1986-08-15T00:00:00"/>
    <n v="36"/>
    <s v="COLOMBIA"/>
    <s v="SANTANDER"/>
    <s v="LANDÁZURI"/>
    <x v="0"/>
    <x v="3"/>
    <x v="0"/>
    <d v="2022-02-25T00:00:00"/>
    <s v="SI_"/>
    <x v="2"/>
    <n v="1"/>
    <s v="NO_"/>
    <s v="NO"/>
    <m/>
    <m/>
    <n v="3065"/>
    <n v="39"/>
    <s v="NO_"/>
    <n v="6"/>
    <m/>
    <m/>
    <x v="1"/>
    <m/>
  </r>
  <r>
    <n v="1243860479"/>
    <x v="1"/>
    <d v="2022-10-04T00:00:00"/>
    <m/>
    <m/>
    <m/>
    <m/>
    <x v="0"/>
    <x v="4"/>
    <x v="4"/>
    <s v="RC"/>
    <s v="EVELYN"/>
    <s v="SAMANTHA"/>
    <s v="VARGAS"/>
    <s v="DIAZ"/>
    <s v="EVELYN SAMANTHA VARGAS DIAZ"/>
    <d v="2021-07-25T00:00:00"/>
    <x v="3"/>
    <n v="5"/>
    <n v="1"/>
    <s v="1 AÑOS 5 MESES 1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100 C SUR  6 ESTE - 10"/>
    <n v="3228612223"/>
    <n v="3124677329"/>
    <x v="0"/>
    <s v="NO SE AUTORECONOCE EN NINGUNO DE LOS ANTERIORES"/>
    <x v="0"/>
    <x v="4"/>
    <s v="NO_"/>
    <s v="NO_"/>
    <s v="a. Pertenecientes a hogares con puntaje SISBEN"/>
    <m/>
    <s v="ABUELO(A)"/>
    <s v="CC"/>
    <n v="52740928"/>
    <s v="ROSA"/>
    <s v="ELENA"/>
    <s v="MORENO"/>
    <m/>
    <d v="1973-09-14T00:00:00"/>
    <s v="COLOMBIA"/>
    <s v="BOGOTÁ"/>
    <s v="BOGOTÁ"/>
    <s v="CC"/>
    <n v="1022993854"/>
    <s v="ENMANUEL "/>
    <s v="CAMILO"/>
    <s v="VARGAS"/>
    <s v="CASTELLANOS"/>
    <d v="1994-03-03T00:00:00"/>
    <n v="28"/>
    <s v="COLOMBIA"/>
    <s v="BOGOTÁ"/>
    <s v="BOGOTÁ"/>
    <s v="CC"/>
    <n v="1022988346"/>
    <s v="BRENDA"/>
    <s v="YICETH"/>
    <s v="DIAZ "/>
    <s v="MORENO"/>
    <d v="1993-07-16T00:00:00"/>
    <n v="29"/>
    <s v="COLOMBIA"/>
    <s v="BOGOTÁ"/>
    <s v="BOGOTÁ"/>
    <x v="0"/>
    <x v="0"/>
    <x v="0"/>
    <d v="2022-02-25T00:00:00"/>
    <s v="SI_"/>
    <x v="2"/>
    <n v="1"/>
    <s v="NO_"/>
    <m/>
    <m/>
    <n v="39"/>
    <n v="3285"/>
    <n v="50"/>
    <s v="NO_"/>
    <n v="6"/>
    <n v="7"/>
    <m/>
    <x v="1"/>
    <m/>
  </r>
  <r>
    <n v="1140937378"/>
    <x v="1"/>
    <d v="2022-10-04T00:00:00"/>
    <m/>
    <m/>
    <m/>
    <m/>
    <x v="0"/>
    <x v="4"/>
    <x v="4"/>
    <s v="RC"/>
    <s v="SARA"/>
    <s v="VALENTINA"/>
    <s v="AMAYA"/>
    <s v="PLAZAS"/>
    <s v="SARA VALENTINA AMAYA PLAZAS"/>
    <d v="2020-04-28T00:00:00"/>
    <x v="2"/>
    <n v="7"/>
    <n v="28"/>
    <s v="2 AÑOS 7 MESES 28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6D ESTE 107 SUR 16"/>
    <n v="3114952490"/>
    <n v="3114952490"/>
    <x v="0"/>
    <s v="NO SE AUTORECONOCE EN NINGUNO DE LOS ANTERIORES"/>
    <x v="0"/>
    <x v="19"/>
    <s v="NO_"/>
    <s v="NO_"/>
    <s v="a. Pertenecientes a hogares con puntaje SISBEN"/>
    <m/>
    <s v="ABUELO(A)"/>
    <s v="CC"/>
    <n v="39549096"/>
    <s v="MARINA"/>
    <m/>
    <s v="MAESTRE"/>
    <s v="TRIJILLO"/>
    <d v="1969-03-04T00:00:00"/>
    <s v="COLOMBIA"/>
    <s v="BOGOTÁ"/>
    <s v="BOGOTÁ"/>
    <s v="CC"/>
    <n v="1022950805"/>
    <s v="DIEGO"/>
    <s v="ALEXANDER"/>
    <s v="AMAYA"/>
    <s v="MAESTRE"/>
    <d v="1989-05-04T00:00:00"/>
    <n v="33"/>
    <s v="COLOMBIA"/>
    <s v="BOGOTÁ"/>
    <s v="BOGOTÁ"/>
    <s v="CC"/>
    <n v="1023002364"/>
    <s v="YENIFER"/>
    <s v="ZULID"/>
    <s v="PLAZAS"/>
    <s v="MORA"/>
    <d v="1995-02-23T00:00:00"/>
    <n v="27"/>
    <s v="COLOMBIA"/>
    <s v="BOGOTÁ"/>
    <s v="BOGOTÁ"/>
    <x v="1"/>
    <x v="5"/>
    <x v="0"/>
    <d v="2022-02-25T00:00:00"/>
    <s v="SI_"/>
    <x v="2"/>
    <n v="1"/>
    <s v="NO_"/>
    <m/>
    <m/>
    <m/>
    <n v="3110"/>
    <n v="52"/>
    <s v="NO_"/>
    <n v="6"/>
    <n v="22"/>
    <m/>
    <x v="1"/>
    <m/>
  </r>
  <r>
    <n v="1023048810"/>
    <x v="1"/>
    <d v="2022-10-04T00:00:00"/>
    <m/>
    <m/>
    <m/>
    <m/>
    <x v="0"/>
    <x v="4"/>
    <x v="4"/>
    <s v="RC"/>
    <s v="KEIDY"/>
    <s v="ESTEFANIA"/>
    <s v="CARDOZO"/>
    <s v="GOMEZ"/>
    <s v="KEIDY ESTEFANIA CARDOZO GOMEZ"/>
    <d v="2022-07-18T00:00:00"/>
    <x v="1"/>
    <n v="5"/>
    <n v="8"/>
    <s v="0 AÑOS 5 MESES 8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A ESTE 104 SUR 59"/>
    <n v="3222934816"/>
    <n v="3203738847"/>
    <x v="0"/>
    <s v="NO SE AUTORECONOCE EN NINGUNO DE LOS ANTERIORES"/>
    <x v="0"/>
    <x v="6"/>
    <s v="NO_"/>
    <s v="NO_"/>
    <s v="a. Pertenecientes a hogares con puntaje SISBEN"/>
    <m/>
    <s v="ABUELO(A)"/>
    <s v="CC"/>
    <n v="38287179"/>
    <s v="SULMA"/>
    <s v="MILENA"/>
    <s v="SANABRIA"/>
    <s v="GONZALEZ"/>
    <d v="1974-11-22T00:00:00"/>
    <s v="COLOMBIA"/>
    <s v="BOGOTÁ"/>
    <s v="BOGOTÁ"/>
    <s v="CC"/>
    <n v="1023012615"/>
    <s v="DIDIER"/>
    <m/>
    <s v="CARDOZO"/>
    <s v="ORTIZ"/>
    <d v="1996-04-08T00:00:00"/>
    <n v="26"/>
    <s v="COLOMBIA"/>
    <s v="CAQUETÁ"/>
    <s v="FLORENCIA"/>
    <s v="CC"/>
    <n v="1000065046"/>
    <s v="MICHEL"/>
    <s v="TALIA"/>
    <s v="GOMEZ"/>
    <s v="SANABRIA"/>
    <d v="2001-10-10T00:00:00"/>
    <n v="21"/>
    <s v="COLOMBIA"/>
    <s v="BOGOTÁ"/>
    <s v="BOGOTÁ"/>
    <x v="1"/>
    <x v="1"/>
    <x v="0"/>
    <d v="2022-08-09T00:00:00"/>
    <s v="SI_"/>
    <x v="2"/>
    <n v="1"/>
    <s v="NO_"/>
    <s v="NO"/>
    <m/>
    <n v="40"/>
    <n v="3200"/>
    <n v="47"/>
    <s v="SI_"/>
    <n v="1"/>
    <n v="1"/>
    <m/>
    <x v="0"/>
    <m/>
  </r>
  <r>
    <n v="1023048476"/>
    <x v="1"/>
    <d v="2022-10-04T00:00:00"/>
    <m/>
    <m/>
    <m/>
    <m/>
    <x v="0"/>
    <x v="3"/>
    <x v="3"/>
    <s v="RC"/>
    <s v="ALIZON"/>
    <s v="VANESSA"/>
    <s v="MOSQUERA"/>
    <s v="MOSQUERA"/>
    <s v="ALIZON VANESSA MOSQUERA MOSQUERA"/>
    <d v="2022-04-17T00:00:00"/>
    <x v="1"/>
    <n v="8"/>
    <n v="9"/>
    <s v="0 AÑOS 8 MESES 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7 BIS A ESTE 99 SUR 33"/>
    <n v="3209516063"/>
    <m/>
    <x v="0"/>
    <s v="NO SE AUTORECONOCE EN NINGUNO DE LOS ANTERIORES"/>
    <x v="1"/>
    <x v="6"/>
    <s v="NO_"/>
    <s v="NO_"/>
    <s v="a. Pertenecientes a hogares con puntaje SISBEN"/>
    <m/>
    <s v="TIO(A)"/>
    <s v="CC"/>
    <n v="1022974438"/>
    <s v="SINDI"/>
    <s v="MANUELA"/>
    <s v="ANGULO"/>
    <s v="ORTIZ"/>
    <d v="1999-01-26T00:00:00"/>
    <s v="COLOMBIA"/>
    <s v="BOGOTÁ"/>
    <s v="BOGOTÁ"/>
    <m/>
    <m/>
    <m/>
    <m/>
    <m/>
    <m/>
    <m/>
    <s v=""/>
    <m/>
    <m/>
    <m/>
    <s v="CC"/>
    <n v="1022926666"/>
    <s v="MARIA"/>
    <s v="CAMILA"/>
    <s v="MOSQUERA"/>
    <s v="MOSQUERA"/>
    <d v="2004-08-08T00:00:00"/>
    <n v="18"/>
    <s v="COLOMBIA"/>
    <s v="BOGOTÁ"/>
    <s v="BOGOTÁ"/>
    <x v="1"/>
    <x v="1"/>
    <x v="0"/>
    <d v="2022-06-07T00:00:00"/>
    <s v="SI_"/>
    <x v="2"/>
    <n v="1"/>
    <s v="NO_"/>
    <m/>
    <m/>
    <n v="38"/>
    <n v="2835"/>
    <n v="51"/>
    <s v="SI_"/>
    <n v="4"/>
    <n v="4"/>
    <m/>
    <x v="2"/>
    <m/>
  </r>
  <r>
    <n v="1023045825"/>
    <x v="1"/>
    <d v="2022-10-04T00:00:00"/>
    <m/>
    <m/>
    <m/>
    <m/>
    <x v="0"/>
    <x v="4"/>
    <x v="4"/>
    <s v="RC"/>
    <s v="LIAM"/>
    <s v="JOEL"/>
    <s v="QUINTERO"/>
    <s v="AGUIAR"/>
    <s v="LIAM JOEL QUINTERO AGUIAR"/>
    <d v="2020-11-15T00:00:00"/>
    <x v="2"/>
    <n v="1"/>
    <n v="11"/>
    <s v="2 AÑOS 1 MESES 11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98C SUR 6 ESTE 33"/>
    <n v="3229136015"/>
    <n v="3104343761"/>
    <x v="0"/>
    <s v="NO SE AUTORECONOCE EN NINGUNO DE LOS ANTERIORES"/>
    <x v="0"/>
    <x v="9"/>
    <s v="NO_"/>
    <s v="NO_"/>
    <s v="a. Pertenecientes a hogares con puntaje SISBEN"/>
    <m/>
    <s v="ABUELO(A)"/>
    <s v="CC"/>
    <n v="28928455"/>
    <s v="BELARMINA"/>
    <m/>
    <s v="CAMPOS"/>
    <s v="CORTES"/>
    <d v="1964-09-08T00:00:00"/>
    <s v="COLOMBIA"/>
    <s v="TOLIMA"/>
    <s v="SAN ANTONIO"/>
    <s v="CC"/>
    <n v="1031183042"/>
    <s v="WILLIAM"/>
    <s v="STEVEN"/>
    <s v="QUINTERO"/>
    <s v="VELASQUEZ"/>
    <d v="1999-11-11T00:00:00"/>
    <n v="23"/>
    <s v="COLOMBIA"/>
    <s v="BOGOTÁ"/>
    <s v="BOGOTÁ"/>
    <s v="CC"/>
    <n v="1023017400"/>
    <s v="NARDELLY"/>
    <m/>
    <s v="AGUIAR"/>
    <s v="CAMPOS"/>
    <d v="1996-11-23T00:00:00"/>
    <n v="26"/>
    <s v="COLOMBIA"/>
    <s v="CUNDINAMARCA"/>
    <s v="FUSAGASUGÁ"/>
    <x v="0"/>
    <x v="0"/>
    <x v="0"/>
    <d v="2022-02-25T00:00:00"/>
    <s v="SI_"/>
    <x v="2"/>
    <n v="1"/>
    <s v="NO_"/>
    <s v="NO"/>
    <s v="NO"/>
    <n v="40"/>
    <n v="3605"/>
    <n v="51"/>
    <s v="NO_"/>
    <n v="6"/>
    <n v="8"/>
    <m/>
    <x v="1"/>
    <m/>
  </r>
  <r>
    <n v="1010252066"/>
    <x v="1"/>
    <d v="2022-10-04T00:00:00"/>
    <m/>
    <m/>
    <m/>
    <m/>
    <x v="0"/>
    <x v="3"/>
    <x v="3"/>
    <s v="RC"/>
    <s v="MARA"/>
    <s v=" ALEJANDRA "/>
    <s v="BALLEN "/>
    <s v="DAZA"/>
    <s v="MARA  ALEJANDRA  BALLEN  DAZA"/>
    <d v="2021-07-23T00:00:00"/>
    <x v="3"/>
    <n v="5"/>
    <n v="3"/>
    <s v="1 AÑOS 5 MESES 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TRANVS 7 D ESTE 100 SUR 25"/>
    <n v="3144749302"/>
    <m/>
    <x v="0"/>
    <s v="NO SE AUTORECONOCE EN NINGUNO DE LOS ANTERIORES"/>
    <x v="0"/>
    <x v="11"/>
    <s v="NO_"/>
    <s v="NO_"/>
    <s v="a. Pertenecientes a hogares con puntaje SISBEN"/>
    <m/>
    <s v="MADRE"/>
    <s v="CC"/>
    <n v="1023022593"/>
    <s v="ELSA"/>
    <s v="MILENA"/>
    <s v="DAZA "/>
    <s v="CABRERA"/>
    <d v="1997-06-30T00:00:00"/>
    <s v="COLOMBIA"/>
    <s v="BOGOTÁ"/>
    <s v="BOGOTÁ"/>
    <s v="CC"/>
    <n v="1030589593"/>
    <s v="JORGE"/>
    <s v="ALBEIRO"/>
    <s v="BALLEN"/>
    <s v="ARGUELLO"/>
    <d v="1991-03-23T00:00:00"/>
    <n v="31"/>
    <s v="COLOMBIA"/>
    <s v="BOGOTÁ"/>
    <s v="BOGOTÁ"/>
    <s v="CC"/>
    <n v="1023022593"/>
    <s v="ELSA"/>
    <s v="MILENA"/>
    <s v="DAZA "/>
    <s v="CABRERA"/>
    <d v="1997-06-30T00:00:00"/>
    <n v="25"/>
    <s v="COLOMBIA"/>
    <s v="BOGOTÁ"/>
    <s v="BOGOTÁ"/>
    <x v="0"/>
    <x v="0"/>
    <x v="0"/>
    <d v="2022-02-26T00:00:00"/>
    <s v="SI_"/>
    <x v="2"/>
    <n v="1"/>
    <s v="NO_"/>
    <m/>
    <m/>
    <n v="40"/>
    <n v="3285"/>
    <n v="50"/>
    <s v="SI_"/>
    <n v="5"/>
    <n v="5"/>
    <m/>
    <x v="1"/>
    <m/>
  </r>
  <r>
    <n v="1243861071"/>
    <x v="0"/>
    <d v="2022-10-04T00:00:00"/>
    <d v="2022-10-12T00:00:00"/>
    <m/>
    <e v="#N/A"/>
    <m/>
    <x v="0"/>
    <x v="4"/>
    <x v="4"/>
    <s v="RC"/>
    <s v="ANTONY"/>
    <s v="SANTIAGO"/>
    <s v="SIERRA"/>
    <s v="MURCIA"/>
    <s v="ANTONY SANTIAGO SIERRA MURCIA"/>
    <d v="2022-05-13T00:00:00"/>
    <x v="1"/>
    <n v="7"/>
    <n v="13"/>
    <s v="0 AÑOS 7 MESES 1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L 102 SUR 7 ESTE 35"/>
    <n v="3224479723"/>
    <n v="3143212236"/>
    <x v="0"/>
    <s v="NO SE AUTORECONOCE EN NINGUNO DE LOS ANTERIORES"/>
    <x v="0"/>
    <x v="20"/>
    <s v="NO_"/>
    <s v="NO_"/>
    <s v="a. Pertenecientes a hogares con puntaje SISBEN"/>
    <s v="NO_"/>
    <s v="MADRE"/>
    <s v="CC"/>
    <n v="1023024679"/>
    <s v="SHIRLEY"/>
    <s v="JURANY"/>
    <s v="MURCIA"/>
    <s v="SOLANO"/>
    <d v="1997-10-16T00:00:00"/>
    <s v="COLOMBIA"/>
    <s v="BOGOTÁ"/>
    <s v="BOGOTÁ"/>
    <s v="CC"/>
    <n v="1023005490"/>
    <s v="JAVIER"/>
    <s v="ALEXANDER"/>
    <s v="SIERRA"/>
    <s v="AGUILLON"/>
    <d v="1995-06-24T00:00:00"/>
    <n v="27"/>
    <s v="COLOMBIA"/>
    <s v="BOGOTÁ"/>
    <s v="BOGOTÁ"/>
    <s v="CC"/>
    <n v="1023024679"/>
    <s v="SHIRLEY"/>
    <s v="JURANY"/>
    <s v="MURCIA"/>
    <s v="SOLANO"/>
    <d v="1997-10-16T00:00:00"/>
    <n v="25"/>
    <s v="COLOMBIA"/>
    <s v="BOGOTÁ"/>
    <s v="BOGOTÁ"/>
    <x v="1"/>
    <x v="0"/>
    <x v="0"/>
    <d v="2022-06-01T00:00:00"/>
    <s v="SI_"/>
    <x v="2"/>
    <n v="1"/>
    <s v="NO_"/>
    <s v="NO"/>
    <m/>
    <m/>
    <n v="3240"/>
    <n v="50"/>
    <s v="SI_"/>
    <n v="1"/>
    <n v="1"/>
    <m/>
    <x v="2"/>
    <m/>
  </r>
  <r>
    <n v="1243860096"/>
    <x v="1"/>
    <d v="2022-10-04T00:00:00"/>
    <m/>
    <m/>
    <m/>
    <m/>
    <x v="0"/>
    <x v="4"/>
    <x v="4"/>
    <s v="RC"/>
    <s v="DAILYN"/>
    <s v="SALOME"/>
    <s v="QUIROGA"/>
    <s v="GUIZA"/>
    <s v="DAILYN SALOME QUIROGA GUIZA"/>
    <d v="2021-03-01T00:00:00"/>
    <x v="3"/>
    <n v="9"/>
    <n v="25"/>
    <s v="1 AÑOS 9 MESES 2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CL 117A SUR 6F ESTE 64"/>
    <n v="3108526716"/>
    <n v="3013541108"/>
    <x v="0"/>
    <s v="NO SE AUTORECONOCE EN NINGUNO DE LOS ANTERIORES"/>
    <x v="0"/>
    <x v="11"/>
    <s v="NO_"/>
    <s v="NO_"/>
    <s v="a. Pertenecientes a hogares con puntaje SISBEN"/>
    <s v="NO_"/>
    <s v="TIO(A)"/>
    <s v="CC"/>
    <n v="1022945021"/>
    <s v="LUZ"/>
    <s v="NEY"/>
    <s v="HERNANDEZ"/>
    <s v="PARDO"/>
    <d v="1988-09-03T00:00:00"/>
    <s v="COLOMBIA"/>
    <s v="SANTANDER"/>
    <s v="BOLIVAR"/>
    <s v="CC"/>
    <n v="1098171303"/>
    <s v="MANUEL"/>
    <m/>
    <s v="QUIROGA"/>
    <s v="GUIZA"/>
    <d v="1993-09-25T00:00:00"/>
    <n v="29"/>
    <s v="COLOMBIA"/>
    <s v="SANTANDER"/>
    <s v="EL PEÑÓN"/>
    <s v="CC"/>
    <n v="1022960176"/>
    <s v="MAYIBI"/>
    <m/>
    <s v="GUIZA"/>
    <s v="PARDO"/>
    <d v="1990-05-17T00:00:00"/>
    <n v="32"/>
    <s v="COLOMBIA"/>
    <s v="SANTANDER"/>
    <s v="BOLIVAR"/>
    <x v="1"/>
    <x v="1"/>
    <x v="0"/>
    <d v="2022-02-25T00:00:00"/>
    <s v="SI_"/>
    <x v="2"/>
    <n v="1"/>
    <s v="NO_"/>
    <s v="NO"/>
    <m/>
    <n v="39"/>
    <n v="3040"/>
    <n v="53"/>
    <s v="NO_"/>
    <n v="6"/>
    <n v="11"/>
    <m/>
    <x v="1"/>
    <m/>
  </r>
  <r>
    <n v="1243859556"/>
    <x v="1"/>
    <d v="2022-10-04T00:00:00"/>
    <m/>
    <m/>
    <m/>
    <m/>
    <x v="0"/>
    <x v="5"/>
    <x v="5"/>
    <s v="RC"/>
    <s v="ANNY"/>
    <s v="JULIETH"/>
    <s v="CARO"/>
    <s v="GARCIA"/>
    <s v="ANNY JULIETH CARO GARCIA"/>
    <d v="2020-09-26T00:00:00"/>
    <x v="2"/>
    <n v="3"/>
    <n v="0"/>
    <s v="2 AÑOS 3 MESES 0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CL 104 SUR 7 H ESTE 74"/>
    <n v="3227064686"/>
    <m/>
    <x v="0"/>
    <s v="NO SE AUTORECONOCE EN NINGUNO DE LOS ANTERIORES"/>
    <x v="0"/>
    <x v="20"/>
    <s v="NO_"/>
    <s v="NO_"/>
    <s v="a. Pertenecientes a hogares con puntaje SISBEN"/>
    <s v="NO_"/>
    <s v="ABUELO(A)"/>
    <s v="CC"/>
    <n v="6013394"/>
    <s v="JOSE"/>
    <s v="AGUSTIN"/>
    <s v="CARO"/>
    <s v="MACIAS"/>
    <d v="1966-09-06T00:00:00"/>
    <s v="COLOMBIA"/>
    <s v="HUILA"/>
    <s v="SAN AGUSTÍN"/>
    <m/>
    <m/>
    <m/>
    <m/>
    <m/>
    <m/>
    <m/>
    <s v=""/>
    <m/>
    <m/>
    <m/>
    <s v="CC"/>
    <n v="1022984470"/>
    <s v="LINA"/>
    <s v="ROCIO"/>
    <s v="CARO"/>
    <s v="GARCIA"/>
    <d v="1993-03-11T00:00:00"/>
    <n v="29"/>
    <s v="COLOMBIA"/>
    <s v="TOLIMA"/>
    <s v="SANTA ISABEL"/>
    <x v="1"/>
    <x v="1"/>
    <x v="0"/>
    <d v="2022-02-25T00:00:00"/>
    <s v="SI_"/>
    <x v="2"/>
    <n v="1"/>
    <s v="NO_"/>
    <s v="NO"/>
    <m/>
    <n v="39"/>
    <n v="3370"/>
    <n v="51"/>
    <s v="NO_"/>
    <n v="6"/>
    <n v="17"/>
    <m/>
    <x v="1"/>
    <m/>
  </r>
  <r>
    <n v="1024612013"/>
    <x v="1"/>
    <d v="2022-10-04T00:00:00"/>
    <m/>
    <m/>
    <m/>
    <m/>
    <x v="0"/>
    <x v="5"/>
    <x v="5"/>
    <s v="RC"/>
    <s v="BENJAMIN"/>
    <s v="JOSUE"/>
    <s v="JARABA"/>
    <s v="PALMA"/>
    <s v="BENJAMIN JOSUE JARABA PALMA"/>
    <d v="2021-10-24T00:00:00"/>
    <x v="3"/>
    <n v="2"/>
    <n v="2"/>
    <s v="1 AÑOS 2 MESES 2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9"/>
    <m/>
    <s v="CL 102 SUR 8 ESTE 33"/>
    <n v="3102793129"/>
    <n v="3209508616"/>
    <x v="0"/>
    <s v="NO SE AUTORECONOCE EN NINGUNO DE LOS ANTERIORES"/>
    <x v="0"/>
    <x v="19"/>
    <s v="NO_"/>
    <s v="NO_"/>
    <s v="a. Pertenecientes a hogares con puntaje SISBEN"/>
    <m/>
    <s v="MADRE"/>
    <s v="CC"/>
    <n v="1023003780"/>
    <s v="ANA"/>
    <s v="JULIA"/>
    <s v="PALMA"/>
    <s v="MORENO"/>
    <d v="1995-04-05T00:00:00"/>
    <s v="COLOMBIA"/>
    <s v="CHOCÓ"/>
    <s v="QUIBDÓ"/>
    <m/>
    <m/>
    <m/>
    <m/>
    <m/>
    <m/>
    <m/>
    <s v=""/>
    <m/>
    <m/>
    <m/>
    <s v="CC"/>
    <n v="1023003780"/>
    <s v="ANA"/>
    <s v="JULIA"/>
    <s v="PALMA"/>
    <s v="MORENO"/>
    <d v="1995-04-05T00:00:00"/>
    <n v="27"/>
    <s v="COLOMBIA"/>
    <s v="CHOCÓ"/>
    <s v="QUIBDÓ"/>
    <x v="1"/>
    <x v="1"/>
    <x v="0"/>
    <d v="2022-05-17T00:00:00"/>
    <s v="SI_"/>
    <x v="2"/>
    <n v="2"/>
    <s v="NO_"/>
    <s v="NO"/>
    <m/>
    <n v="40"/>
    <n v="3650"/>
    <n v="62"/>
    <s v="SI_"/>
    <n v="6"/>
    <n v="6"/>
    <m/>
    <x v="1"/>
    <m/>
  </r>
  <r>
    <n v="1243761335"/>
    <x v="1"/>
    <d v="2022-10-04T00:00:00"/>
    <m/>
    <m/>
    <m/>
    <m/>
    <x v="0"/>
    <x v="5"/>
    <x v="5"/>
    <s v="RC"/>
    <s v="JULIANA"/>
    <m/>
    <s v="GALINDO"/>
    <s v="MACHADO"/>
    <s v="JULIANA  GALINDO MACHADO"/>
    <d v="2021-09-11T00:00:00"/>
    <x v="3"/>
    <n v="3"/>
    <n v="15"/>
    <s v="1 AÑOS 3 MESES 1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CL 105 A SUR 7D ESTE 30"/>
    <n v="3224752754"/>
    <n v="3023962853"/>
    <x v="0"/>
    <s v="NO SE AUTORECONOCE EN NINGUNO DE LOS ANTERIORES"/>
    <x v="0"/>
    <x v="6"/>
    <s v="NO_"/>
    <s v="NO_"/>
    <s v="a. Pertenecientes a hogares con puntaje SISBEN"/>
    <m/>
    <s v="ABUELO(A)"/>
    <s v="CC"/>
    <n v="39802876"/>
    <s v="SAIRA"/>
    <s v="MILENA"/>
    <s v="DIAZ"/>
    <s v="SANTAMARIA"/>
    <d v="1973-12-21T00:00:00"/>
    <s v="COLOMBIA"/>
    <s v="META"/>
    <s v="GRANADA"/>
    <s v="CC"/>
    <n v="80879866"/>
    <s v="JULIAN"/>
    <s v="GUILLERMO"/>
    <s v="GALINDO"/>
    <s v="RUBIO"/>
    <d v="1985-03-05T00:00:00"/>
    <n v="37"/>
    <s v="COLOMBIA"/>
    <s v="BOGOTÁ"/>
    <s v="BOGOTÁ"/>
    <s v="CC"/>
    <n v="1024520272"/>
    <s v="JENNY"/>
    <s v="FERNANDA"/>
    <s v="MACHADO"/>
    <s v="DIAZ"/>
    <d v="1991-04-05T00:00:00"/>
    <n v="31"/>
    <s v="COLOMBIA"/>
    <s v="BOGOTÁ"/>
    <s v="BOGOTÁ"/>
    <x v="0"/>
    <x v="6"/>
    <x v="0"/>
    <d v="2022-02-25T00:00:00"/>
    <s v="SI_"/>
    <x v="2"/>
    <n v="1"/>
    <s v="NO_"/>
    <m/>
    <m/>
    <n v="40"/>
    <n v="3010"/>
    <n v="49"/>
    <s v="SI_"/>
    <n v="6"/>
    <n v="6"/>
    <m/>
    <x v="1"/>
    <m/>
  </r>
  <r>
    <n v="1022939239"/>
    <x v="1"/>
    <d v="2022-10-04T00:00:00"/>
    <m/>
    <m/>
    <m/>
    <m/>
    <x v="0"/>
    <x v="0"/>
    <x v="0"/>
    <s v="TI"/>
    <s v="CAROL"/>
    <s v="DAYANA"/>
    <s v="ROMERO"/>
    <s v="GARCIA"/>
    <s v="CAROL DAYANA ROMERO GARCIA"/>
    <d v="2005-12-20T00:00:00"/>
    <x v="29"/>
    <n v="0"/>
    <n v="6"/>
    <s v="17 AÑOS 0 MESES 6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2"/>
    <m/>
    <s v="KR 5 ESTE 106 A SUR 46"/>
    <n v="3148253955"/>
    <n v="3126124461"/>
    <x v="0"/>
    <s v="NO SE AUTORECONOCE EN NINGUNO DE LOS ANTERIORES"/>
    <x v="0"/>
    <x v="11"/>
    <s v="NO_"/>
    <s v="NO_"/>
    <s v="a. Pertenecientes a hogares con puntaje SISBEN"/>
    <m/>
    <s v="MADRE"/>
    <s v="CC"/>
    <n v="52287158"/>
    <s v="MARIA"/>
    <s v="LUDIBIA"/>
    <s v="GARCIA"/>
    <s v="MORENO"/>
    <d v="1977-05-25T00:00:00"/>
    <s v="COLOMBIA"/>
    <s v="CALDAS"/>
    <s v="CHINCHINÁ"/>
    <m/>
    <m/>
    <m/>
    <m/>
    <m/>
    <m/>
    <m/>
    <s v=""/>
    <m/>
    <m/>
    <m/>
    <s v="CC"/>
    <n v="52287158"/>
    <s v="MARIA"/>
    <s v="LUDIBIA"/>
    <s v="GARCIA"/>
    <s v="MORENO"/>
    <d v="1977-05-25T00:00:00"/>
    <n v="45"/>
    <s v="COLOMBIA"/>
    <s v="CALDAS"/>
    <s v="CHINCHINÁ"/>
    <x v="0"/>
    <x v="5"/>
    <x v="1"/>
    <d v="2022-08-02T00:00:00"/>
    <s v="NO_"/>
    <x v="1"/>
    <n v="0"/>
    <s v="NO_"/>
    <s v="NA"/>
    <s v="NA"/>
    <s v="NA"/>
    <s v="NA"/>
    <s v="NA"/>
    <s v="NO_"/>
    <m/>
    <m/>
    <m/>
    <x v="0"/>
    <m/>
  </r>
  <r>
    <n v="1023047888"/>
    <x v="0"/>
    <d v="2022-10-04T00:00:00"/>
    <d v="2022-10-13T00:00:00"/>
    <m/>
    <e v="#N/A"/>
    <m/>
    <x v="0"/>
    <x v="3"/>
    <x v="3"/>
    <s v="RC"/>
    <s v="IAN"/>
    <s v="JESUS"/>
    <s v="GALEANO"/>
    <s v="SANCHEZ"/>
    <s v="IAN JESUS GALEANO SANCHEZ"/>
    <d v="2022-02-08T00:00:00"/>
    <x v="1"/>
    <n v="10"/>
    <n v="18"/>
    <s v="0 AÑOS 10 MESES 18 DIAS "/>
    <x v="2"/>
    <x v="1"/>
    <x v="0"/>
    <s v="BOGOTÁ"/>
    <s v="BOGOTÁ"/>
    <x v="0"/>
    <s v="NO_"/>
    <m/>
    <s v="NINGUNA"/>
    <s v="NO"/>
    <s v="NO_"/>
    <s v="NO_"/>
    <s v="NO_"/>
    <s v="NO_"/>
    <s v="NO_"/>
    <s v="NO_"/>
    <s v="NO_"/>
    <s v="COLOMBIA"/>
    <s v="BOGOTÁ"/>
    <x v="0"/>
    <s v="LOCALIDAD"/>
    <x v="0"/>
    <x v="5"/>
    <m/>
    <s v="DG 98 BIS SUR 5B ESTE 32"/>
    <n v="3227171939"/>
    <n v="3118866114"/>
    <x v="0"/>
    <s v="NO SE AUTORECONOCE EN NINGUNO DE LOS ANTERIORES"/>
    <x v="0"/>
    <x v="12"/>
    <s v="NO_"/>
    <s v="NO_"/>
    <s v="a. Pertenecientes a hogares con puntaje SISBEN"/>
    <m/>
    <s v="MADRE"/>
    <s v="CC"/>
    <n v="1023006918"/>
    <s v="SORLEY"/>
    <m/>
    <s v="SANCHEZ"/>
    <s v="HERRERA"/>
    <d v="1995-06-27T00:00:00"/>
    <s v="COLOMBIA"/>
    <s v="BOGOTÁ"/>
    <s v="BOGOTÁ"/>
    <s v="CC"/>
    <n v="1033753736"/>
    <s v="YAIR"/>
    <s v="DAVID"/>
    <s v="GALEANO"/>
    <s v="PINZON"/>
    <d v="1993-04-17T00:00:00"/>
    <n v="29"/>
    <s v="COLOMBIA"/>
    <s v="BOGOTÁ"/>
    <s v="BOGOTÁ"/>
    <s v="CC"/>
    <n v="1023006918"/>
    <s v="SORLEY"/>
    <m/>
    <s v="SANCHEZ"/>
    <s v="HERRERA"/>
    <d v="1995-06-27T00:00:00"/>
    <n v="27"/>
    <s v="COLOMBIA"/>
    <s v="BOGOTÁ"/>
    <s v="BOGOTÁ"/>
    <x v="0"/>
    <x v="0"/>
    <x v="0"/>
    <d v="2022-06-07T00:00:00"/>
    <s v="SI_"/>
    <x v="2"/>
    <n v="1"/>
    <s v="NO_"/>
    <m/>
    <m/>
    <n v="38"/>
    <n v="2680"/>
    <n v="45"/>
    <s v="SI_"/>
    <n v="6"/>
    <n v="7"/>
    <m/>
    <x v="2"/>
    <m/>
  </r>
  <r>
    <n v="1023048929"/>
    <x v="1"/>
    <d v="2022-10-04T00:00:00"/>
    <m/>
    <m/>
    <m/>
    <m/>
    <x v="0"/>
    <x v="0"/>
    <x v="0"/>
    <s v="RC"/>
    <s v="LOGAN"/>
    <s v="STIVEN"/>
    <s v="RODRIGUEZ"/>
    <s v="RIAÑO"/>
    <s v="LOGAN STIVEN RODRIGUEZ RIAÑO"/>
    <d v="2022-08-07T00:00:00"/>
    <x v="1"/>
    <n v="4"/>
    <n v="19"/>
    <s v="0 AÑOS 4 MESES 19 DIAS "/>
    <x v="1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KR 6B ESTE 97 SUR 14"/>
    <n v="3219977478"/>
    <m/>
    <x v="0"/>
    <s v="NO SE AUTORECONOCE EN NINGUNO DE LOS ANTERIORES"/>
    <x v="1"/>
    <x v="14"/>
    <s v="NO_"/>
    <s v="NO_"/>
    <s v="o. Ingresos iguales o inferiores a 1.5 Smlv"/>
    <m/>
    <s v="MADRE"/>
    <s v="CC"/>
    <n v="1000018080"/>
    <s v="NIKOL"/>
    <s v="VANESSA"/>
    <s v="RIAÑO"/>
    <s v="CAICEDO"/>
    <d v="2001-10-26T00:00:00"/>
    <s v="COLOMBIA"/>
    <s v="BOGOTÁ"/>
    <s v="BOGOTÁ"/>
    <s v="CC"/>
    <n v="1023016848"/>
    <s v="DAVID"/>
    <s v="STIVEN"/>
    <s v="RODRIGUEZ"/>
    <s v="ACOSTA"/>
    <d v="1996-09-11T00:00:00"/>
    <n v="26"/>
    <s v="COLOMBIA"/>
    <s v="BOGOTÁ"/>
    <s v="BOGOTÁ"/>
    <s v="CC"/>
    <n v="1000018080"/>
    <s v="NIKOL"/>
    <s v="VANESSA"/>
    <s v="RIAÑO"/>
    <s v="CAICEDO"/>
    <d v="2001-10-26T00:00:00"/>
    <n v="21"/>
    <s v="COLOMBIA"/>
    <s v="BOGOTÁ"/>
    <s v="BOGOTÁ"/>
    <x v="0"/>
    <x v="6"/>
    <x v="0"/>
    <d v="2022-09-05T00:00:00"/>
    <s v="SI_"/>
    <x v="2"/>
    <n v="1"/>
    <s v="NO_"/>
    <s v="NO"/>
    <m/>
    <n v="38"/>
    <n v="2990"/>
    <n v="49"/>
    <s v="SI_"/>
    <n v="1"/>
    <n v="1"/>
    <m/>
    <x v="0"/>
    <m/>
  </r>
  <r>
    <n v="1023048978"/>
    <x v="1"/>
    <d v="2022-10-04T00:00:00"/>
    <m/>
    <m/>
    <m/>
    <m/>
    <x v="0"/>
    <x v="4"/>
    <x v="4"/>
    <s v="RC"/>
    <s v="YAMIR"/>
    <s v="ALEXIS"/>
    <s v="BARRAGAN"/>
    <s v="ESPERANZA"/>
    <s v="YAMIR ALEXIS BARRAGAN ESPERANZA"/>
    <d v="2022-07-27T00:00:00"/>
    <x v="1"/>
    <n v="4"/>
    <n v="29"/>
    <s v="0 AÑOS 4 MESES 29 DIAS "/>
    <x v="1"/>
    <x v="1"/>
    <x v="0"/>
    <s v="BOGOTÁ"/>
    <s v="BOGOTÁ"/>
    <x v="0"/>
    <s v="NO_"/>
    <m/>
    <s v="NINGUNA"/>
    <s v="NO"/>
    <s v="NO_"/>
    <s v="NO_"/>
    <s v="NO_"/>
    <s v="NO_"/>
    <s v="NO_"/>
    <s v="NO_"/>
    <s v="NO_"/>
    <s v="COLOMBIA"/>
    <s v="BOGOTÁ"/>
    <x v="0"/>
    <s v="LOCALIDAD"/>
    <x v="0"/>
    <x v="7"/>
    <m/>
    <s v="KR 2A ESTE 90D SUR 39"/>
    <n v="3202494187"/>
    <n v="3229199727"/>
    <x v="0"/>
    <s v="NO SE AUTORECONOCE EN NINGUNO DE LOS ANTERIORES"/>
    <x v="1"/>
    <x v="4"/>
    <s v="NO_"/>
    <s v="NO_"/>
    <s v="a. Pertenecientes a hogares con puntaje SISBEN"/>
    <m/>
    <s v="MADRE"/>
    <s v="CC"/>
    <n v="1118578342"/>
    <s v="NEIBIS"/>
    <s v="SAMIRA"/>
    <s v="ESPERENZA"/>
    <s v="RICO"/>
    <d v="2001-08-18T00:00:00"/>
    <s v="VENEZUELA"/>
    <s v="EXTERIOR"/>
    <s v="EXTERIOR"/>
    <s v="CC"/>
    <n v="1020790020"/>
    <s v="CRISTHIAN"/>
    <s v="ANDRES"/>
    <s v="BARRAGAN"/>
    <s v="CARDOZO"/>
    <d v="1994-02-03T00:00:00"/>
    <n v="28"/>
    <s v="COLOMBIA"/>
    <s v="BOGOTÁ"/>
    <s v="BOGOTÁ"/>
    <s v="CC"/>
    <n v="1118578342"/>
    <s v="NEIBIS"/>
    <s v="SAMIRA"/>
    <s v="ESPERENZA"/>
    <s v="RICO"/>
    <d v="2001-08-18T00:00:00"/>
    <n v="21"/>
    <s v="COLOMBIA"/>
    <s v="BOGOTÁ"/>
    <s v="BOGOTÁ"/>
    <x v="1"/>
    <x v="1"/>
    <x v="0"/>
    <d v="2022-09-06T00:00:00"/>
    <s v="SI_"/>
    <x v="1"/>
    <n v="0"/>
    <s v="NO_"/>
    <s v="NO"/>
    <m/>
    <n v="40"/>
    <n v="3010"/>
    <n v="52"/>
    <s v="SI_"/>
    <n v="2"/>
    <n v="2"/>
    <m/>
    <x v="0"/>
    <m/>
  </r>
  <r>
    <n v="1087218446"/>
    <x v="1"/>
    <d v="2022-10-04T00:00:00"/>
    <m/>
    <m/>
    <m/>
    <m/>
    <x v="0"/>
    <x v="3"/>
    <x v="3"/>
    <s v="RC"/>
    <s v="EDELAIN"/>
    <s v="YERESET"/>
    <s v="ARROYO"/>
    <s v="RENGIFO"/>
    <s v="EDELAIN YERESET ARROYO RENGIFO"/>
    <d v="2021-09-19T00:00:00"/>
    <x v="3"/>
    <n v="3"/>
    <n v="7"/>
    <s v="1 AÑOS 3 MESES 7 DIAS "/>
    <x v="2"/>
    <x v="0"/>
    <x v="0"/>
    <s v="NARIÑO"/>
    <s v="TUMACO"/>
    <x v="0"/>
    <s v="NO_"/>
    <m/>
    <s v="NINGUNA"/>
    <s v="NO"/>
    <s v="NO_"/>
    <s v="NO_"/>
    <s v="NO_"/>
    <s v="NO_"/>
    <s v="NO_"/>
    <s v="NO_"/>
    <s v="NO_"/>
    <s v="COLOMBIA"/>
    <s v="BOGOTÁ"/>
    <x v="1"/>
    <m/>
    <x v="1"/>
    <x v="17"/>
    <s v="INVASION LA ESMERALDA"/>
    <m/>
    <n v="3002490474"/>
    <m/>
    <x v="0"/>
    <s v="NO SE AUTORECONOCE EN NINGUNO DE LOS ANTERIORES"/>
    <x v="1"/>
    <x v="1"/>
    <s v="NO_"/>
    <s v="NO_"/>
    <s v="o. Ingresos iguales o inferiores a 1.5 Smlv"/>
    <s v="NO_"/>
    <s v="TIO(A)"/>
    <s v="CC"/>
    <n v="59679811"/>
    <s v="IDIA"/>
    <s v="TAURINA"/>
    <s v="CORTES"/>
    <s v="RENGIFO"/>
    <d v="1979-01-02T00:00:00"/>
    <s v="COLOMBIA"/>
    <s v="NARIÑO"/>
    <s v="TUMACO"/>
    <m/>
    <m/>
    <m/>
    <m/>
    <m/>
    <m/>
    <m/>
    <s v=""/>
    <m/>
    <m/>
    <m/>
    <s v="CC"/>
    <n v="1087202384"/>
    <s v="ELISABETH"/>
    <m/>
    <s v="ARROYO"/>
    <s v="RENGIFO"/>
    <d v="1995-02-27T00:00:00"/>
    <n v="27"/>
    <s v="COLOMBIA"/>
    <s v="NARIÑO"/>
    <s v="TUMACO"/>
    <x v="1"/>
    <x v="2"/>
    <x v="0"/>
    <d v="2022-08-02T00:00:00"/>
    <s v="NO_"/>
    <x v="2"/>
    <n v="2"/>
    <s v="NO_"/>
    <s v="NO"/>
    <m/>
    <n v="40"/>
    <n v="3100"/>
    <n v="51"/>
    <s v="SI_"/>
    <n v="6"/>
    <n v="12"/>
    <m/>
    <x v="1"/>
    <m/>
  </r>
  <r>
    <n v="1007101197"/>
    <x v="1"/>
    <d v="2022-10-04T00:00:00"/>
    <m/>
    <m/>
    <m/>
    <m/>
    <x v="0"/>
    <x v="0"/>
    <x v="0"/>
    <s v="CC"/>
    <s v="ANGIE"/>
    <s v="CATALINA"/>
    <s v="PAEZ"/>
    <s v="PEDRAZA"/>
    <s v="ANGIE CATALINA PAEZ PEDRAZA"/>
    <d v="2001-05-08T00:00:00"/>
    <x v="15"/>
    <n v="7"/>
    <n v="18"/>
    <s v="21 AÑOS 7 MESES 18 DIAS "/>
    <x v="0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30"/>
    <m/>
    <s v="KR 9 ESTE 109 SUR 04"/>
    <n v="3107926318"/>
    <m/>
    <x v="0"/>
    <s v="NO SE AUTORECONOCE EN NINGUNO DE LOS ANTERIORES"/>
    <x v="0"/>
    <x v="18"/>
    <s v="NO_"/>
    <s v="NO_"/>
    <s v="a. Pertenecientes a hogares con puntaje SISBEN"/>
    <m/>
    <s v="MADRE"/>
    <s v="CC"/>
    <n v="52857326"/>
    <s v="MARY"/>
    <s v="BEL"/>
    <s v="PEDRAZA"/>
    <s v="CASTELLANOS"/>
    <d v="1981-04-29T00:00:00"/>
    <s v="COLOMBIA"/>
    <s v="CUNDINAMARCA"/>
    <s v="VENECIA"/>
    <m/>
    <m/>
    <m/>
    <m/>
    <m/>
    <m/>
    <m/>
    <s v=""/>
    <m/>
    <m/>
    <m/>
    <s v="CC"/>
    <n v="52857326"/>
    <s v="MARY"/>
    <s v="BEL"/>
    <s v="PEDRAZA"/>
    <s v="CASTELLANOS"/>
    <d v="1981-04-29T00:00:00"/>
    <n v="41"/>
    <s v="COLOMBIA"/>
    <s v="CUNDINAMARCA"/>
    <s v="VENECIA"/>
    <x v="0"/>
    <x v="4"/>
    <x v="1"/>
    <d v="2022-08-29T00:00:00"/>
    <s v="NO_"/>
    <x v="1"/>
    <s v="NA"/>
    <s v="NO_"/>
    <s v="NO"/>
    <s v="NA"/>
    <s v="NA"/>
    <s v="NA"/>
    <s v="NA"/>
    <s v="NO_"/>
    <m/>
    <m/>
    <m/>
    <x v="0"/>
    <m/>
  </r>
  <r>
    <n v="1145429965"/>
    <x v="1"/>
    <d v="2022-10-04T00:00:00"/>
    <m/>
    <m/>
    <m/>
    <m/>
    <x v="0"/>
    <x v="5"/>
    <x v="5"/>
    <s v="RC"/>
    <s v="DEMIAN"/>
    <s v="ALEXANDER"/>
    <s v="LOPEZ"/>
    <s v="GOMEZ"/>
    <s v="DEMIAN ALEXANDER LOPEZ GOMEZ"/>
    <d v="2021-02-06T00:00:00"/>
    <x v="3"/>
    <n v="10"/>
    <n v="20"/>
    <s v="1 AÑOS 10 MESES 20 DIAS "/>
    <x v="2"/>
    <x v="1"/>
    <x v="0"/>
    <s v="BOYACÁ"/>
    <s v="SOGAMOSO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0"/>
    <m/>
    <s v="KR 10 A ESTE 107 05"/>
    <n v="3208253006"/>
    <m/>
    <x v="0"/>
    <s v="NO SE AUTORECONOCE EN NINGUNO DE LOS ANTERIORES"/>
    <x v="1"/>
    <x v="7"/>
    <s v="NO_"/>
    <s v="NO_"/>
    <s v="o. Ingresos iguales o inferiores a 1.5 Smlv"/>
    <m/>
    <s v="TIO(A)"/>
    <s v="CC"/>
    <n v="1022922754"/>
    <s v="DANIELA"/>
    <s v="VANESSA"/>
    <s v="BARRETO"/>
    <s v="QUINTERO"/>
    <d v="2004-01-21T00:00:00"/>
    <s v="COLOMBIA"/>
    <s v="BOGOTÁ"/>
    <s v="BOGOTÁ"/>
    <m/>
    <m/>
    <m/>
    <m/>
    <m/>
    <m/>
    <m/>
    <s v=""/>
    <m/>
    <m/>
    <m/>
    <s v="TI"/>
    <n v="1028782205"/>
    <s v="ANGIE"/>
    <s v="DANIELA"/>
    <s v="GOMEZ"/>
    <m/>
    <d v="2005-04-09T00:00:00"/>
    <n v="17"/>
    <s v="COLOMBIA"/>
    <s v="BOGOTÁ"/>
    <s v="BOGOTÁ"/>
    <x v="0"/>
    <x v="1"/>
    <x v="0"/>
    <d v="2022-09-26T00:00:00"/>
    <s v="SI_"/>
    <x v="2"/>
    <n v="1"/>
    <s v="NO_"/>
    <s v="NO"/>
    <s v="NO"/>
    <n v="38"/>
    <n v="3380"/>
    <n v="49"/>
    <s v="NO_"/>
    <n v="6"/>
    <n v="18"/>
    <m/>
    <x v="1"/>
    <m/>
  </r>
  <r>
    <n v="1028675965"/>
    <x v="1"/>
    <d v="2022-10-04T00:00:00"/>
    <m/>
    <m/>
    <m/>
    <m/>
    <x v="0"/>
    <x v="7"/>
    <x v="7"/>
    <s v="RC"/>
    <s v="JINNEHT"/>
    <s v="SARAY"/>
    <s v="NOPE"/>
    <s v="MENDIVELSO"/>
    <s v="JINNEHT SARAY NOPE MENDIVELSO"/>
    <d v="2022-08-25T00:00:00"/>
    <x v="1"/>
    <n v="4"/>
    <n v="1"/>
    <s v="0 AÑOS 4 MESES 1 DIAS "/>
    <x v="1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LL 90 C SUR ESTE 00 - 25"/>
    <n v="3209591785"/>
    <n v="3143603574"/>
    <x v="0"/>
    <s v="NO SE AUTORECONOCE EN NINGUNO DE LOS ANTERIORES"/>
    <x v="1"/>
    <x v="1"/>
    <s v="NO_"/>
    <s v="NO_"/>
    <s v="o. Ingresos iguales o inferiores a 1.5 Smlv"/>
    <m/>
    <s v="MADRE"/>
    <s v="CC"/>
    <n v="1022932947"/>
    <s v="ANGIE"/>
    <s v="VALENTINA"/>
    <s v="MENDIVELSO"/>
    <s v="CUELLAR"/>
    <d v="2002-08-31T00:00:00"/>
    <s v="COLOMBIA"/>
    <s v="BOGOTÁ"/>
    <s v="BOGOTÁ"/>
    <s v="CC"/>
    <n v="79701871"/>
    <s v="JUAN"/>
    <s v="CARLOS"/>
    <s v="NOPE"/>
    <s v="HERNANDEZ"/>
    <d v="1974-07-09T00:00:00"/>
    <n v="48"/>
    <s v="COLOMBIA"/>
    <s v="BOYACÁ"/>
    <s v="TIBANÁ"/>
    <s v="CC"/>
    <n v="1022932947"/>
    <s v="ANGIE"/>
    <s v="VALENTINA"/>
    <s v="MENDIVELSO"/>
    <s v="CUELLAR"/>
    <d v="2002-08-31T00:00:00"/>
    <n v="20"/>
    <s v="COLOMBIA"/>
    <s v="BOGOTÁ"/>
    <s v="BOGOTÁ"/>
    <x v="3"/>
    <x v="12"/>
    <x v="0"/>
    <d v="2022-09-20T00:00:00"/>
    <s v="SI_"/>
    <x v="1"/>
    <m/>
    <s v="NO_"/>
    <m/>
    <m/>
    <s v="40 SEMANAS"/>
    <n v="2720"/>
    <n v="47"/>
    <s v="SI_"/>
    <n v="1"/>
    <n v="1"/>
    <m/>
    <x v="0"/>
    <m/>
  </r>
  <r>
    <n v="1044015485"/>
    <x v="0"/>
    <d v="2022-10-04T00:00:00"/>
    <d v="2022-10-13T00:00:00"/>
    <m/>
    <e v="#N/A"/>
    <m/>
    <x v="0"/>
    <x v="4"/>
    <x v="4"/>
    <s v="RC"/>
    <s v="SAMUEL"/>
    <s v="DE JESUS"/>
    <s v="RIVERA"/>
    <s v="MONTERO"/>
    <s v="SAMUEL DE JESUS RIVERA MONTERO"/>
    <d v="2020-11-02T00:00:00"/>
    <x v="2"/>
    <n v="1"/>
    <n v="24"/>
    <s v="2 AÑOS 1 MESES 24 DIAS "/>
    <x v="2"/>
    <x v="1"/>
    <x v="0"/>
    <s v="BOLÍVAR"/>
    <s v="CARTAGENA DE INDIAS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"/>
    <m/>
    <s v="CR 7D ESTE 90A SUR 58"/>
    <n v="3015789938"/>
    <m/>
    <x v="0"/>
    <s v="NO SE AUTORECONOCE EN NINGUNO DE LOS ANTERIORES"/>
    <x v="1"/>
    <x v="1"/>
    <s v="NO_"/>
    <s v="NO_"/>
    <s v="o. Ingresos iguales o inferiores a 1.5 Smlv"/>
    <m/>
    <s v="MADRE"/>
    <s v="CC"/>
    <n v="1002200609"/>
    <s v="MAIRA"/>
    <s v="ALEJANDRA"/>
    <s v="MONTERO"/>
    <s v="RAMIREZ"/>
    <d v="2001-11-10T00:00:00"/>
    <s v="COLOMBIA"/>
    <s v="BOLÍVAR"/>
    <s v="CARTAGENA DE INDIAS"/>
    <m/>
    <m/>
    <m/>
    <m/>
    <m/>
    <m/>
    <m/>
    <s v=""/>
    <m/>
    <m/>
    <m/>
    <s v="CC"/>
    <n v="1002200609"/>
    <s v="MAIRA"/>
    <s v="ALEJANDRA"/>
    <s v="MONTERO"/>
    <s v="RAMIREZ"/>
    <d v="2001-11-10T00:00:00"/>
    <n v="21"/>
    <s v="COLOMBIA"/>
    <s v="BOLÍVAR"/>
    <s v="CARTAGENA DE INDIAS"/>
    <x v="1"/>
    <x v="10"/>
    <x v="0"/>
    <m/>
    <s v="SI_"/>
    <x v="1"/>
    <m/>
    <s v="NO_"/>
    <m/>
    <m/>
    <s v="38 SEMANAS"/>
    <n v="3320"/>
    <n v="54"/>
    <m/>
    <n v="6"/>
    <n v="15"/>
    <m/>
    <x v="1"/>
    <m/>
  </r>
  <r>
    <n v="1028675921"/>
    <x v="1"/>
    <d v="2022-10-04T00:00:00"/>
    <m/>
    <m/>
    <m/>
    <m/>
    <x v="0"/>
    <x v="7"/>
    <x v="7"/>
    <s v="RC"/>
    <s v="BENJI"/>
    <m/>
    <s v="ALVAREZ"/>
    <s v="ORTIZ"/>
    <s v="BENJI  ALVAREZ ORTIZ"/>
    <d v="2022-08-04T00:00:00"/>
    <x v="1"/>
    <n v="4"/>
    <n v="22"/>
    <s v="0 AÑOS 4 MESES 22 DIAS "/>
    <x v="1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63"/>
    <m/>
    <s v="KR 14B ESTE 92 SUR 33"/>
    <n v="3228622673"/>
    <n v="3202573353"/>
    <x v="0"/>
    <s v="NO SE AUTORECONOCE EN NINGUNO DE LOS ANTERIORES"/>
    <x v="1"/>
    <x v="1"/>
    <s v="NO_"/>
    <s v="NO_"/>
    <s v="o. Ingresos iguales o inferiores a 1.5 Smlv"/>
    <m/>
    <s v="MADRE"/>
    <s v="CC"/>
    <n v="1000348117"/>
    <s v="ANGIE"/>
    <s v="LORENA"/>
    <s v="ORTIZ"/>
    <s v="CABRERA"/>
    <d v="2000-09-02T00:00:00"/>
    <s v="COLOMBIA"/>
    <s v="BOGOTÁ"/>
    <s v="BOGOTÁ"/>
    <s v="CC"/>
    <n v="1010211606"/>
    <s v="CESAR"/>
    <s v="AUGUSTO"/>
    <s v="ALVAREZ"/>
    <s v="SIERRA"/>
    <d v="1993-11-05T00:00:00"/>
    <n v="29"/>
    <s v="COLOMBIA"/>
    <s v="CAQUETÁ"/>
    <s v="PUERTO RICO"/>
    <s v="CC"/>
    <n v="1000348117"/>
    <s v="ANGIE"/>
    <s v="LORENA"/>
    <s v="ORTIZ"/>
    <s v="CABRERA"/>
    <d v="2000-09-02T00:00:00"/>
    <n v="22"/>
    <s v="COLOMBIA"/>
    <s v="BOGOTÁ"/>
    <s v="BOGOTÁ"/>
    <x v="1"/>
    <x v="1"/>
    <x v="0"/>
    <d v="2022-09-05T00:00:00"/>
    <s v="SI_"/>
    <x v="1"/>
    <m/>
    <s v="NO_"/>
    <m/>
    <m/>
    <s v="38  SEMANAS"/>
    <n v="3280"/>
    <n v="49"/>
    <s v="SI_"/>
    <n v="1"/>
    <n v="1"/>
    <m/>
    <x v="0"/>
    <m/>
  </r>
  <r>
    <n v="1028675793"/>
    <x v="1"/>
    <d v="2022-10-04T00:00:00"/>
    <m/>
    <m/>
    <m/>
    <m/>
    <x v="0"/>
    <x v="7"/>
    <x v="7"/>
    <s v="RC"/>
    <s v="ANGUIE"/>
    <s v="SALOME"/>
    <s v="CASTRO"/>
    <s v="GARCIA"/>
    <s v="ANGUIE SALOME CASTRO GARCIA"/>
    <d v="2022-05-24T00:00:00"/>
    <x v="1"/>
    <n v="7"/>
    <n v="2"/>
    <s v="0 AÑOS 7 MESES 2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9"/>
    <m/>
    <s v="INVASIÓN COMPOSTELA 3"/>
    <n v="3118624961"/>
    <m/>
    <x v="0"/>
    <s v="NO SE AUTORECONOCE EN NINGUNO DE LOS ANTERIORES"/>
    <x v="1"/>
    <x v="1"/>
    <s v="NO_"/>
    <s v="NO_"/>
    <s v="o. Ingresos iguales o inferiores a 1.5 Smlv"/>
    <m/>
    <s v="MADRE"/>
    <s v="CC"/>
    <n v="1106772746"/>
    <s v="JESSICA"/>
    <s v="ALEXANDRA"/>
    <s v="GARCIA"/>
    <s v="CENTENO"/>
    <d v="2003-12-16T00:00:00"/>
    <s v="COLOMBIA"/>
    <s v="TOLIMA"/>
    <s v="CHAPARRAL"/>
    <s v="CC"/>
    <n v="1000004219"/>
    <s v="ANGEL"/>
    <s v="GABRIEL"/>
    <s v="CASTRO"/>
    <s v="GOMEZ"/>
    <d v="2003-03-19T00:00:00"/>
    <n v="19"/>
    <s v="COLOMBIA"/>
    <s v="BOGOTÁ"/>
    <s v="BOGOTÁ"/>
    <s v="CC"/>
    <n v="1106772746"/>
    <s v="JESSICA"/>
    <s v="ALEXANDRA"/>
    <s v="GARCIA"/>
    <s v="CENTENO"/>
    <d v="2003-12-16T00:00:00"/>
    <n v="19"/>
    <s v="COLOMBIA"/>
    <s v="TOLIMA"/>
    <s v="CHAPARRAL"/>
    <x v="0"/>
    <x v="0"/>
    <x v="0"/>
    <d v="2022-09-20T00:00:00"/>
    <s v="SI_"/>
    <x v="2"/>
    <n v="1"/>
    <s v="NO_"/>
    <m/>
    <m/>
    <s v="38 SEMANAS"/>
    <n v="2380"/>
    <n v="47"/>
    <m/>
    <n v="3"/>
    <n v="3"/>
    <m/>
    <x v="2"/>
    <m/>
  </r>
  <r>
    <n v="1022450843"/>
    <x v="0"/>
    <d v="2022-10-04T00:00:00"/>
    <d v="2022-10-12T00:00:00"/>
    <m/>
    <e v="#N/A"/>
    <m/>
    <x v="0"/>
    <x v="4"/>
    <x v="4"/>
    <s v="RC"/>
    <s v="EVELYN"/>
    <s v="SOFIA"/>
    <s v="BOHORQUEZ"/>
    <s v="POSADA"/>
    <s v="EVELYN SOFIA BOHORQUEZ POSADA"/>
    <d v="2021-03-23T00:00:00"/>
    <x v="3"/>
    <n v="9"/>
    <n v="3"/>
    <s v="1 AÑOS 9 MESES 3 DIAS "/>
    <x v="2"/>
    <x v="0"/>
    <x v="0"/>
    <s v="BOGOTÁ"/>
    <s v="BOGOTÁ"/>
    <x v="0"/>
    <s v="NO_"/>
    <m/>
    <s v="NINGUNA"/>
    <m/>
    <m/>
    <m/>
    <m/>
    <m/>
    <m/>
    <m/>
    <m/>
    <s v="COLOMBIA"/>
    <s v="BOGOTÁ"/>
    <x v="0"/>
    <s v="LOCALIDAD"/>
    <x v="0"/>
    <x v="80"/>
    <m/>
    <s v="KR 14 T NO. 75 SUR - 02"/>
    <n v="3223980415"/>
    <m/>
    <x v="0"/>
    <s v="NO SE AUTORECONOCE EN NINGUNO DE LOS ANTERIORES"/>
    <x v="1"/>
    <x v="1"/>
    <s v="NO_"/>
    <s v="NO_"/>
    <s v="o. Ingresos iguales o inferiores a 1.5 Smlv"/>
    <m/>
    <s v="MADRE"/>
    <s v="CC"/>
    <n v="1001331256"/>
    <s v="MARIA"/>
    <s v="ALEJANDRA"/>
    <s v="POSADA"/>
    <s v="PRETEL"/>
    <d v="2003-06-23T00:00:00"/>
    <s v="COLOMBIA"/>
    <s v="BOGOTÁ"/>
    <s v="BOGOTÁ"/>
    <m/>
    <m/>
    <m/>
    <m/>
    <m/>
    <m/>
    <m/>
    <s v=""/>
    <s v="COLOMBIA"/>
    <s v="BOGOTÁ"/>
    <s v="BOGOTÁ"/>
    <s v="CC"/>
    <n v="1001331256"/>
    <s v="MARIA"/>
    <s v="ALEJANDRA"/>
    <s v="POSADA"/>
    <s v="PRETEL"/>
    <d v="2003-06-23T00:00:00"/>
    <n v="19"/>
    <s v="COLOMBIA"/>
    <s v="BOGOTÁ"/>
    <s v="BOGOTÁ"/>
    <x v="0"/>
    <x v="0"/>
    <x v="0"/>
    <d v="2022-04-04T00:00:00"/>
    <s v="SI_"/>
    <x v="2"/>
    <n v="1"/>
    <s v="NO_"/>
    <m/>
    <m/>
    <s v="38 SEMANAS"/>
    <n v="2870"/>
    <n v="49"/>
    <m/>
    <n v="6"/>
    <n v="12"/>
    <m/>
    <x v="1"/>
    <m/>
  </r>
  <r>
    <n v="1028673976"/>
    <x v="1"/>
    <d v="2022-10-04T00:00:00"/>
    <m/>
    <m/>
    <m/>
    <m/>
    <x v="0"/>
    <x v="7"/>
    <x v="7"/>
    <s v="RC"/>
    <s v="PAULA"/>
    <s v="ANDREA"/>
    <s v="DIAZ"/>
    <s v="RONCANCIO"/>
    <s v="PAULA ANDREA DIAZ RONCANCIO"/>
    <d v="2019-02-17T00:00:00"/>
    <x v="10"/>
    <n v="10"/>
    <n v="9"/>
    <s v="3 AÑOS 10 MESES 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CALLE 90 B SUR 19 ESTE 04"/>
    <n v="310240161"/>
    <m/>
    <x v="0"/>
    <s v="NO SE AUTORECONOCE EN NINGUNO DE LOS ANTERIORES"/>
    <x v="0"/>
    <x v="3"/>
    <s v="NO_"/>
    <s v="NO_"/>
    <s v="o. Ingresos iguales o inferiores a 1.5 Smlv"/>
    <m/>
    <s v="ABUELO(A)"/>
    <s v="CC"/>
    <n v="51679391"/>
    <s v="AURA"/>
    <s v="LINA"/>
    <s v="VANEGAS"/>
    <s v="ALFONSO"/>
    <d v="1962-09-25T00:00:00"/>
    <s v="COLOMBIA"/>
    <s v="BOYACÁ"/>
    <s v="SANTA MARÍA"/>
    <m/>
    <m/>
    <m/>
    <m/>
    <m/>
    <m/>
    <m/>
    <s v=""/>
    <m/>
    <m/>
    <m/>
    <m/>
    <m/>
    <m/>
    <m/>
    <m/>
    <m/>
    <m/>
    <s v=""/>
    <m/>
    <m/>
    <m/>
    <x v="1"/>
    <x v="1"/>
    <x v="0"/>
    <d v="2022-10-04T00:00:00"/>
    <s v="SI_"/>
    <x v="2"/>
    <n v="10"/>
    <s v="SI_"/>
    <m/>
    <m/>
    <n v="34"/>
    <n v="2275"/>
    <n v="36"/>
    <m/>
    <n v="2"/>
    <m/>
    <m/>
    <x v="3"/>
    <m/>
  </r>
  <r>
    <n v="1023989592"/>
    <x v="1"/>
    <d v="2022-10-04T00:00:00"/>
    <m/>
    <m/>
    <m/>
    <m/>
    <x v="0"/>
    <x v="8"/>
    <x v="8"/>
    <s v="RC"/>
    <s v="GIAN"/>
    <s v="GABRIEL"/>
    <s v="QUINTERO"/>
    <s v="ORONDO"/>
    <s v="GIAN GABRIEL QUINTERO ORONDO"/>
    <d v="2022-02-03T00:00:00"/>
    <x v="1"/>
    <n v="10"/>
    <n v="23"/>
    <s v="0 AÑOS 10 MESES 23 DIAS "/>
    <x v="2"/>
    <x v="1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40"/>
    <m/>
    <s v="KR 12 A ESTE 88 F SUR"/>
    <n v="3143210437"/>
    <n v="3224146904"/>
    <x v="0"/>
    <s v="NO SE AUTORECONOCE EN NINGUNO DE LOS ANTERIORES"/>
    <x v="1"/>
    <x v="1"/>
    <s v="NO_"/>
    <s v="NO_"/>
    <s v="o. Ingresos iguales o inferiores a 1.5 Smlv"/>
    <m/>
    <s v="MADRE"/>
    <s v="PEP"/>
    <n v="5999028"/>
    <s v="KIMBERLING"/>
    <s v="WILMAR"/>
    <s v="ORONDO"/>
    <s v="SEANNAVINO"/>
    <d v="1994-05-31T00:00:00"/>
    <s v="VENEZUELA"/>
    <s v="EXTERIOR"/>
    <s v="EXTERIOR"/>
    <s v="PEP"/>
    <n v="5999224"/>
    <s v="GIOVANNI"/>
    <s v="GABRIEL"/>
    <s v="QUINTERO "/>
    <s v="SANTIAGO"/>
    <d v="1990-04-05T00:00:00"/>
    <n v="32"/>
    <s v="VENEZUELA"/>
    <s v="EXTERIOR"/>
    <s v="EXTERIOR"/>
    <s v="PEP"/>
    <n v="5999028"/>
    <s v="KIMBERLING"/>
    <s v="WILMAR"/>
    <s v="ORONDO"/>
    <s v="SEANNAVINO"/>
    <d v="1994-05-31T00:00:00"/>
    <n v="28"/>
    <s v="VENEZUELA"/>
    <s v="EXTERIOR"/>
    <s v="EXTERIOR"/>
    <x v="1"/>
    <x v="1"/>
    <x v="0"/>
    <d v="2022-10-04T00:00:00"/>
    <s v="SI_"/>
    <x v="2"/>
    <n v="2"/>
    <s v="NO_"/>
    <m/>
    <m/>
    <n v="39"/>
    <n v="3565"/>
    <n v="52"/>
    <m/>
    <n v="6"/>
    <m/>
    <m/>
    <x v="2"/>
    <m/>
  </r>
  <r>
    <n v="1023045428"/>
    <x v="1"/>
    <d v="2022-10-04T00:00:00"/>
    <m/>
    <m/>
    <m/>
    <m/>
    <x v="0"/>
    <x v="4"/>
    <x v="4"/>
    <s v="RC"/>
    <s v="ISAAC"/>
    <m/>
    <s v="MENDIVELSO"/>
    <s v="GALINDO"/>
    <s v="ISAAC  MENDIVELSO GALINDO"/>
    <d v="2020-08-12T00:00:00"/>
    <x v="2"/>
    <n v="4"/>
    <n v="14"/>
    <s v="2 AÑOS 4 MESES 14 DIAS "/>
    <x v="2"/>
    <x v="1"/>
    <x v="0"/>
    <s v="BOGOTÁ"/>
    <s v="BOGOTÁ"/>
    <x v="0"/>
    <s v="NO_"/>
    <s v="N/A"/>
    <s v="NINGUNA"/>
    <s v="N/A"/>
    <s v="NO_"/>
    <s v="NO_"/>
    <s v="NO_"/>
    <s v="NO_"/>
    <s v="NO_"/>
    <s v="NO_"/>
    <s v="NO_"/>
    <s v="COLOMBIA"/>
    <s v="BOGOTÁ"/>
    <x v="0"/>
    <s v="LOCALIDAD"/>
    <x v="0"/>
    <x v="0"/>
    <m/>
    <s v="KR 7 ESTE NO 108 SUR-52"/>
    <n v="3172404281"/>
    <n v="324345565"/>
    <x v="0"/>
    <s v="NO SE AUTORECONOCE EN NINGUNO DE LOS ANTERIORES"/>
    <x v="0"/>
    <x v="23"/>
    <s v="NO_"/>
    <s v="NO_"/>
    <s v="a. Pertenecientes a hogares con puntaje SISBEN"/>
    <s v="NO_"/>
    <s v="ABUELO(A)"/>
    <s v="CC"/>
    <n v="52287156"/>
    <s v="MARIA "/>
    <s v="VICTORIA"/>
    <s v="GONZALEZ"/>
    <m/>
    <d v="1976-02-03T00:00:00"/>
    <s v="COLOMBIA"/>
    <s v="BOGOTÁ"/>
    <s v="BOGOTÁ"/>
    <s v="CC"/>
    <n v="1022932503"/>
    <s v="JUBAL"/>
    <m/>
    <s v="MENDIVELSO"/>
    <s v="MENDIVELSO"/>
    <d v="1987-03-27T00:00:00"/>
    <n v="35"/>
    <s v="COLOMBIA"/>
    <s v="BOYACÁ"/>
    <s v="SOCOTÁ"/>
    <s v="CC"/>
    <n v="1023016399"/>
    <s v="FLOR"/>
    <s v="ESPERANZA"/>
    <s v="GALINDO"/>
    <s v="GONZALEZ"/>
    <d v="1996-08-26T00:00:00"/>
    <n v="26"/>
    <s v="COLOMBIA"/>
    <s v="BOGOTÁ"/>
    <s v="BOGOTÁ"/>
    <x v="0"/>
    <x v="3"/>
    <x v="0"/>
    <d v="2022-03-03T00:00:00"/>
    <s v="NO_"/>
    <x v="2"/>
    <n v="1"/>
    <s v="SI_"/>
    <s v="NO_"/>
    <s v="N/A"/>
    <n v="36"/>
    <n v="3120"/>
    <n v="3120"/>
    <s v="N/A"/>
    <n v="6"/>
    <n v="6"/>
    <s v="N/A"/>
    <x v="1"/>
    <m/>
  </r>
  <r>
    <n v="1243859369"/>
    <x v="1"/>
    <d v="2022-10-04T00:00:00"/>
    <m/>
    <m/>
    <m/>
    <s v="UVAL"/>
    <x v="0"/>
    <x v="4"/>
    <x v="4"/>
    <s v="RC"/>
    <s v="ISABELLA"/>
    <m/>
    <s v="CORDOBA"/>
    <s v="ROJAS"/>
    <s v="ISABELLA  CORDOBA ROJAS"/>
    <d v="2020-09-03T00:00:00"/>
    <x v="2"/>
    <n v="3"/>
    <n v="23"/>
    <s v="2 AÑOS 3 MESES 23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14"/>
    <m/>
    <s v="CL 86B SUR 6A ESTE 9"/>
    <n v="3015288075"/>
    <m/>
    <x v="0"/>
    <s v="NO SE AUTORECONOCE EN NINGUNO DE LOS ANTERIORES"/>
    <x v="0"/>
    <x v="18"/>
    <s v="NO_"/>
    <s v="NO_"/>
    <s v="a. Pertenecientes a hogares con puntaje SISBEN"/>
    <m/>
    <s v="MADRE"/>
    <s v="CC"/>
    <n v="1022959267"/>
    <s v="DIANA"/>
    <s v="LUCIA"/>
    <s v="ROJAS"/>
    <s v="MARTINEZ"/>
    <d v="1990-04-19T00:00:00"/>
    <s v="COLOMBIA"/>
    <s v="BOGOTÁ"/>
    <s v="BOGOTÁ"/>
    <s v="CC"/>
    <n v="1022934459"/>
    <s v="JORGE"/>
    <s v="ARMANDO"/>
    <s v="CORDOBA"/>
    <s v="SANCHEZ"/>
    <d v="1987-06-19T00:00:00"/>
    <n v="35"/>
    <m/>
    <m/>
    <m/>
    <s v="CC"/>
    <n v="1022959267"/>
    <s v="DIANA"/>
    <s v="LUCIA"/>
    <s v="ROJAS"/>
    <s v="MARTINEZ"/>
    <d v="1990-04-19T00:00:00"/>
    <n v="32"/>
    <s v="COLOMBIA"/>
    <s v="BOGOTÁ"/>
    <s v="BOGOTÁ"/>
    <x v="0"/>
    <x v="3"/>
    <x v="0"/>
    <d v="2022-02-26T00:00:00"/>
    <s v="NO_"/>
    <x v="2"/>
    <n v="0"/>
    <s v="NO_"/>
    <m/>
    <m/>
    <n v="38"/>
    <n v="3260"/>
    <n v="52"/>
    <m/>
    <n v="6"/>
    <n v="12"/>
    <m/>
    <x v="1"/>
    <m/>
  </r>
  <r>
    <n v="1016751329"/>
    <x v="1"/>
    <d v="2022-10-25T00:00:00"/>
    <m/>
    <m/>
    <m/>
    <m/>
    <x v="0"/>
    <x v="3"/>
    <x v="3"/>
    <s v="RC"/>
    <s v="NATALY"/>
    <s v="GISETH"/>
    <s v="RAMIRAZ"/>
    <s v="PALACIOS "/>
    <s v="NATALY GISETH RAMIRAZ PALACIOS "/>
    <d v="2021-01-28T00:00:00"/>
    <x v="3"/>
    <n v="10"/>
    <n v="28"/>
    <s v="1 AÑOS 10 MESES 28 DIAS "/>
    <x v="2"/>
    <x v="0"/>
    <x v="0"/>
    <s v="BOGOTÁ"/>
    <s v="BOGOTÁ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62"/>
    <m/>
    <m/>
    <m/>
    <n v="3160427672"/>
    <x v="0"/>
    <s v="AFROCOLOMBIANO"/>
    <x v="0"/>
    <x v="13"/>
    <s v="NO_"/>
    <s v="NO_"/>
    <s v="g. Pertenecientes a comunidades étnicas (indígenas, comunidades negras, afrocolombianas, Palenqueros, Raizales y Rrom), que demanden el servicio."/>
    <m/>
    <s v="TIO(A)"/>
    <s v="CC"/>
    <n v="1076019181"/>
    <s v="ERIKA "/>
    <m/>
    <s v="AGUILAR "/>
    <s v="PALACIOS "/>
    <m/>
    <s v="COLOMBIA"/>
    <s v="BOGOTÁ"/>
    <s v="BOGOTÁ"/>
    <s v="CC"/>
    <n v="1003780261"/>
    <s v="VICTOR"/>
    <s v="MANUEL "/>
    <s v="RAMIREZ"/>
    <s v="RAMIREZ"/>
    <m/>
    <s v=""/>
    <s v="COLOMBIA"/>
    <s v="BOGOTÁ"/>
    <m/>
    <s v="CC"/>
    <n v="1077444559"/>
    <s v="ROSNEY"/>
    <m/>
    <s v="PALACIOS"/>
    <s v="CORDOBA"/>
    <d v="1989-09-16T00:00:00"/>
    <n v="33"/>
    <s v="COLOMBIA"/>
    <s v="CHOCÓ"/>
    <s v="ALTO BAUDÓ"/>
    <x v="1"/>
    <x v="1"/>
    <x v="0"/>
    <d v="2022-10-24T00:00:00"/>
    <s v="SI_"/>
    <x v="2"/>
    <m/>
    <s v="NO_"/>
    <m/>
    <m/>
    <m/>
    <n v="2705"/>
    <n v="49"/>
    <m/>
    <n v="6"/>
    <m/>
    <m/>
    <x v="1"/>
    <m/>
  </r>
  <r>
    <n v="5356083"/>
    <x v="0"/>
    <d v="2022-10-06T00:00:00"/>
    <d v="2022-10-24T00:00:00"/>
    <m/>
    <e v="#N/A"/>
    <m/>
    <x v="0"/>
    <x v="3"/>
    <x v="3"/>
    <s v="PPT"/>
    <s v="ANTHONELLA"/>
    <s v="NAYIBETH"/>
    <s v="IRIARTE"/>
    <s v="CAMBERO"/>
    <s v="ANTHONELLA NAYIBETH IRIARTE CAMBERO"/>
    <d v="2018-02-24T00:00:00"/>
    <x v="8"/>
    <n v="10"/>
    <n v="2"/>
    <s v="4 AÑOS 10 MESES 2 DIAS "/>
    <x v="2"/>
    <x v="0"/>
    <x v="1"/>
    <s v="EXTERIOR"/>
    <s v="EXTERIOR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47"/>
    <m/>
    <s v="ASENTAMIENTO LA ESMERALDA"/>
    <m/>
    <m/>
    <x v="0"/>
    <s v="NO SE AUTORECONOCE EN NINGUNO DE LOS ANTERIORES"/>
    <x v="1"/>
    <x v="1"/>
    <s v="NO_"/>
    <s v="SI_"/>
    <s v="f. Víctimas de hechos violentos asociados al conflicto armado, de acuerdo con las directrices establecidas en la Ley 1448 de 2011 y los Decretos ley 4633, 4634 y 4635 de 2011, así como la Sentencia T-025 de 2004 proferida por la Corte Constitucional y demás desarrollos jurisprudenciales en torno a la existencia de un estado de cosas inconstitucional; para lo cual se considerarán aquellos cuyo estado se encuentre incluido dentro del RUV."/>
    <m/>
    <s v="MADRE"/>
    <s v="CC"/>
    <n v="1232598597"/>
    <s v="CARLA"/>
    <s v="GABRIELA"/>
    <s v="IRIARTE"/>
    <s v="CAMBERO"/>
    <d v="1993-05-30T00:00:00"/>
    <s v="VENEZUELA"/>
    <s v="EXTERIOR"/>
    <s v="EXTERIOR"/>
    <m/>
    <m/>
    <m/>
    <m/>
    <m/>
    <m/>
    <m/>
    <s v=""/>
    <m/>
    <m/>
    <m/>
    <s v="CC"/>
    <n v="1232598597"/>
    <s v="CARLA"/>
    <s v="GABRIELA"/>
    <s v="IRIARTE"/>
    <s v="CAMBERO"/>
    <d v="1993-05-30T00:00:00"/>
    <n v="29"/>
    <s v="VENEZUELA"/>
    <s v="EXTERIOR"/>
    <s v="EXTERIOR"/>
    <x v="1"/>
    <x v="13"/>
    <x v="1"/>
    <m/>
    <s v="NO_"/>
    <x v="1"/>
    <m/>
    <s v="NO_"/>
    <m/>
    <m/>
    <s v="38 SEM"/>
    <n v="3050"/>
    <n v="50"/>
    <m/>
    <n v="6"/>
    <n v="12"/>
    <m/>
    <x v="3"/>
    <m/>
  </r>
  <r>
    <n v="1023985987"/>
    <x v="1"/>
    <d v="2022-10-06T00:00:00"/>
    <m/>
    <m/>
    <m/>
    <m/>
    <x v="0"/>
    <x v="3"/>
    <x v="3"/>
    <s v="RC"/>
    <s v="ANDRES"/>
    <s v="JOEL"/>
    <s v="AGUALIMPIA"/>
    <s v="MENA"/>
    <s v="ANDRES JOEL AGUALIMPIA MENA"/>
    <d v="2019-10-19T00:00:00"/>
    <x v="10"/>
    <n v="2"/>
    <n v="7"/>
    <s v="3 AÑOS 2 MESES 7 DIAS "/>
    <x v="2"/>
    <x v="1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47"/>
    <m/>
    <s v="ASENTAMIENTO LA ESMERALDA"/>
    <n v="3147836683"/>
    <m/>
    <x v="0"/>
    <s v="NO SE AUTORECONOCE EN NINGUNO DE LOS ANTERIORES"/>
    <x v="1"/>
    <x v="1"/>
    <s v="NO_"/>
    <s v="SI_"/>
    <s v="f. Víctimas de hechos violentos asociados al conflicto armado, de acuerdo con las directrices establecidas en la Ley 1448 de 2011 y los Decretos ley 4633, 4634 y 4635 de 2011, así como la Sentencia T-025 de 2004 proferida por la Corte Constitucional y demás desarrollos jurisprudenciales en torno a la existencia de un estado de cosas inconstitucional; para lo cual se considerarán aquellos cuyo estado se encuentre incluido dentro del RUV."/>
    <m/>
    <s v="MADRE"/>
    <s v="CC"/>
    <n v="1077440401"/>
    <s v="ESTELA"/>
    <m/>
    <s v="MENA"/>
    <s v="CORDOBA"/>
    <d v="1989-03-13T00:00:00"/>
    <s v="COLOMBIA"/>
    <s v="CHOCÓ"/>
    <s v="ALTO BAUDÓ"/>
    <m/>
    <m/>
    <m/>
    <m/>
    <m/>
    <m/>
    <m/>
    <s v=""/>
    <m/>
    <m/>
    <m/>
    <s v="CC"/>
    <n v="1077440401"/>
    <s v="ESTELA"/>
    <m/>
    <s v="MENA"/>
    <s v="CORDOBA"/>
    <d v="1989-03-13T00:00:00"/>
    <n v="33"/>
    <s v="COLOMBIA"/>
    <s v="CHOCÓ"/>
    <s v="ALTO BAUDÓ"/>
    <x v="0"/>
    <x v="2"/>
    <x v="0"/>
    <d v="2022-10-05T00:00:00"/>
    <s v="SI_"/>
    <x v="2"/>
    <n v="6"/>
    <s v="NO_"/>
    <m/>
    <m/>
    <s v="40 SEM"/>
    <n v="3380"/>
    <n v="50"/>
    <m/>
    <n v="6"/>
    <n v="24"/>
    <m/>
    <x v="3"/>
    <m/>
  </r>
  <r>
    <n v="1222222647"/>
    <x v="1"/>
    <d v="2022-10-06T00:00:00"/>
    <m/>
    <m/>
    <m/>
    <m/>
    <x v="0"/>
    <x v="3"/>
    <x v="3"/>
    <s v="RC"/>
    <s v="DALARY"/>
    <s v="DAHIAN"/>
    <s v="PERDOMO "/>
    <s v="PAEZ"/>
    <s v="DALARY DAHIAN PERDOMO  PAEZ"/>
    <d v="2019-08-06T00:00:00"/>
    <x v="10"/>
    <n v="4"/>
    <n v="20"/>
    <s v="3 AÑOS 4 MESES 20 DIAS "/>
    <x v="2"/>
    <x v="0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47"/>
    <m/>
    <s v="ASENTAMIENTO LA ESMERALDA"/>
    <n v="3118956565"/>
    <n v="3215800264"/>
    <x v="0"/>
    <s v="NO SE AUTORECONOCE EN NINGUNO DE LOS ANTERIORES"/>
    <x v="0"/>
    <x v="4"/>
    <s v="NO_"/>
    <s v="NO_"/>
    <s v="a. Pertenecientes a hogares con puntaje SISBEN"/>
    <m/>
    <s v="MADRE"/>
    <s v="CC"/>
    <n v="1233493468"/>
    <s v="TATIANA"/>
    <s v="CATERINE"/>
    <s v="PAEZ"/>
    <s v="TEQUIA"/>
    <d v="1998-01-01T00:00:00"/>
    <s v="COLOMBIA"/>
    <s v="BOGOTÁ"/>
    <s v="BOGOTÁ"/>
    <s v="CC"/>
    <n v="1010227892"/>
    <s v="JHON"/>
    <s v="ALEXANDER"/>
    <s v="PERDOMO"/>
    <s v="CARDOZO"/>
    <d v="1996-05-15T00:00:00"/>
    <n v="26"/>
    <s v="COLOMBIA"/>
    <s v="BOGOTÁ"/>
    <s v="BOGOTÁ"/>
    <s v="CC"/>
    <n v="1033493468"/>
    <s v="TATIANA"/>
    <s v="CATERINE"/>
    <s v="PAEZ"/>
    <s v="TEQUIA"/>
    <d v="1998-01-01T00:00:00"/>
    <n v="24"/>
    <s v="COLOMBIA"/>
    <s v="BOGOTÁ"/>
    <s v="BOGOTÁ"/>
    <x v="3"/>
    <x v="12"/>
    <x v="1"/>
    <m/>
    <m/>
    <x v="2"/>
    <n v="1"/>
    <s v="NO_"/>
    <m/>
    <m/>
    <m/>
    <m/>
    <m/>
    <m/>
    <m/>
    <m/>
    <m/>
    <x v="3"/>
    <m/>
  </r>
  <r>
    <n v="1087214750"/>
    <x v="1"/>
    <d v="2022-10-06T00:00:00"/>
    <m/>
    <m/>
    <m/>
    <m/>
    <x v="0"/>
    <x v="3"/>
    <x v="3"/>
    <s v="RC"/>
    <s v="JHOSTIN "/>
    <s v="SAMUEL"/>
    <s v="VALENCIA"/>
    <s v="CORTEZ"/>
    <s v="JHOSTIN  SAMUEL VALENCIA CORTEZ"/>
    <d v="2018-10-12T00:00:00"/>
    <x v="8"/>
    <n v="2"/>
    <n v="14"/>
    <s v="4 AÑOS 2 MESES 14 DIAS "/>
    <x v="2"/>
    <x v="1"/>
    <x v="0"/>
    <s v="NARIÑO"/>
    <s v="TUMACO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47"/>
    <m/>
    <s v="ASENTAMIENTO LA ESMERALDA"/>
    <n v="3143637392"/>
    <m/>
    <x v="0"/>
    <s v="AFROCOLOMBIANO"/>
    <x v="0"/>
    <x v="11"/>
    <s v="NO_"/>
    <s v="NO_"/>
    <s v="a. Pertenecientes a hogares con puntaje SISBEN"/>
    <m/>
    <s v="TIO(A)"/>
    <s v="CC"/>
    <n v="59679811"/>
    <s v="IDIA"/>
    <s v="TAURINA"/>
    <s v="CORTES"/>
    <s v="RENGIFO"/>
    <d v="1979-01-02T00:00:00"/>
    <s v="COLOMBIA"/>
    <s v="NARIÑO"/>
    <s v="TUMACO"/>
    <m/>
    <m/>
    <m/>
    <m/>
    <m/>
    <m/>
    <m/>
    <s v=""/>
    <s v=""/>
    <m/>
    <m/>
    <s v="CC"/>
    <n v="59682217"/>
    <s v="TANIA"/>
    <s v="VICENTA"/>
    <s v="CORTES"/>
    <m/>
    <d v="1981-03-04T00:00:00"/>
    <n v="41"/>
    <s v="COLOMBIA"/>
    <s v="NARIÑO"/>
    <s v="TUMACO"/>
    <x v="1"/>
    <x v="2"/>
    <x v="0"/>
    <d v="2022-10-05T00:00:00"/>
    <s v="SI_"/>
    <x v="2"/>
    <n v="1"/>
    <s v="NO_"/>
    <m/>
    <m/>
    <n v="39"/>
    <m/>
    <m/>
    <m/>
    <n v="7"/>
    <n v="20"/>
    <m/>
    <x v="3"/>
    <m/>
  </r>
  <r>
    <n v="1140939459"/>
    <x v="1"/>
    <d v="2022-10-06T00:00:00"/>
    <m/>
    <m/>
    <m/>
    <m/>
    <x v="0"/>
    <x v="3"/>
    <x v="3"/>
    <s v="RC"/>
    <s v="AINOHA"/>
    <s v="SARAY"/>
    <s v="AYALA"/>
    <s v="PARRA"/>
    <s v="AINOHA SARAY AYALA PARRA"/>
    <d v="2020-08-23T00:00:00"/>
    <x v="2"/>
    <n v="4"/>
    <n v="3"/>
    <s v="2 AÑOS 4 MESES 3 DIAS "/>
    <x v="2"/>
    <x v="0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47"/>
    <m/>
    <s v="ASENTAMIENTO LA ESMERALDA"/>
    <n v="3138530845"/>
    <m/>
    <x v="0"/>
    <s v="NO SE AUTORECONOCE EN NINGUNO DE LOS ANTERIORES"/>
    <x v="1"/>
    <x v="1"/>
    <s v="NO_"/>
    <s v="NO_"/>
    <s v="o. Ingresos iguales o inferiores a 1.5 Smlv"/>
    <m/>
    <s v="MADRE"/>
    <s v="CC"/>
    <n v="24712968"/>
    <s v="YISELA"/>
    <m/>
    <s v="PARRA"/>
    <s v="ALVARE4Z"/>
    <d v="1979-08-02T00:00:00"/>
    <s v="COLOMBIA"/>
    <s v="CUNDINAMARCA"/>
    <s v="YACOPÍ"/>
    <m/>
    <m/>
    <m/>
    <m/>
    <m/>
    <m/>
    <m/>
    <s v=""/>
    <s v=""/>
    <m/>
    <m/>
    <s v="CC"/>
    <n v="24712968"/>
    <s v="YISELA"/>
    <m/>
    <s v="PARRA"/>
    <s v="ALVAREZ"/>
    <d v="1979-08-02T00:00:00"/>
    <n v="43"/>
    <s v="COLOMBIA"/>
    <s v="CUNDINAMARCA"/>
    <s v="YACOPÍ"/>
    <x v="1"/>
    <x v="13"/>
    <x v="0"/>
    <d v="2022-10-05T00:00:00"/>
    <s v="SI_"/>
    <x v="1"/>
    <m/>
    <s v="NO_"/>
    <m/>
    <m/>
    <n v="39"/>
    <n v="3100"/>
    <n v="50"/>
    <m/>
    <n v="5"/>
    <n v="12"/>
    <m/>
    <x v="1"/>
    <m/>
  </r>
  <r>
    <n v="1028676088"/>
    <x v="1"/>
    <d v="2022-12-01T00:00:00"/>
    <m/>
    <m/>
    <m/>
    <m/>
    <x v="0"/>
    <x v="3"/>
    <x v="3"/>
    <s v="RC"/>
    <s v="VALERY"/>
    <s v="NAOMI"/>
    <s v="ROJAS"/>
    <s v="ZARATE"/>
    <s v="VALERY NAOMI ROJAS ZARATE"/>
    <d v="2022-10-16T00:00:00"/>
    <x v="1"/>
    <n v="2"/>
    <n v="10"/>
    <s v="0 AÑOS 2 MESES 10 DIAS "/>
    <x v="1"/>
    <x v="0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47"/>
    <m/>
    <s v="ASENTAMIENTO LA ESMERALDA"/>
    <n v="3226362531"/>
    <m/>
    <x v="0"/>
    <s v="NO SE AUTORECONOCE EN NINGUNO DE LOS ANTERIORES"/>
    <x v="0"/>
    <x v="4"/>
    <s v="NO_"/>
    <s v="NO_"/>
    <s v="a. Pertenecientes a hogares con puntaje SISBEN"/>
    <m/>
    <s v="ABUELA "/>
    <s v="CC"/>
    <n v="1026256575"/>
    <s v="YIRLY"/>
    <s v="FARLEY"/>
    <s v="ROJAS"/>
    <s v="ZARATE"/>
    <d v="1986-07-28T00:00:00"/>
    <s v="COLOMBIA"/>
    <s v="BOGOTÁ"/>
    <s v="BOGOTÁ"/>
    <m/>
    <m/>
    <m/>
    <m/>
    <m/>
    <m/>
    <m/>
    <s v=""/>
    <m/>
    <s v=""/>
    <m/>
    <s v="T.I"/>
    <n v="1023894383"/>
    <s v="YINETH"/>
    <s v="NATALIA "/>
    <s v="ROJAS "/>
    <s v="ZARATE"/>
    <d v="2005-04-22T00:00:00"/>
    <n v="17"/>
    <s v="COLOMBIA"/>
    <s v="BOGOTÁ"/>
    <m/>
    <x v="3"/>
    <x v="12"/>
    <x v="2"/>
    <m/>
    <s v="SI_"/>
    <x v="1"/>
    <m/>
    <s v="NO_"/>
    <m/>
    <m/>
    <m/>
    <m/>
    <m/>
    <s v="SI_"/>
    <m/>
    <m/>
    <m/>
    <x v="0"/>
    <m/>
  </r>
  <r>
    <n v="1023894383"/>
    <x v="0"/>
    <d v="2022-10-06T00:00:00"/>
    <d v="2022-12-01T00:00:00"/>
    <m/>
    <m/>
    <m/>
    <x v="0"/>
    <x v="3"/>
    <x v="3"/>
    <s v="TI"/>
    <s v="YINETH"/>
    <s v="NATALIA"/>
    <s v="ROJAS"/>
    <s v="ZARATE"/>
    <s v="YINETH NATALIA ROJAS ZARATE"/>
    <d v="2005-04-22T00:00:00"/>
    <x v="29"/>
    <n v="8"/>
    <n v="4"/>
    <s v="17 AÑOS 8 MESES 4 DIAS "/>
    <x v="0"/>
    <x v="0"/>
    <x v="0"/>
    <s v="BOGOTÁ"/>
    <s v="BOGOTÁ"/>
    <x v="0"/>
    <s v="NO_"/>
    <s v="NO"/>
    <s v="NINGUNA"/>
    <s v="N/A"/>
    <s v="NO_"/>
    <s v="NO_"/>
    <s v="NO_"/>
    <s v="NO_"/>
    <s v="NO_"/>
    <s v="NO_"/>
    <s v="NO_"/>
    <s v="COLOMBIA"/>
    <s v="BOGOTÁ"/>
    <x v="0"/>
    <s v="LOCALIDAD"/>
    <x v="0"/>
    <x v="47"/>
    <m/>
    <s v="ASENTAMIENTO LA ESMERALDA"/>
    <n v="3226362531"/>
    <m/>
    <x v="0"/>
    <s v="NO SE AUTORECONOCE EN NINGUNO DE LOS ANTERIORES"/>
    <x v="0"/>
    <x v="4"/>
    <s v="NO_"/>
    <s v="NO_"/>
    <s v="a. Pertenecientes a hogares con puntaje SISBEN"/>
    <m/>
    <s v="MADRE"/>
    <s v="CC"/>
    <n v="1026256575"/>
    <s v="YIRLY"/>
    <s v="FARLEY"/>
    <s v="ROJAS"/>
    <s v="ZARATE"/>
    <d v="1986-07-28T00:00:00"/>
    <s v="COLOMBIA"/>
    <s v="BOGOTÁ"/>
    <s v="BOGOTÁ"/>
    <m/>
    <m/>
    <m/>
    <m/>
    <m/>
    <m/>
    <m/>
    <s v=""/>
    <s v=""/>
    <m/>
    <m/>
    <m/>
    <m/>
    <m/>
    <m/>
    <m/>
    <m/>
    <m/>
    <s v=""/>
    <s v=""/>
    <m/>
    <m/>
    <x v="1"/>
    <x v="13"/>
    <x v="2"/>
    <m/>
    <m/>
    <x v="0"/>
    <m/>
    <m/>
    <m/>
    <m/>
    <m/>
    <m/>
    <m/>
    <m/>
    <m/>
    <m/>
    <m/>
    <x v="0"/>
    <m/>
  </r>
  <r>
    <n v="1243762894"/>
    <x v="0"/>
    <d v="2022-10-06T00:00:00"/>
    <d v="2022-10-13T00:00:00"/>
    <m/>
    <e v="#N/A"/>
    <m/>
    <x v="0"/>
    <x v="0"/>
    <x v="0"/>
    <s v="RC"/>
    <s v="EMILY"/>
    <s v="ALEJANDRA"/>
    <s v="CRUZ"/>
    <s v="CUPITRA"/>
    <s v="EMILY ALEJANDRA CRUZ CUPITRA"/>
    <d v="2022-05-09T00:00:00"/>
    <x v="1"/>
    <n v="7"/>
    <n v="17"/>
    <s v="0 AÑOS 7 MESES 17 DIAS "/>
    <x v="2"/>
    <x v="0"/>
    <x v="0"/>
    <s v="BOGOTÁ"/>
    <s v="BOGOTÁ"/>
    <x v="0"/>
    <s v="NO_"/>
    <s v="NO_"/>
    <s v="NO_"/>
    <s v="NO"/>
    <s v="NO_"/>
    <s v="NO_"/>
    <s v="NO_"/>
    <s v="NO_"/>
    <s v="NO_"/>
    <s v="NO_"/>
    <s v="NO_"/>
    <s v="COLOMBIA"/>
    <s v="BOGOTÁ"/>
    <x v="0"/>
    <s v="LOCALIDAD"/>
    <x v="0"/>
    <x v="7"/>
    <m/>
    <s v="KR 5 A ESTE 97 SUR 22"/>
    <n v="3204127904"/>
    <n v="3202626797"/>
    <x v="0"/>
    <s v="NO SE AUTORECONOCE EN NINGUNO DE LOS ANTERIORES"/>
    <x v="1"/>
    <x v="1"/>
    <s v="NO_"/>
    <s v="NO_"/>
    <s v="o. Ingresos iguales o inferiores a 1.5 Smlv"/>
    <m/>
    <s v="MADRE"/>
    <s v="CC"/>
    <n v="1023019557"/>
    <s v="YURY"/>
    <s v="PAOLA"/>
    <s v="CUPITRA"/>
    <s v="ESPINEL"/>
    <d v="1997-02-16T00:00:00"/>
    <s v="COLOMBIA"/>
    <s v="BOGOTÁ"/>
    <s v="BOGOTÁ"/>
    <s v="CC"/>
    <n v="1014259397"/>
    <s v="CRISTIAN"/>
    <s v="ALBERTO"/>
    <s v="CRUZ"/>
    <s v="ACOSTA"/>
    <d v="1995-09-09T00:00:00"/>
    <n v="27"/>
    <s v="COLOMBIA"/>
    <s v="BOGOTÁ"/>
    <s v="BOGOTÁ"/>
    <s v="CC"/>
    <n v="1023019557"/>
    <s v="YURY"/>
    <s v="PAOLA"/>
    <s v="CUPITRA"/>
    <s v="ESPINEL"/>
    <d v="1997-02-16T00:00:00"/>
    <n v="25"/>
    <s v="COLOMBIA"/>
    <s v="BOGOTÁ"/>
    <s v="BOGOTÁ"/>
    <x v="1"/>
    <x v="33"/>
    <x v="0"/>
    <d v="2022-09-09T00:00:00"/>
    <m/>
    <x v="2"/>
    <n v="2"/>
    <s v="NO_"/>
    <m/>
    <m/>
    <m/>
    <m/>
    <m/>
    <m/>
    <m/>
    <m/>
    <m/>
    <x v="2"/>
    <m/>
  </r>
  <r>
    <n v="1076019181"/>
    <x v="1"/>
    <d v="2022-10-06T00:00:00"/>
    <m/>
    <m/>
    <m/>
    <m/>
    <x v="0"/>
    <x v="3"/>
    <x v="3"/>
    <s v="CC"/>
    <s v="ERIKA"/>
    <m/>
    <s v="AGUILAR"/>
    <s v="PALACIOS"/>
    <s v="ERIKA  AGUILAR PALACIOS"/>
    <d v="1996-07-05T00:00:00"/>
    <x v="26"/>
    <n v="5"/>
    <n v="21"/>
    <s v="26 AÑOS 5 MESES 21 DIAS "/>
    <x v="0"/>
    <x v="0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81"/>
    <m/>
    <m/>
    <n v="3166427672"/>
    <n v="3108802053"/>
    <x v="0"/>
    <s v="NO SE AUTORECONOCE EN NINGUNO DE LOS ANTERIORES"/>
    <x v="1"/>
    <x v="1"/>
    <s v="NO_"/>
    <s v="NO_"/>
    <s v="o. Ingresos iguales o inferiores a 1.5 Smlv"/>
    <m/>
    <m/>
    <m/>
    <m/>
    <m/>
    <m/>
    <m/>
    <m/>
    <m/>
    <m/>
    <m/>
    <m/>
    <m/>
    <m/>
    <m/>
    <m/>
    <m/>
    <m/>
    <m/>
    <s v=""/>
    <m/>
    <m/>
    <m/>
    <m/>
    <m/>
    <m/>
    <m/>
    <m/>
    <m/>
    <m/>
    <s v=""/>
    <m/>
    <m/>
    <m/>
    <x v="0"/>
    <x v="34"/>
    <x v="2"/>
    <m/>
    <m/>
    <x v="0"/>
    <m/>
    <m/>
    <m/>
    <m/>
    <m/>
    <m/>
    <m/>
    <m/>
    <m/>
    <m/>
    <m/>
    <x v="0"/>
    <m/>
  </r>
  <r>
    <n v="1023048734"/>
    <x v="1"/>
    <d v="2022-10-06T00:00:00"/>
    <m/>
    <m/>
    <m/>
    <m/>
    <x v="0"/>
    <x v="1"/>
    <x v="1"/>
    <s v="RC"/>
    <s v="IAN"/>
    <s v="MATEO"/>
    <s v="MARQUEZ"/>
    <s v="SALAZAR"/>
    <s v="IAN MATEO MARQUEZ SALAZAR"/>
    <d v="2022-07-10T00:00:00"/>
    <x v="1"/>
    <n v="5"/>
    <n v="16"/>
    <s v="0 AÑOS 5 MESES 16 DIAS "/>
    <x v="1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2"/>
    <m/>
    <s v="ZON DE ASENTAMIENTO SIN LEGALIZAAR"/>
    <n v="3123919971"/>
    <m/>
    <x v="0"/>
    <s v="NO SE AUTORECONOCE EN NINGUNO DE LOS ANTERIORES"/>
    <x v="0"/>
    <x v="16"/>
    <s v="NO_"/>
    <s v="NO_"/>
    <s v="o. Ingresos iguales o inferiores a 1.5 Smlv"/>
    <m/>
    <s v="MADRE"/>
    <s v="CC"/>
    <n v="1033731314"/>
    <s v="ERIKA"/>
    <s v="LILIAM"/>
    <s v="SALAZAR"/>
    <s v="LOPEZ"/>
    <d v="1991-02-26T00:00:00"/>
    <s v="COLOMBIA"/>
    <s v="BOGOTÁ"/>
    <s v="BOGOTÁ"/>
    <s v="CC"/>
    <n v="1033710232"/>
    <s v="ALBERTO"/>
    <s v="RODOLFO"/>
    <s v="MARQUEZ"/>
    <s v="ALACON"/>
    <d v="1989-06-04T00:00:00"/>
    <n v="33"/>
    <s v="COLOMBIA"/>
    <s v="BOGOTÁ"/>
    <s v="BOGOTÁ"/>
    <s v="CC"/>
    <n v="1033731314"/>
    <s v="ERIKA"/>
    <s v="LILIAM"/>
    <s v="SALAZAR"/>
    <s v="LOPEZ"/>
    <d v="1991-02-26T00:00:00"/>
    <n v="31"/>
    <s v="COLOMBIA"/>
    <s v="BOGOTÁ"/>
    <s v="BOGOTÁ"/>
    <x v="0"/>
    <x v="5"/>
    <x v="0"/>
    <d v="2022-09-19T00:00:00"/>
    <s v="SI_"/>
    <x v="2"/>
    <n v="1"/>
    <s v="NO_"/>
    <m/>
    <m/>
    <n v="39"/>
    <n v="2790"/>
    <n v="49"/>
    <m/>
    <m/>
    <s v="HASTA EL MOMENTO"/>
    <m/>
    <x v="0"/>
    <m/>
  </r>
  <r>
    <n v="1023048879"/>
    <x v="1"/>
    <d v="2022-10-06T00:00:00"/>
    <m/>
    <m/>
    <m/>
    <m/>
    <x v="0"/>
    <x v="0"/>
    <x v="0"/>
    <s v="RC"/>
    <s v="SAMUEL"/>
    <s v="CALEB"/>
    <s v="ALVAREZ"/>
    <s v="SANCHEZ"/>
    <s v="SAMUEL CALEB ALVAREZ SANCHEZ"/>
    <d v="2022-07-26T00:00:00"/>
    <x v="1"/>
    <n v="5"/>
    <n v="0"/>
    <s v="0 AÑOS 5 MESES 0 DIAS "/>
    <x v="1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5"/>
    <m/>
    <s v="KR 6 ESTE NO 99 SUR - 20 B "/>
    <n v="3133625534"/>
    <n v="3202402692"/>
    <x v="0"/>
    <s v="NO SE AUTORECONOCE EN NINGUNO DE LOS ANTERIORES"/>
    <x v="1"/>
    <x v="1"/>
    <s v="NO_"/>
    <s v="NO_"/>
    <s v="o. Ingresos iguales o inferiores a 1.5 Smlv"/>
    <m/>
    <s v="MADRE"/>
    <s v="CC"/>
    <n v="1023022899"/>
    <s v="EDITH"/>
    <s v="AMPARO"/>
    <s v="SANCHEZ"/>
    <s v="LACHE"/>
    <d v="1997-08-03T00:00:00"/>
    <s v="COLOMBIA"/>
    <s v="BOGOTÁ"/>
    <s v="BOGOTÁ"/>
    <m/>
    <m/>
    <m/>
    <m/>
    <m/>
    <m/>
    <m/>
    <s v=""/>
    <m/>
    <m/>
    <m/>
    <s v="CC"/>
    <n v="1023022899"/>
    <s v="EDITH"/>
    <s v="AMPARO"/>
    <s v="SANCHEZ"/>
    <s v="LACHE"/>
    <d v="1997-08-03T00:00:00"/>
    <n v="25"/>
    <s v="COLOMBIA"/>
    <s v="BOGOTÁ"/>
    <s v="BOGOTÁ"/>
    <x v="0"/>
    <x v="5"/>
    <x v="0"/>
    <d v="2022-09-09T00:00:00"/>
    <s v="SI_"/>
    <x v="2"/>
    <n v="3"/>
    <s v="NO_"/>
    <m/>
    <m/>
    <s v="40.4 DIAS"/>
    <n v="3310"/>
    <s v="49.5"/>
    <m/>
    <m/>
    <s v="HASTA EL MOMENTO"/>
    <m/>
    <x v="0"/>
    <m/>
  </r>
  <r>
    <n v="1064728917"/>
    <x v="1"/>
    <d v="2022-12-15T00:00:00"/>
    <m/>
    <m/>
    <m/>
    <m/>
    <x v="0"/>
    <x v="7"/>
    <x v="7"/>
    <s v="RC"/>
    <s v="HELEN"/>
    <s v="SOFIA"/>
    <s v="AREVALO"/>
    <s v="MEZA"/>
    <s v="HELEN SOFIA AREVALO MEZA"/>
    <d v="2019-12-18T00:00:00"/>
    <x v="10"/>
    <n v="0"/>
    <n v="8"/>
    <s v="3 AÑOS 0 MESES 8 DIAS "/>
    <x v="2"/>
    <x v="0"/>
    <x v="0"/>
    <s v="BOGOTÁ"/>
    <s v="BOGOTÁ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74"/>
    <m/>
    <s v="KRA 12 B ESTE 88F-47 SUR "/>
    <n v="3117273096"/>
    <m/>
    <x v="0"/>
    <s v="NO SE AUTORECONOCE EN NINGUNO DE LOS ANTERIORES"/>
    <x v="0"/>
    <x v="19"/>
    <s v="NO_"/>
    <s v="NO_"/>
    <s v="o. Ingresos iguales o inferiores a 1.5 Smlv"/>
    <m/>
    <s v="TIO(A)"/>
    <s v="PEP"/>
    <n v="6688433"/>
    <s v="YENDRIS "/>
    <s v="JOSEFINA"/>
    <s v="MARCHAN "/>
    <s v="ROJAS "/>
    <d v="1981-08-08T00:00:00"/>
    <s v="VENEZUELA"/>
    <m/>
    <m/>
    <m/>
    <m/>
    <m/>
    <m/>
    <m/>
    <m/>
    <m/>
    <s v=""/>
    <m/>
    <m/>
    <m/>
    <s v="SIN DOCUMENTO"/>
    <m/>
    <s v="FELIXMAR"/>
    <s v="ALEJANDRA"/>
    <s v="MEZA"/>
    <s v="URDANETA"/>
    <d v="2000-09-02T00:00:00"/>
    <n v="22"/>
    <s v="VENEZUELA"/>
    <m/>
    <m/>
    <x v="1"/>
    <x v="0"/>
    <x v="0"/>
    <d v="2022-12-15T00:00:00"/>
    <s v="SI_"/>
    <x v="2"/>
    <n v="1"/>
    <s v="NO_"/>
    <s v="NO"/>
    <m/>
    <n v="39"/>
    <n v="2885"/>
    <n v="48"/>
    <s v="SI_"/>
    <n v="6"/>
    <n v="24"/>
    <s v="N/A"/>
    <x v="3"/>
    <m/>
  </r>
  <r>
    <n v="1016749744"/>
    <x v="0"/>
    <d v="2022-10-06T00:00:00"/>
    <d v="2022-12-14T00:00:00"/>
    <m/>
    <m/>
    <m/>
    <x v="0"/>
    <x v="7"/>
    <x v="7"/>
    <s v="RC"/>
    <s v="ANGIE"/>
    <s v="CAROLINA"/>
    <s v="ROMERO "/>
    <s v="VIRACACHA"/>
    <s v="ANGIE CAROLINA ROMERO  VIRACACHA"/>
    <d v="2020-05-11T00:00:00"/>
    <x v="2"/>
    <n v="7"/>
    <n v="15"/>
    <s v="2 AÑOS 7 MESES 1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74"/>
    <m/>
    <s v="KR 12 C ESTE 89 SUR 71"/>
    <n v="3118275475"/>
    <m/>
    <x v="0"/>
    <s v="NO SE AUTORECONOCE EN NINGUNO DE LOS ANTERIORES"/>
    <x v="1"/>
    <x v="1"/>
    <m/>
    <m/>
    <m/>
    <m/>
    <s v="MADRE"/>
    <s v="CC"/>
    <n v="1023954843"/>
    <s v="ANGIE"/>
    <s v="CATERINE"/>
    <s v="VIRACACHA"/>
    <s v="CUERVO"/>
    <d v="1996-10-09T00:00:00"/>
    <s v="COLOMBIA"/>
    <s v="BOGOTÁ"/>
    <s v="BOGOTÁ"/>
    <s v="CC"/>
    <n v="73317921"/>
    <s v="ALEX"/>
    <m/>
    <s v="ROMERO"/>
    <s v="MARTINEZ"/>
    <m/>
    <s v=""/>
    <m/>
    <m/>
    <m/>
    <s v="CC"/>
    <n v="1023954843"/>
    <s v="ANGIE"/>
    <s v="CATERINE"/>
    <s v="VIRACACHA"/>
    <s v="CUERVO"/>
    <d v="1996-10-09T00:00:00"/>
    <n v="26"/>
    <s v="COLOMBIA"/>
    <s v="BOGOTÁ"/>
    <s v="BOGOTÁ"/>
    <x v="4"/>
    <x v="16"/>
    <x v="0"/>
    <s v="21/09/2022"/>
    <s v="SI_"/>
    <x v="2"/>
    <s v="NO"/>
    <m/>
    <m/>
    <m/>
    <m/>
    <n v="2556"/>
    <m/>
    <m/>
    <m/>
    <m/>
    <m/>
    <x v="1"/>
    <m/>
  </r>
  <r>
    <n v="1023990155"/>
    <x v="1"/>
    <d v="2022-10-10T00:00:00"/>
    <m/>
    <m/>
    <m/>
    <m/>
    <x v="0"/>
    <x v="0"/>
    <x v="0"/>
    <s v="RC"/>
    <s v="NICOLAS"/>
    <s v="JOA"/>
    <s v="APERADOR"/>
    <s v="SALAMANCA"/>
    <s v="NICOLAS JOA APERADOR SALAMANCA"/>
    <d v="2022-05-31T00:00:00"/>
    <x v="1"/>
    <n v="6"/>
    <n v="25"/>
    <s v="0 AÑOS 6 MESES 25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m/>
    <s v="COLOMBIA"/>
    <s v="BOGOTÁ"/>
    <x v="0"/>
    <s v="LOCALIDAD"/>
    <x v="0"/>
    <x v="9"/>
    <m/>
    <s v="TV 7 D ESTE 98 62 SUR"/>
    <n v="3219148192"/>
    <m/>
    <x v="0"/>
    <s v="NO SE AUTORECONOCE EN NINGUNO DE LOS ANTERIORES"/>
    <x v="1"/>
    <x v="1"/>
    <s v="NO_"/>
    <s v="NO_"/>
    <s v="o. Ingresos iguales o inferiores a 1.5 Smlv"/>
    <m/>
    <s v="MADRE"/>
    <s v="CC"/>
    <n v="1022948400"/>
    <s v="TERRY "/>
    <s v="DANIELA"/>
    <s v="SALAMANCA"/>
    <s v="GUALTEROS"/>
    <d v="1989-02-04T00:00:00"/>
    <s v="COLOMBIA"/>
    <s v="BOGOTÁ"/>
    <s v="BOGOTÁ"/>
    <s v="CC"/>
    <n v="80072825"/>
    <s v="JOSE"/>
    <s v="GUILLERMO"/>
    <s v="APERADOR "/>
    <s v="DIAZ"/>
    <d v="1982-07-01T00:00:00"/>
    <n v="40"/>
    <s v="COLOMBIA"/>
    <s v="BOGOTÁ"/>
    <s v="BOGOTÁ"/>
    <m/>
    <m/>
    <m/>
    <m/>
    <m/>
    <m/>
    <m/>
    <s v=""/>
    <m/>
    <m/>
    <m/>
    <x v="0"/>
    <x v="5"/>
    <x v="0"/>
    <d v="2022-09-09T00:00:00"/>
    <s v="SI_"/>
    <x v="2"/>
    <n v="10"/>
    <s v="SI_"/>
    <m/>
    <m/>
    <n v="37"/>
    <n v="2300"/>
    <n v="46"/>
    <m/>
    <m/>
    <s v="HASTA EL MOMENTO"/>
    <m/>
    <x v="2"/>
    <m/>
  </r>
  <r>
    <n v="1016744027"/>
    <x v="1"/>
    <d v="2022-10-11T00:00:00"/>
    <m/>
    <m/>
    <m/>
    <m/>
    <x v="0"/>
    <x v="3"/>
    <x v="3"/>
    <s v="RC"/>
    <s v="JOHAN"/>
    <s v="ESTIVEN"/>
    <s v="GUERRA"/>
    <s v="PALACIOS"/>
    <s v="JOHAN ESTIVEN GUERRA PALACIOS"/>
    <d v="2017-12-14T00:00:00"/>
    <x v="9"/>
    <n v="0"/>
    <n v="12"/>
    <s v="5 AÑOS 0 MESES 12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81"/>
    <m/>
    <s v="ACENTAMIENTO"/>
    <n v="3142415348"/>
    <m/>
    <x v="0"/>
    <s v="NO SE AUTORECONOCE EN NINGUNO DE LOS ANTERIORES"/>
    <x v="1"/>
    <x v="1"/>
    <s v="NO_"/>
    <s v="NO_"/>
    <s v="o. Ingresos iguales o inferiores a 1.5 Smlv"/>
    <m/>
    <s v="MADRE"/>
    <s v="CC"/>
    <n v="1075024426"/>
    <s v="ALEYDA"/>
    <m/>
    <s v="PALACIOS"/>
    <s v="ZUÑIGA"/>
    <d v="1999-11-26T00:00:00"/>
    <s v="COLOMBIA"/>
    <s v="CHOCÓ"/>
    <s v="ALTO BAUDÓ"/>
    <m/>
    <m/>
    <m/>
    <m/>
    <m/>
    <m/>
    <m/>
    <s v=""/>
    <m/>
    <m/>
    <m/>
    <s v="CC"/>
    <n v="1075024426"/>
    <s v="ALEYDA"/>
    <m/>
    <s v="PALACIOS"/>
    <s v="ZUÑIGA"/>
    <d v="1999-11-26T00:00:00"/>
    <n v="23"/>
    <s v="COLOMBIA"/>
    <s v="CHOCÓ"/>
    <s v="ALTO BAUDÓ"/>
    <x v="0"/>
    <x v="3"/>
    <x v="0"/>
    <d v="2022-10-05T00:00:00"/>
    <s v="SI_"/>
    <x v="2"/>
    <n v="2"/>
    <s v="NO_"/>
    <m/>
    <m/>
    <n v="40"/>
    <n v="3053"/>
    <n v="50"/>
    <m/>
    <m/>
    <s v="HASTA EL MOMENTO"/>
    <m/>
    <x v="3"/>
    <m/>
  </r>
  <r>
    <n v="1016743297"/>
    <x v="1"/>
    <d v="2022-10-11T00:00:00"/>
    <m/>
    <m/>
    <m/>
    <m/>
    <x v="0"/>
    <x v="3"/>
    <x v="3"/>
    <s v="RC"/>
    <s v="ESNEYDER"/>
    <m/>
    <s v="CORDOBA"/>
    <s v="PALACIOS"/>
    <s v="ESNEYDER  CORDOBA PALACIOS"/>
    <d v="2017-08-08T00:00:00"/>
    <x v="9"/>
    <n v="4"/>
    <n v="18"/>
    <s v="5 AÑOS 4 MESES 18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81"/>
    <m/>
    <s v="ACENTAMIENTO"/>
    <n v="3146123625"/>
    <m/>
    <x v="0"/>
    <s v="NO SE AUTORECONOCE EN NINGUNO DE LOS ANTERIORES"/>
    <x v="1"/>
    <x v="1"/>
    <s v="NO_"/>
    <s v="NO_"/>
    <s v="o. Ingresos iguales o inferiores a 1.5 Smlv"/>
    <m/>
    <s v="MADRE"/>
    <s v="CC"/>
    <n v="1076019182"/>
    <s v="MARI"/>
    <s v="SALLY"/>
    <s v="CORDOBA"/>
    <s v="PALACIOS"/>
    <d v="1996-07-18T00:00:00"/>
    <s v="COLOMBIA"/>
    <s v="CHOCÓ"/>
    <s v="ALTO BAUDÓ"/>
    <m/>
    <m/>
    <m/>
    <m/>
    <m/>
    <m/>
    <m/>
    <s v=""/>
    <m/>
    <m/>
    <m/>
    <s v="CC"/>
    <n v="1076019182"/>
    <s v="MARI"/>
    <s v="SALLY"/>
    <s v="CORDOBA"/>
    <s v="PALACIOS"/>
    <d v="1996-07-18T00:00:00"/>
    <n v="26"/>
    <s v="COLOMBIA"/>
    <s v="CHOCÓ"/>
    <s v="ALTO BAUDÓ"/>
    <x v="1"/>
    <x v="31"/>
    <x v="0"/>
    <d v="2022-10-05T00:00:00"/>
    <s v="SI_"/>
    <x v="2"/>
    <m/>
    <s v="NO_"/>
    <m/>
    <m/>
    <m/>
    <m/>
    <m/>
    <m/>
    <m/>
    <m/>
    <m/>
    <x v="3"/>
    <m/>
  </r>
  <r>
    <n v="1233514448"/>
    <x v="1"/>
    <d v="2022-10-11T00:00:00"/>
    <m/>
    <m/>
    <m/>
    <m/>
    <x v="0"/>
    <x v="7"/>
    <x v="7"/>
    <s v="RC"/>
    <s v="LIAN "/>
    <s v="JOSE "/>
    <s v="POLANCO "/>
    <s v="ZAPATA"/>
    <s v="LIAN  JOSE  POLANCO  ZAPATA"/>
    <d v="2018-06-27T00:00:00"/>
    <x v="8"/>
    <n v="5"/>
    <n v="29"/>
    <s v="4 AÑOS 5 MESES 29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63"/>
    <m/>
    <s v="CLL 90 A SUR NO 13 C ESTE - 54 "/>
    <n v="3118522957"/>
    <n v="3105526177"/>
    <x v="0"/>
    <s v="NO SE AUTORECONOCE EN NINGUNO DE LOS ANTERIORES"/>
    <x v="1"/>
    <x v="1"/>
    <s v="NO_"/>
    <s v="NO_"/>
    <s v="o. Ingresos iguales o inferiores a 1.5 Smlv"/>
    <m/>
    <s v="MADRE"/>
    <s v="CC"/>
    <n v="1114402990"/>
    <s v="YERALDINNE"/>
    <m/>
    <s v="ZAPATA"/>
    <s v="RODRIGUEZ"/>
    <d v="1999-10-23T00:00:00"/>
    <s v="COLOMBIA"/>
    <s v="BOGOTÁ"/>
    <s v="BOGOTÁ"/>
    <m/>
    <m/>
    <m/>
    <m/>
    <m/>
    <m/>
    <m/>
    <s v=""/>
    <m/>
    <m/>
    <m/>
    <s v="CC"/>
    <n v="1114402990"/>
    <s v="YERALDINNE"/>
    <m/>
    <s v="ZAPATA"/>
    <s v="RODRIGUEZ"/>
    <d v="1999-10-23T00:00:00"/>
    <n v="23"/>
    <s v="COLOMBIA"/>
    <s v="BOGOTÁ"/>
    <s v="BOGOTÁ"/>
    <x v="0"/>
    <x v="2"/>
    <x v="0"/>
    <d v="2022-10-05T00:00:00"/>
    <s v="SI_"/>
    <x v="2"/>
    <n v="3"/>
    <s v="NO_"/>
    <m/>
    <m/>
    <n v="40"/>
    <n v="3080"/>
    <n v="50"/>
    <m/>
    <n v="6"/>
    <n v="6"/>
    <m/>
    <x v="3"/>
    <m/>
  </r>
  <r>
    <n v="1021696822"/>
    <x v="1"/>
    <d v="2022-10-11T00:00:00"/>
    <m/>
    <m/>
    <m/>
    <m/>
    <x v="0"/>
    <x v="4"/>
    <x v="4"/>
    <s v="RC"/>
    <s v="EMMA"/>
    <s v="VICTORIA"/>
    <s v="BOHORQUEZ"/>
    <s v="GUERRERO"/>
    <s v="EMMA VICTORIA BOHORQUEZ GUERRERO"/>
    <d v="2021-11-27T00:00:00"/>
    <x v="3"/>
    <n v="0"/>
    <n v="29"/>
    <s v="1 AÑOS 0 MESES 29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5"/>
    <m/>
    <s v="DG 100 D #6 B ESTE 18 SUR"/>
    <n v="3118697189"/>
    <n v="3187574479"/>
    <x v="0"/>
    <s v="NO SE AUTORECONOCE EN NINGUNO DE LOS ANTERIORES"/>
    <x v="1"/>
    <x v="1"/>
    <s v="NO_"/>
    <s v="NO_"/>
    <s v="o. Ingresos iguales o inferiores a 1.5 Smlv"/>
    <m/>
    <s v="MADRE"/>
    <s v="CC"/>
    <n v="1022980282"/>
    <s v="LIZETH"/>
    <s v="TATIANA"/>
    <s v="GUERRERO"/>
    <s v="FAJARDO"/>
    <d v="1992-09-13T00:00:00"/>
    <s v="COLOMBIA"/>
    <s v="BOGOTÁ"/>
    <s v="BOGOTÁ"/>
    <s v="CC"/>
    <n v="1022960528"/>
    <s v="CRISTHIAN"/>
    <s v="CAMILO"/>
    <s v="BOHORQUEZ"/>
    <s v="JAMIOY"/>
    <d v="1990-05-01T00:00:00"/>
    <n v="32"/>
    <s v="COLOMBIA"/>
    <s v="BOGOTÁ"/>
    <s v="BOGOTÁ"/>
    <s v="CC"/>
    <n v="1022980282"/>
    <s v="LIZETH"/>
    <s v="TATIANA"/>
    <s v="GUERRERO"/>
    <s v="FAJARDO"/>
    <d v="1992-09-13T00:00:00"/>
    <n v="30"/>
    <s v="COLOMBIA"/>
    <s v="BOGOTÁ"/>
    <s v="BOGOTÁ"/>
    <x v="0"/>
    <x v="5"/>
    <x v="0"/>
    <d v="2022-10-05T00:00:00"/>
    <s v="SI_"/>
    <x v="2"/>
    <n v="8"/>
    <s v="SI_"/>
    <m/>
    <s v="39.7"/>
    <n v="36"/>
    <s v="2000 GR"/>
    <s v="45 CM"/>
    <s v="SI_"/>
    <n v="3"/>
    <n v="3"/>
    <m/>
    <x v="1"/>
    <m/>
  </r>
  <r>
    <n v="1023046980"/>
    <x v="1"/>
    <d v="2022-10-11T00:00:00"/>
    <m/>
    <m/>
    <m/>
    <m/>
    <x v="0"/>
    <x v="5"/>
    <x v="5"/>
    <s v="RC"/>
    <s v="BREIDYS "/>
    <s v="JASMIN"/>
    <s v="JACANAMIJOY"/>
    <s v="CHASOY"/>
    <s v="BREIDYS  JASMIN JACANAMIJOY CHASOY"/>
    <d v="2021-07-14T00:00:00"/>
    <x v="3"/>
    <n v="5"/>
    <n v="12"/>
    <s v="1 AÑOS 5 MESES 12 DIAS "/>
    <x v="2"/>
    <x v="0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0"/>
    <m/>
    <s v="CARRERA7-108-31SUR"/>
    <n v="3145357514"/>
    <n v="3105638728"/>
    <x v="0"/>
    <s v="NO SE AUTORECONOCE EN NINGUNO DE LOS ANTERIORES"/>
    <x v="0"/>
    <x v="1"/>
    <s v="NO_"/>
    <s v="NO_"/>
    <s v="o. Ingresos iguales o inferiores a 1.5 Smlv"/>
    <m/>
    <s v="CC"/>
    <n v="1022935887"/>
    <s v="JESSICA"/>
    <s v="PAOLA"/>
    <s v="CHASOY"/>
    <s v="JACANAMIJOY"/>
    <n v="38555"/>
    <d v="1900-01-16T00:00:00"/>
    <s v="COLOMBIA"/>
    <s v="BOGOTÁ"/>
    <s v="BOGOTÁ"/>
    <s v="SIN DOCUMENTO"/>
    <m/>
    <s v="ANTONI"/>
    <s v="BRAYAN"/>
    <s v="JACANAMLIOY"/>
    <s v="JAJOY"/>
    <d v="1998-10-04T00:00:00"/>
    <n v="24"/>
    <s v="VENEZUELA"/>
    <s v="EXTERIOR"/>
    <s v="EXTERIOR"/>
    <s v="CC"/>
    <n v="1022935887"/>
    <s v="JESSICA"/>
    <s v="PAOLA"/>
    <s v="CHASOY"/>
    <s v="JACANAMIJOY"/>
    <d v="2005-07-22T00:00:00"/>
    <n v="17"/>
    <s v="COLOMBIA"/>
    <s v="BOGOTÁ"/>
    <s v="BOGOTÁ"/>
    <x v="1"/>
    <x v="1"/>
    <x v="0"/>
    <d v="2022-10-05T00:00:00"/>
    <s v="SI_"/>
    <x v="1"/>
    <m/>
    <s v="NO_"/>
    <m/>
    <m/>
    <m/>
    <n v="2810"/>
    <n v="49"/>
    <m/>
    <n v="6"/>
    <s v="HASTA EL MOMENTO"/>
    <n v="38"/>
    <x v="1"/>
    <m/>
  </r>
  <r>
    <n v="1206226627"/>
    <x v="1"/>
    <d v="2022-10-11T00:00:00"/>
    <m/>
    <m/>
    <m/>
    <m/>
    <x v="0"/>
    <x v="5"/>
    <x v="5"/>
    <s v="RC"/>
    <s v="NEYDER"/>
    <s v="ANTHUAN"/>
    <s v="PEÑA"/>
    <s v="ESCOBAR"/>
    <s v="NEYDER ANTHUAN PEÑA ESCOBAR"/>
    <d v="2020-12-17T00:00:00"/>
    <x v="2"/>
    <n v="0"/>
    <n v="9"/>
    <s v="2 AÑOS 0 MESES 9 DIAS "/>
    <x v="2"/>
    <x v="1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0"/>
    <m/>
    <s v="DG98BSUR8ESTE"/>
    <n v="3125884509"/>
    <m/>
    <x v="0"/>
    <s v="NO SE AUTORECONOCE EN NINGUNO DE LOS ANTERIORES"/>
    <x v="2"/>
    <x v="1"/>
    <s v="NO_"/>
    <s v="NO_"/>
    <s v="o. Ingresos iguales o inferiores a 1.5 Smlv"/>
    <m/>
    <s v="OTRO"/>
    <s v="SIN DOCUMENTO"/>
    <m/>
    <s v="LUZ"/>
    <s v="MARIA"/>
    <s v="GRATEROL"/>
    <s v="JANSASOY"/>
    <d v="2002-04-08T00:00:00"/>
    <s v="VENEZUELA"/>
    <s v="EXTERIOR"/>
    <s v="EXTERIOR"/>
    <m/>
    <m/>
    <m/>
    <m/>
    <m/>
    <m/>
    <m/>
    <s v=""/>
    <m/>
    <m/>
    <m/>
    <s v="SIN DOCUMENTO"/>
    <m/>
    <s v="ESTEFANY"/>
    <s v="NAYELIS"/>
    <s v="PEÑA"/>
    <s v="ESCOBAR"/>
    <d v="2001-09-11T00:00:00"/>
    <n v="21"/>
    <s v="VENEZUELA"/>
    <s v="EXTERIOR"/>
    <s v="EXTERIOR"/>
    <x v="1"/>
    <x v="1"/>
    <x v="0"/>
    <d v="2022-10-05T00:00:00"/>
    <s v="SI_"/>
    <x v="1"/>
    <m/>
    <s v="NO_"/>
    <m/>
    <m/>
    <m/>
    <n v="3510"/>
    <m/>
    <m/>
    <n v="6"/>
    <n v="6"/>
    <m/>
    <x v="1"/>
    <m/>
  </r>
  <r>
    <n v="1222223375"/>
    <x v="1"/>
    <d v="2022-10-11T00:00:00"/>
    <m/>
    <m/>
    <m/>
    <m/>
    <x v="0"/>
    <x v="3"/>
    <x v="3"/>
    <s v="RC"/>
    <s v="JHOIMAR "/>
    <s v="JOSEPH"/>
    <s v="AGUALIMPIA "/>
    <s v="PALACIOS "/>
    <s v="JHOIMAR  JOSEPH AGUALIMPIA  PALACIOS "/>
    <d v="2019-12-09T00:00:00"/>
    <x v="10"/>
    <n v="0"/>
    <n v="17"/>
    <s v="3 AÑOS 0 MESES 17 DIAS "/>
    <x v="2"/>
    <x v="1"/>
    <x v="0"/>
    <s v="BOGOTÁ"/>
    <s v="BOGOTÁ"/>
    <x v="0"/>
    <s v="NO_"/>
    <s v="NO"/>
    <m/>
    <m/>
    <s v="NO_"/>
    <s v="NO_"/>
    <s v="NO_"/>
    <s v="NO_"/>
    <s v="NO_"/>
    <s v="NO_"/>
    <s v="NO_"/>
    <s v="COLOMBIA"/>
    <s v="BOGOTÁ"/>
    <x v="0"/>
    <s v="LOCALIDAD"/>
    <x v="0"/>
    <x v="62"/>
    <m/>
    <s v="ACENTAMIENTO"/>
    <n v="3132580568"/>
    <m/>
    <x v="2"/>
    <s v="NO SE AUTORECONOCE EN NINGUNO DE LOS ANTERIORES"/>
    <x v="1"/>
    <x v="1"/>
    <s v="NO_"/>
    <s v="NO_"/>
    <s v="o. Ingresos iguales o inferiores a 1.5 Smlv"/>
    <m/>
    <s v="MADRE"/>
    <s v="CC"/>
    <n v="1050961048"/>
    <s v="MARILUZ"/>
    <m/>
    <s v="PALACIOS "/>
    <s v="CORDOBA"/>
    <s v="19/1271991"/>
    <s v="COLOMBIA"/>
    <s v="CHOCÓ"/>
    <s v="ALTO BAUDÓ"/>
    <m/>
    <m/>
    <m/>
    <m/>
    <m/>
    <m/>
    <m/>
    <s v=""/>
    <m/>
    <m/>
    <m/>
    <s v="CC"/>
    <n v="1050961048"/>
    <s v="MARILUZ"/>
    <m/>
    <s v="PALACIOS "/>
    <s v="CORDOBA"/>
    <d v="1991-12-19T00:00:00"/>
    <n v="31"/>
    <s v="COLOMBIA"/>
    <s v="CHOCÓ"/>
    <s v="ALTO BAUDÓ"/>
    <x v="0"/>
    <x v="6"/>
    <x v="0"/>
    <d v="2022-10-11T00:00:00"/>
    <s v="SI_"/>
    <x v="2"/>
    <m/>
    <s v="NO_"/>
    <m/>
    <m/>
    <m/>
    <n v="2800"/>
    <n v="51"/>
    <m/>
    <m/>
    <m/>
    <m/>
    <x v="3"/>
    <m/>
  </r>
  <r>
    <n v="1023046801"/>
    <x v="1"/>
    <d v="2022-10-11T00:00:00"/>
    <m/>
    <m/>
    <m/>
    <m/>
    <x v="0"/>
    <x v="5"/>
    <x v="5"/>
    <s v="RC"/>
    <s v="HILARI"/>
    <s v="MILAGRO"/>
    <s v="ORTIZ"/>
    <s v="GRISALES"/>
    <s v="HILARI MILAGRO ORTIZ GRISALES"/>
    <d v="2021-04-23T00:00:00"/>
    <x v="3"/>
    <n v="8"/>
    <n v="3"/>
    <s v="1 AÑOS 8 MESES 3 DIAS "/>
    <x v="2"/>
    <x v="0"/>
    <x v="0"/>
    <s v="BOGOTÁ"/>
    <s v="BOGOTÁ"/>
    <x v="0"/>
    <s v="NO_"/>
    <s v="NO"/>
    <m/>
    <m/>
    <s v="NO_"/>
    <s v="NO_"/>
    <s v="NO_"/>
    <s v="NO_"/>
    <s v="NO_"/>
    <s v="NO_"/>
    <s v="NO_"/>
    <s v="COLOMBIA"/>
    <s v="BOGOTÁ"/>
    <x v="0"/>
    <s v="LOCALIDAD"/>
    <x v="0"/>
    <x v="62"/>
    <m/>
    <s v="ACENTAMIENTO"/>
    <n v="3133074336"/>
    <m/>
    <x v="2"/>
    <s v="NO SE AUTORECONOCE EN NINGUNO DE LOS ANTERIORES"/>
    <x v="1"/>
    <x v="1"/>
    <s v="NO_"/>
    <s v="NO_"/>
    <s v="o. Ingresos iguales o inferiores a 1.5 Smlv"/>
    <m/>
    <s v="MADRE"/>
    <s v="CC"/>
    <n v="1006180441"/>
    <s v="YENNY"/>
    <s v="CAROLINA"/>
    <s v="GRISALES"/>
    <s v="CASTRO"/>
    <m/>
    <s v="COLOMBIA"/>
    <m/>
    <m/>
    <m/>
    <m/>
    <m/>
    <m/>
    <m/>
    <m/>
    <m/>
    <s v=""/>
    <m/>
    <m/>
    <m/>
    <s v="CC"/>
    <n v="1006180441"/>
    <s v="YENNY"/>
    <s v="CAROLINA"/>
    <s v="GRISALES"/>
    <s v="CASTRO"/>
    <m/>
    <s v=""/>
    <m/>
    <m/>
    <s v=" "/>
    <x v="0"/>
    <x v="3"/>
    <x v="0"/>
    <m/>
    <s v="SI_"/>
    <x v="0"/>
    <m/>
    <s v="NO_"/>
    <m/>
    <m/>
    <m/>
    <m/>
    <m/>
    <m/>
    <m/>
    <m/>
    <m/>
    <x v="1"/>
    <m/>
  </r>
  <r>
    <n v="1109567206"/>
    <x v="0"/>
    <d v="2022-10-11T00:00:00"/>
    <d v="2022-10-24T00:00:00"/>
    <m/>
    <e v="#N/A"/>
    <m/>
    <x v="0"/>
    <x v="3"/>
    <x v="3"/>
    <s v="RC"/>
    <s v="CELESTE"/>
    <m/>
    <s v="PAZ"/>
    <s v="GRISALES"/>
    <s v="CELESTE  PAZ GRISALES"/>
    <d v="2019-02-03T00:00:00"/>
    <x v="10"/>
    <n v="10"/>
    <n v="23"/>
    <s v="3 AÑOS 10 MESES 23 DIAS "/>
    <x v="2"/>
    <x v="0"/>
    <x v="0"/>
    <s v="BOGOTÁ"/>
    <s v="BOGOTÁ"/>
    <x v="0"/>
    <s v="NO_"/>
    <s v="NO"/>
    <m/>
    <m/>
    <s v="NO_"/>
    <s v="NO_"/>
    <s v="NO_"/>
    <s v="NO_"/>
    <s v="NO_"/>
    <s v="NO_"/>
    <s v="NO_"/>
    <s v="COLOMBIA"/>
    <s v="BOGOTÁ"/>
    <x v="0"/>
    <s v="LOCALIDAD"/>
    <x v="0"/>
    <x v="62"/>
    <m/>
    <s v="ACENTAMIENTO"/>
    <n v="3133074336"/>
    <m/>
    <x v="2"/>
    <s v="NO SE AUTORECONOCE EN NINGUNO DE LOS ANTERIORES"/>
    <x v="1"/>
    <x v="1"/>
    <s v="NO_"/>
    <s v="NO_"/>
    <s v="o. Ingresos iguales o inferiores a 1.5 Smlv"/>
    <m/>
    <s v="MADRE"/>
    <s v="CC"/>
    <n v="1006180441"/>
    <s v="YENNY"/>
    <s v="CAROLINA"/>
    <s v="GRISALES"/>
    <s v="CASTRO"/>
    <m/>
    <m/>
    <m/>
    <m/>
    <m/>
    <m/>
    <m/>
    <m/>
    <m/>
    <m/>
    <m/>
    <s v=""/>
    <m/>
    <m/>
    <m/>
    <s v="CC"/>
    <n v="1006180441"/>
    <s v="YENNY"/>
    <s v="CAROLINA"/>
    <s v="GRISALES"/>
    <s v="CASTRO"/>
    <m/>
    <s v=""/>
    <m/>
    <m/>
    <m/>
    <x v="0"/>
    <x v="3"/>
    <x v="0"/>
    <m/>
    <s v="SI_"/>
    <x v="0"/>
    <m/>
    <s v="NO_"/>
    <m/>
    <m/>
    <m/>
    <m/>
    <m/>
    <m/>
    <m/>
    <m/>
    <m/>
    <x v="3"/>
    <m/>
  </r>
  <r>
    <n v="1233924826"/>
    <x v="1"/>
    <d v="2022-10-13T00:00:00"/>
    <m/>
    <m/>
    <m/>
    <m/>
    <x v="0"/>
    <x v="2"/>
    <x v="2"/>
    <s v="RC"/>
    <s v="ISABELLA"/>
    <m/>
    <s v="RODRIGUEZ"/>
    <s v="HERNANDEZ"/>
    <s v="ISABELLA  RODRIGUEZ HERNANDEZ"/>
    <d v="2022-04-11T00:00:00"/>
    <x v="1"/>
    <n v="8"/>
    <n v="15"/>
    <s v="0 AÑOS 8 MESES 15 DIAS "/>
    <x v="2"/>
    <x v="0"/>
    <x v="0"/>
    <s v="BOGOTÁ"/>
    <s v="BOGOTÁ"/>
    <x v="0"/>
    <s v="NO_"/>
    <m/>
    <s v="NINGUNA"/>
    <m/>
    <s v="NO_"/>
    <s v="NO_"/>
    <s v="NO_"/>
    <s v="NO_"/>
    <s v="NO_"/>
    <s v="NO_"/>
    <s v="NO_"/>
    <s v="COLOMBIA"/>
    <s v="BOGOTÁ"/>
    <x v="0"/>
    <s v="LOCALIDAD"/>
    <x v="0"/>
    <x v="82"/>
    <m/>
    <s v="CL 84 BIS SUR 0 ESTE 51"/>
    <n v="3212537918"/>
    <n v="3229167060"/>
    <x v="0"/>
    <s v="NO SE AUTORECONOCE EN NINGUNO DE LOS ANTERIORES"/>
    <x v="1"/>
    <x v="1"/>
    <s v="NO_"/>
    <s v="NO_"/>
    <s v="o. Ingresos iguales o inferiores a 1.5 Smlv"/>
    <m/>
    <s v="MADRE"/>
    <s v="CC"/>
    <n v="1002314527"/>
    <s v="ANGIE"/>
    <s v="KATERIN"/>
    <s v="HERNANDEZ"/>
    <s v="ORTEGA"/>
    <d v="2003-10-02T00:00:00"/>
    <s v="COLOMBIA"/>
    <s v="BOGOTÁ"/>
    <s v="BOGOTÁ"/>
    <m/>
    <m/>
    <m/>
    <m/>
    <m/>
    <m/>
    <m/>
    <s v=""/>
    <m/>
    <m/>
    <m/>
    <s v="CC"/>
    <n v="1002314527"/>
    <s v="ANGIE"/>
    <s v="KATERIN"/>
    <s v="HERNANDEZ"/>
    <s v="ORTEGA"/>
    <d v="2003-10-02T00:00:00"/>
    <n v="19"/>
    <s v="COLOMBIA"/>
    <s v="BOYACÁ"/>
    <s v="GUATEQUE"/>
    <x v="1"/>
    <x v="6"/>
    <x v="0"/>
    <d v="2022-10-13T00:00:00"/>
    <s v="SI_"/>
    <x v="2"/>
    <s v="SI_"/>
    <s v="SI_"/>
    <m/>
    <m/>
    <m/>
    <m/>
    <m/>
    <m/>
    <m/>
    <m/>
    <m/>
    <x v="2"/>
    <m/>
  </r>
  <r>
    <n v="1245079112"/>
    <x v="1"/>
    <d v="2022-10-18T00:00:00"/>
    <m/>
    <s v="EVELYN BOHORQUEZ"/>
    <m/>
    <m/>
    <x v="0"/>
    <x v="4"/>
    <x v="4"/>
    <s v="RC"/>
    <s v="JOSHUA "/>
    <s v="ALEJANDRO"/>
    <s v="ALBINO "/>
    <s v="VELASQUEZ"/>
    <s v="JOSHUA  ALEJANDRO ALBINO  VELASQUEZ"/>
    <d v="2021-09-15T00:00:00"/>
    <x v="3"/>
    <n v="3"/>
    <n v="11"/>
    <s v="1 AÑOS 3 MESES 11 DIAS "/>
    <x v="2"/>
    <x v="1"/>
    <x v="0"/>
    <s v="BOGOTÁ"/>
    <s v="BOGOTÁ"/>
    <x v="0"/>
    <s v="NO_"/>
    <s v="N/A"/>
    <m/>
    <s v="N/A"/>
    <s v="NO_"/>
    <s v="NO_"/>
    <s v="NO_"/>
    <s v="NO_"/>
    <s v="NO_"/>
    <s v="NO_"/>
    <s v="NO_"/>
    <s v="COLOMBIA"/>
    <s v="BOGOTÁ"/>
    <x v="0"/>
    <s v="LOCALIDAD"/>
    <x v="0"/>
    <x v="0"/>
    <m/>
    <s v="DIAGONAL98BSUR#6F ESTE-17"/>
    <n v="3015931119"/>
    <m/>
    <x v="0"/>
    <s v="NO SE AUTORECONOCE EN NINGUNO DE LOS ANTERIORES"/>
    <x v="1"/>
    <x v="1"/>
    <s v="SI_"/>
    <s v="NO_"/>
    <s v="o. Ingresos iguales o inferiores a 1.5 Smlv"/>
    <m/>
    <s v="MADRE"/>
    <s v="CC"/>
    <n v="1023028261"/>
    <s v="ANGELA"/>
    <s v="MARIA"/>
    <s v="VELASQUEZ"/>
    <s v="CARDONA"/>
    <d v="1998-01-30T00:00:00"/>
    <s v="COLOMBIA"/>
    <s v="BOGOTÁ"/>
    <s v="BOGOTÁ"/>
    <s v="CC"/>
    <n v="1023013001"/>
    <s v="WILSON"/>
    <s v="SMITH"/>
    <s v="ALBINO"/>
    <s v="VARGAS"/>
    <d v="1996-05-26T00:00:00"/>
    <n v="26"/>
    <s v="COLOMBIA"/>
    <s v="BOGOTÁ"/>
    <s v="BOGOTÁ"/>
    <s v="CC"/>
    <n v="1023028261"/>
    <s v="ANGELA"/>
    <s v="MARIA"/>
    <s v="VELASQUEZ"/>
    <s v="CARDONA"/>
    <d v="1998-01-30T00:00:00"/>
    <n v="24"/>
    <s v="COLOMBIA"/>
    <s v="BOGOTÁ"/>
    <s v="BOGOTÁ"/>
    <x v="0"/>
    <x v="6"/>
    <x v="0"/>
    <m/>
    <s v="SI_"/>
    <x v="2"/>
    <n v="1"/>
    <s v="SI_"/>
    <s v="NO"/>
    <m/>
    <n v="30"/>
    <n v="1455"/>
    <n v="36"/>
    <m/>
    <n v="0"/>
    <n v="0"/>
    <m/>
    <x v="1"/>
    <m/>
  </r>
  <r>
    <n v="1117558241"/>
    <x v="1"/>
    <d v="2022-10-18T00:00:00"/>
    <m/>
    <s v="ANTONY SANTIAGO SIERRA MURCIA"/>
    <m/>
    <m/>
    <x v="0"/>
    <x v="4"/>
    <x v="4"/>
    <s v="RC"/>
    <s v="LAURA"/>
    <s v="LIZETH"/>
    <s v="VARGAS"/>
    <s v="VALENCIA"/>
    <s v="LAURA LIZETH VARGAS VALENCIA"/>
    <d v="2022-07-03T00:00:00"/>
    <x v="1"/>
    <n v="5"/>
    <n v="23"/>
    <s v="0 AÑOS 5 MESES 23 DIAS "/>
    <x v="1"/>
    <x v="0"/>
    <x v="0"/>
    <s v="CAQUETÁ"/>
    <s v="FLORENCIA"/>
    <x v="1"/>
    <s v="NO_"/>
    <s v="NO_"/>
    <m/>
    <s v="N/A"/>
    <s v="NO_"/>
    <s v="NO_"/>
    <s v="NO_"/>
    <s v="NO_"/>
    <s v="NO_"/>
    <s v="NO_"/>
    <s v="NO_"/>
    <s v="COLOMBIA"/>
    <s v="BOGOTÁ"/>
    <x v="0"/>
    <s v="LOCALIDAD"/>
    <x v="0"/>
    <x v="16"/>
    <m/>
    <s v="CRRA 10AESTE#106-77"/>
    <n v="3134831889"/>
    <n v="3222450143"/>
    <x v="0"/>
    <s v="NO SE AUTORECONOCE EN NINGUNO DE LOS ANTERIORES"/>
    <x v="1"/>
    <x v="1"/>
    <s v="NO_"/>
    <s v="NO_"/>
    <s v="o. Ingresos iguales o inferiores a 1.5 Smlv"/>
    <m/>
    <s v="MADRE"/>
    <s v="CC"/>
    <n v="40670181"/>
    <s v="ELCY"/>
    <m/>
    <s v="VALENCIA"/>
    <s v="PIZARRO"/>
    <d v="1984-11-20T00:00:00"/>
    <s v="COLOMBIA"/>
    <s v="CAQUETÁ"/>
    <s v="SOLANO"/>
    <s v="CC"/>
    <n v="17644049"/>
    <s v="JAIRO"/>
    <m/>
    <s v="VARGAS"/>
    <s v="GASPAR"/>
    <d v="1968-10-09T00:00:00"/>
    <n v="54"/>
    <s v="COLOMBIA"/>
    <s v="BOGOTÁ"/>
    <s v="BOGOTÁ"/>
    <s v="CC"/>
    <n v="40670181"/>
    <s v="ELCY"/>
    <m/>
    <s v="VALENCIA"/>
    <s v="PIZARRO"/>
    <d v="1984-11-20T00:00:00"/>
    <n v="38"/>
    <s v="COLOMBIA"/>
    <s v="CAQUETÁ"/>
    <s v="SOLANO"/>
    <x v="1"/>
    <x v="35"/>
    <x v="0"/>
    <d v="2022-10-18T00:00:00"/>
    <s v="SI_"/>
    <x v="2"/>
    <n v="1"/>
    <s v="NO_"/>
    <s v="NO"/>
    <n v="31"/>
    <n v="39"/>
    <n v="2670"/>
    <n v="48"/>
    <s v="SI_"/>
    <n v="3"/>
    <n v="3"/>
    <m/>
    <x v="0"/>
    <m/>
  </r>
  <r>
    <n v="1006666312"/>
    <x v="1"/>
    <d v="2022-10-18T00:00:00"/>
    <m/>
    <s v=" EMILY ALEJANDRA CRUZ"/>
    <m/>
    <m/>
    <x v="0"/>
    <x v="0"/>
    <x v="0"/>
    <s v="CC"/>
    <s v="JULIETH "/>
    <s v="TATIANA"/>
    <s v="CHARRY"/>
    <s v="CLAROS"/>
    <s v="JULIETH  TATIANA CHARRY CLAROS"/>
    <d v="2001-06-08T00:00:00"/>
    <x v="15"/>
    <n v="6"/>
    <n v="18"/>
    <s v="21 AÑOS 6 MESES 18 DIAS "/>
    <x v="0"/>
    <x v="0"/>
    <x v="0"/>
    <s v="PUTUMAYO"/>
    <s v="PUERTO ASÍS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8"/>
    <m/>
    <s v="CARRERA2#97-S50SUR"/>
    <n v="3053120248"/>
    <n v="3123495495"/>
    <x v="0"/>
    <s v="NO SE AUTORECONOCE EN NINGUNO DE LOS ANTERIORES"/>
    <x v="0"/>
    <x v="8"/>
    <s v="NO_"/>
    <s v="NO_"/>
    <s v="a. Pertenecientes a hogares con puntaje SISBEN"/>
    <s v="NO_"/>
    <s v="CONYUGE"/>
    <s v="CC"/>
    <n v="1007099234"/>
    <s v="BRAYAN"/>
    <s v="ANDRES"/>
    <s v="BRAVO"/>
    <s v="RODRIGUEZ"/>
    <d v="1999-09-04T00:00:00"/>
    <s v="COLOMBIA"/>
    <s v="BOGOTÁ"/>
    <s v="BOGOTÁ"/>
    <m/>
    <m/>
    <m/>
    <m/>
    <m/>
    <m/>
    <m/>
    <s v=""/>
    <m/>
    <m/>
    <m/>
    <s v="CC"/>
    <n v="69026763"/>
    <s v="AURA"/>
    <s v="NELLY"/>
    <s v="CLAROS"/>
    <s v="CLAROS"/>
    <d v="1973-11-12T00:00:00"/>
    <n v="49"/>
    <s v="COLOMBIA"/>
    <s v="HUILA"/>
    <s v="SALADOBLANCO"/>
    <x v="1"/>
    <x v="1"/>
    <x v="0"/>
    <d v="2022-10-14T00:00:00"/>
    <s v="SI_"/>
    <x v="0"/>
    <m/>
    <m/>
    <m/>
    <m/>
    <m/>
    <m/>
    <m/>
    <m/>
    <m/>
    <m/>
    <m/>
    <x v="0"/>
    <m/>
  </r>
  <r>
    <n v="1073386805"/>
    <x v="1"/>
    <d v="2022-10-18T00:00:00"/>
    <m/>
    <s v="SAMUEL DE JESUS RIVERA"/>
    <m/>
    <m/>
    <x v="0"/>
    <x v="8"/>
    <x v="8"/>
    <s v="RC"/>
    <s v="EMELY"/>
    <s v="MARIANA"/>
    <s v="MONROY"/>
    <s v="CAÑON"/>
    <s v="EMELY MARIANA MONROY CAÑON"/>
    <d v="2021-05-04T00:00:00"/>
    <x v="3"/>
    <n v="7"/>
    <n v="22"/>
    <s v="1 AÑOS 7 MESES 22 DIAS "/>
    <x v="2"/>
    <x v="0"/>
    <x v="0"/>
    <s v="BOGOTÁ"/>
    <s v="BOGOTÁ"/>
    <x v="0"/>
    <s v="NO_"/>
    <s v="NO_"/>
    <m/>
    <s v="N/A"/>
    <s v="NO_"/>
    <s v="NO_"/>
    <s v="NO_"/>
    <s v="NO_"/>
    <s v="NO_"/>
    <s v="NO_"/>
    <s v="NO_"/>
    <s v="COLOMBIA"/>
    <s v="BOGOTÁ"/>
    <x v="0"/>
    <s v="LOCALIDAD"/>
    <x v="0"/>
    <x v="74"/>
    <m/>
    <s v="KR 13ESTE#89ASUR-00"/>
    <n v="3118203998"/>
    <m/>
    <x v="0"/>
    <s v="NO SE AUTORECONOCE EN NINGUNO DE LOS ANTERIORES"/>
    <x v="1"/>
    <x v="1"/>
    <s v="NO_"/>
    <s v="NO_"/>
    <s v="o. Ingresos iguales o inferiores a 1.5 Smlv"/>
    <m/>
    <s v="MADRE"/>
    <s v="CC"/>
    <n v="1077148749"/>
    <s v="JENNY"/>
    <s v="MARCELA"/>
    <s v="CAÑON"/>
    <s v="OSORIO"/>
    <d v="1995-12-24T00:00:00"/>
    <s v="COLOMBIA"/>
    <s v="BOYACÁ"/>
    <s v="TURMEQUÉ"/>
    <s v="CC"/>
    <n v="1073383791"/>
    <s v="CARLOS"/>
    <s v="ALONSO"/>
    <s v="MONROY"/>
    <s v="FORERO"/>
    <d v="1996-03-27T00:00:00"/>
    <n v="26"/>
    <s v="COLOMBIA"/>
    <s v="CUNDINAMARCA"/>
    <s v="SIMIJACA"/>
    <s v="CC"/>
    <n v="1077148749"/>
    <s v="JENNY"/>
    <s v="MARCELA"/>
    <s v="CAÑON"/>
    <s v="OSORIO"/>
    <d v="1995-12-24T00:00:00"/>
    <n v="27"/>
    <s v="COLOMBIA"/>
    <s v="BOYACÁ"/>
    <s v="TURMEQUÉ"/>
    <x v="1"/>
    <x v="0"/>
    <x v="0"/>
    <d v="2022-10-18T00:00:00"/>
    <s v="SI_"/>
    <x v="2"/>
    <n v="2"/>
    <s v="NO_"/>
    <s v="NO"/>
    <m/>
    <n v="39"/>
    <n v="3350"/>
    <n v="52"/>
    <s v="NO_"/>
    <n v="6"/>
    <n v="17"/>
    <m/>
    <x v="1"/>
    <m/>
  </r>
  <r>
    <n v="1243763085"/>
    <x v="1"/>
    <d v="2022-10-19T00:00:00"/>
    <m/>
    <m/>
    <m/>
    <m/>
    <x v="0"/>
    <x v="7"/>
    <x v="7"/>
    <s v="RC"/>
    <s v="ELAINE"/>
    <s v="JULIANA"/>
    <s v="DIAZ"/>
    <s v="PEREZ"/>
    <s v="ELAINE JULIANA DIAZ PEREZ"/>
    <d v="2022-05-06T00:00:00"/>
    <x v="1"/>
    <n v="7"/>
    <n v="20"/>
    <s v="0 AÑOS 7 MESES 20 DIAS "/>
    <x v="2"/>
    <x v="0"/>
    <x v="0"/>
    <s v="BOGOTÁ"/>
    <s v="BOGOTÁ"/>
    <x v="0"/>
    <s v="NO_"/>
    <s v="N/A"/>
    <s v="NINGUNA"/>
    <s v="N/A"/>
    <s v="NO_"/>
    <s v="NO_"/>
    <s v="NO_"/>
    <s v="NO_"/>
    <s v="NO_"/>
    <s v="NO_"/>
    <s v="NO_"/>
    <s v="COLOMBIA"/>
    <s v="BOGOTÁ"/>
    <x v="0"/>
    <s v="LOCALIDAD"/>
    <x v="0"/>
    <x v="63"/>
    <m/>
    <s v="Calle 91 A sur #13 F este 63"/>
    <n v="3224756679"/>
    <m/>
    <x v="0"/>
    <s v="NO SE AUTORECONOCE EN NINGUNO DE LOS ANTERIORES"/>
    <x v="0"/>
    <x v="3"/>
    <s v="NO_"/>
    <s v="NO_"/>
    <s v="a. Pertenecientes a hogares con puntaje SISBEN"/>
    <s v="NO_"/>
    <s v="MADRE"/>
    <s v="CC"/>
    <n v="1016592535"/>
    <s v="KAREN "/>
    <s v="SOFIA"/>
    <s v="DIAZ"/>
    <s v="PEREZ"/>
    <d v="2004-02-18T00:00:00"/>
    <s v="COLOMBIA"/>
    <s v="BOGOTÁ"/>
    <s v="BOGOTÁ"/>
    <m/>
    <m/>
    <m/>
    <m/>
    <m/>
    <m/>
    <m/>
    <s v=""/>
    <m/>
    <m/>
    <m/>
    <s v="CC"/>
    <n v="1016592535"/>
    <s v="KAREN"/>
    <s v="SOFIA"/>
    <s v="DIAZ"/>
    <s v="PEREZ"/>
    <d v="2004-02-18T00:00:00"/>
    <n v="18"/>
    <s v="COLOMBIA"/>
    <s v="BOGOTÁ"/>
    <s v="BOGOTÁ"/>
    <x v="0"/>
    <x v="32"/>
    <x v="0"/>
    <d v="2022-11-08T00:00:00"/>
    <s v="SI_"/>
    <x v="2"/>
    <s v="SI"/>
    <s v="NO_"/>
    <s v="SI"/>
    <n v="39.5"/>
    <n v="36"/>
    <n v="2045"/>
    <n v="46"/>
    <s v="SI"/>
    <n v="6"/>
    <n v="6"/>
    <n v="36"/>
    <x v="2"/>
    <m/>
  </r>
  <r>
    <n v="1028673639"/>
    <x v="1"/>
    <d v="2022-10-25T00:00:00"/>
    <m/>
    <m/>
    <m/>
    <m/>
    <x v="0"/>
    <x v="3"/>
    <x v="3"/>
    <s v="RC"/>
    <s v="MAIRA"/>
    <s v="SOFIA"/>
    <s v="RAMIREZ "/>
    <s v="PALACIOS "/>
    <s v="MAIRA SOFIA RAMIREZ  PALACIOS "/>
    <d v="2018-10-01T00:00:00"/>
    <x v="8"/>
    <n v="2"/>
    <n v="25"/>
    <s v="4 AÑOS 2 MESES 25 DIAS "/>
    <x v="2"/>
    <x v="0"/>
    <x v="0"/>
    <s v="BOGOTÁ"/>
    <s v="BOGOTÁ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62"/>
    <m/>
    <m/>
    <m/>
    <n v="3160427672"/>
    <x v="0"/>
    <s v="AFROCOLOMBIANO"/>
    <x v="0"/>
    <x v="13"/>
    <s v="NO_"/>
    <s v="NO_"/>
    <s v="g. Pertenecientes a comunidades étnicas (indígenas, comunidades negras, afrocolombianas, Palenqueros, Raizales y Rrom), que demanden el servicio."/>
    <m/>
    <s v="TIO(A)"/>
    <s v="CC"/>
    <n v="1076019181"/>
    <s v="ERIKA "/>
    <m/>
    <s v="AGUILAR "/>
    <s v="PALACIOS "/>
    <m/>
    <s v="COLOMBIA"/>
    <s v="BOGOTÁ"/>
    <s v="BOGOTÁ"/>
    <s v="CC"/>
    <n v="1003780261"/>
    <s v="VICTOR"/>
    <s v="MANUEL "/>
    <s v="RAMIREZ"/>
    <s v="RAMIREZ"/>
    <m/>
    <s v=""/>
    <s v="COLOMBIA"/>
    <s v="BOGOTÁ"/>
    <m/>
    <s v="CC"/>
    <n v="1077444559"/>
    <s v="ROSNEY"/>
    <m/>
    <s v="PALACIOS"/>
    <s v="CORDOBA"/>
    <d v="1989-09-16T00:00:00"/>
    <n v="33"/>
    <s v="COLOMBIA"/>
    <s v="CHOCÓ"/>
    <s v="ALTO BAUDÓ"/>
    <x v="1"/>
    <x v="1"/>
    <x v="0"/>
    <d v="2022-10-24T00:00:00"/>
    <s v="SI_"/>
    <x v="2"/>
    <m/>
    <s v="NO_"/>
    <m/>
    <m/>
    <m/>
    <n v="3080"/>
    <n v="53"/>
    <m/>
    <n v="6"/>
    <m/>
    <m/>
    <x v="3"/>
    <m/>
  </r>
  <r>
    <n v="1233514915"/>
    <x v="1"/>
    <d v="2022-10-25T00:00:00"/>
    <m/>
    <m/>
    <m/>
    <m/>
    <x v="0"/>
    <x v="3"/>
    <x v="3"/>
    <s v="RC"/>
    <s v="RAFAEL"/>
    <s v="KALEHT"/>
    <s v="MEDINA "/>
    <s v="LLORIS"/>
    <s v="RAFAEL KALEHT MEDINA  LLORIS"/>
    <d v="2018-07-23T00:00:00"/>
    <x v="8"/>
    <n v="5"/>
    <n v="3"/>
    <s v="4 AÑOS 5 MESES 3 DIAS "/>
    <x v="2"/>
    <x v="1"/>
    <x v="0"/>
    <s v="BOGOTÁ"/>
    <s v="BOGOTÁ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62"/>
    <m/>
    <s v="ASENTAMIENTO LA ESMERALDA"/>
    <m/>
    <n v="3209389740"/>
    <x v="0"/>
    <s v="NO SE AUTORECONOCE EN NINGUNO DE LOS ANTERIORES"/>
    <x v="0"/>
    <x v="6"/>
    <s v="NO_"/>
    <s v="NO_"/>
    <m/>
    <m/>
    <s v="MADRE"/>
    <s v="CC"/>
    <n v="1078576316"/>
    <s v="YURI"/>
    <s v="NATHALY"/>
    <s v="LLORIS"/>
    <s v="ATAMA"/>
    <d v="1985-12-03T00:00:00"/>
    <s v="COLOMBIA"/>
    <s v="CHOCÓ"/>
    <m/>
    <m/>
    <m/>
    <m/>
    <m/>
    <m/>
    <m/>
    <m/>
    <s v=""/>
    <m/>
    <m/>
    <m/>
    <s v="CC"/>
    <n v="1078576316"/>
    <s v="YURI"/>
    <s v="NATHALY"/>
    <s v="LLORIS"/>
    <s v="ATAMA"/>
    <d v="1985-12-03T00:00:00"/>
    <n v="37"/>
    <s v="COLOMBIA"/>
    <s v="CHOCÓ"/>
    <m/>
    <x v="1"/>
    <x v="1"/>
    <x v="0"/>
    <d v="2022-10-24T00:00:00"/>
    <s v="SI_"/>
    <x v="2"/>
    <m/>
    <s v="NO_"/>
    <m/>
    <m/>
    <m/>
    <n v="3050"/>
    <n v="51"/>
    <m/>
    <n v="6"/>
    <m/>
    <m/>
    <x v="3"/>
    <m/>
  </r>
  <r>
    <n v="1011331108"/>
    <x v="1"/>
    <d v="2022-10-25T00:00:00"/>
    <m/>
    <m/>
    <m/>
    <m/>
    <x v="0"/>
    <x v="7"/>
    <x v="7"/>
    <s v="RC"/>
    <s v="DANNA "/>
    <s v="ISABELLA"/>
    <s v="BEJARANO"/>
    <s v="VANEGAS "/>
    <s v="DANNA  ISABELLA BEJARANO VANEGAS "/>
    <d v="2020-07-09T00:00:00"/>
    <x v="2"/>
    <n v="5"/>
    <n v="17"/>
    <s v="2 AÑOS 5 MESES 17 DIAS "/>
    <x v="2"/>
    <x v="0"/>
    <x v="0"/>
    <s v="BOGOTÁ"/>
    <s v="BOGOTÁ"/>
    <x v="0"/>
    <s v="NO_"/>
    <s v="NO_"/>
    <s v="NINGUNA"/>
    <s v="NO_"/>
    <s v="NO_"/>
    <s v="NO_"/>
    <s v="NO_"/>
    <s v="NO_"/>
    <s v="NO_"/>
    <s v="NO_"/>
    <s v="NO_"/>
    <s v="COLOMBIA"/>
    <s v="BOGOTÁ"/>
    <x v="0"/>
    <s v="LOCALIDAD"/>
    <x v="0"/>
    <x v="83"/>
    <m/>
    <s v="CALLE 90B SUR #19-04ESTE "/>
    <n v="3053109966"/>
    <n v="3102400161"/>
    <x v="0"/>
    <s v="NO SE AUTORECONOCE EN NINGUNO DE LOS ANTERIORES"/>
    <x v="1"/>
    <x v="1"/>
    <s v="NO_"/>
    <s v="NO_"/>
    <s v="o. Ingresos iguales o inferiores a 1.5 Smlv"/>
    <m/>
    <s v="ABUELO(A)"/>
    <s v="CC"/>
    <n v="51679391"/>
    <s v="AURA"/>
    <s v="LINA"/>
    <m/>
    <s v="VANEGAS "/>
    <d v="1952-09-05T00:00:00"/>
    <s v="COLOMBIA"/>
    <s v="BOGOTÁ"/>
    <s v="BOGOTÁ"/>
    <m/>
    <m/>
    <m/>
    <m/>
    <m/>
    <m/>
    <m/>
    <s v=""/>
    <m/>
    <m/>
    <m/>
    <s v="CC"/>
    <n v="1010186572"/>
    <s v="INGRID"/>
    <s v="VALERIA "/>
    <m/>
    <s v="VANEGAS "/>
    <d v="1989-11-18T00:00:00"/>
    <n v="33"/>
    <s v="COLOMBIA"/>
    <s v="BOGOTÁ"/>
    <s v="BOGOTÁ"/>
    <x v="0"/>
    <x v="4"/>
    <x v="0"/>
    <m/>
    <s v="SI_"/>
    <x v="2"/>
    <n v="1"/>
    <s v="NO_"/>
    <s v="NO "/>
    <m/>
    <s v="38.5"/>
    <n v="2500"/>
    <n v="51"/>
    <s v="NO_"/>
    <n v="0"/>
    <n v="0"/>
    <s v="N/A"/>
    <x v="1"/>
    <m/>
  </r>
  <r>
    <n v="1014485581"/>
    <x v="1"/>
    <d v="2022-10-25T00:00:00"/>
    <m/>
    <m/>
    <m/>
    <m/>
    <x v="0"/>
    <x v="7"/>
    <x v="7"/>
    <s v="RC"/>
    <s v="EYDAN "/>
    <s v="JAMPIER"/>
    <s v="CUCAITA"/>
    <s v="HERNANDEZ"/>
    <s v="EYDAN  JAMPIER CUCAITA HERNANDEZ"/>
    <d v="2019-10-07T00:00:00"/>
    <x v="10"/>
    <n v="2"/>
    <n v="19"/>
    <s v="3 AÑOS 2 MESES 19 DIAS "/>
    <x v="2"/>
    <x v="1"/>
    <x v="0"/>
    <s v="BOGOTÁ"/>
    <s v="BOGOTÁ"/>
    <x v="0"/>
    <s v="NO_"/>
    <s v="NO_"/>
    <s v="NINGUNA"/>
    <s v="NO_"/>
    <s v="NO_"/>
    <s v="NO_"/>
    <s v="NO_"/>
    <s v="NO_"/>
    <s v="NO_"/>
    <s v="NO_"/>
    <s v="NO_"/>
    <s v="COLOMBIA"/>
    <s v="BOGOTÁ"/>
    <x v="0"/>
    <s v="LOCALIDAD"/>
    <x v="0"/>
    <x v="74"/>
    <m/>
    <s v="KRA 12B # 88F-48 SUR "/>
    <n v="3212212604"/>
    <m/>
    <x v="0"/>
    <s v="NO SE AUTORECONOCE EN NINGUNO DE LOS ANTERIORES"/>
    <x v="1"/>
    <x v="1"/>
    <s v="NO_"/>
    <s v="NO_"/>
    <s v="o. Ingresos iguales o inferiores a 1.5 Smlv"/>
    <m/>
    <s v="MADRE"/>
    <s v="TI"/>
    <n v="1010168451"/>
    <s v="LUZ "/>
    <s v="ADRIANA "/>
    <s v="HERNANDEZ "/>
    <s v="MONRROY "/>
    <d v="2004-11-17T00:00:00"/>
    <s v="COLOMBIA"/>
    <s v="BOGOTÁ"/>
    <s v="BOGOTÁ"/>
    <s v="CC"/>
    <n v="1000618791"/>
    <s v="MIGUEL"/>
    <s v="ANGEL "/>
    <s v="CUCAITA"/>
    <s v="HORQUEZ BOSA "/>
    <d v="1999-06-18T00:00:00"/>
    <n v="23"/>
    <s v="COLOMBIA"/>
    <s v="BOGOTÁ"/>
    <s v="BOGOTÁ"/>
    <s v="TI"/>
    <n v="1010168451"/>
    <s v="LUZ "/>
    <s v="ADRIANA "/>
    <s v="HERNANDEZ "/>
    <s v="MONRROY "/>
    <d v="2004-11-17T00:00:00"/>
    <n v="18"/>
    <s v="COLOMBIA"/>
    <s v="BOGOTÁ"/>
    <s v="BOGOTÁ"/>
    <x v="1"/>
    <x v="1"/>
    <x v="0"/>
    <m/>
    <s v="NO_"/>
    <x v="1"/>
    <m/>
    <s v="NO_"/>
    <s v="NO "/>
    <m/>
    <n v="38"/>
    <n v="2960"/>
    <n v="51"/>
    <s v="NO_"/>
    <n v="6"/>
    <n v="15"/>
    <s v="N/A"/>
    <x v="3"/>
    <m/>
  </r>
  <r>
    <n v="1023048400"/>
    <x v="1"/>
    <d v="2022-11-01T00:00:00"/>
    <m/>
    <m/>
    <m/>
    <m/>
    <x v="0"/>
    <x v="0"/>
    <x v="0"/>
    <s v="RC"/>
    <s v="GUADALUPE"/>
    <s v="SALOME"/>
    <s v="RODRIGUEZ"/>
    <s v="MONTEALEGRE"/>
    <s v="GUADALUPE SALOME RODRIGUEZ MONTEALEGRE"/>
    <d v="2022-05-04T00:00:00"/>
    <x v="1"/>
    <n v="7"/>
    <n v="22"/>
    <s v="0 AÑOS 7 MESES 22 DIAS "/>
    <x v="2"/>
    <x v="0"/>
    <x v="0"/>
    <s v="BOGOTA"/>
    <s v="BOGOTA"/>
    <x v="0"/>
    <s v="NA"/>
    <s v="NINGUNA"/>
    <s v="NA"/>
    <s v="NO_"/>
    <s v="NO_"/>
    <s v="NO_"/>
    <s v="NO_"/>
    <s v="NO_"/>
    <s v="NO_"/>
    <s v="NO_"/>
    <s v="NO_"/>
    <s v="COLOMBIA"/>
    <s v="BOGOTÁ"/>
    <x v="0"/>
    <s v="LOCALIDAD"/>
    <x v="0"/>
    <x v="21"/>
    <m/>
    <s v="DIAGONAL98BSUR#8ESTE-84"/>
    <n v="31323484734"/>
    <m/>
    <x v="2"/>
    <s v="NO SE AUTORECONOCE EN NINGUNO DE LOS ANTERIORES"/>
    <x v="0"/>
    <x v="18"/>
    <s v="NO_"/>
    <s v="NO_"/>
    <s v="o. Ingresos iguales o inferiores a 1.5 Smlv"/>
    <m/>
    <s v="ABUELO(A)"/>
    <s v="CC"/>
    <n v="52282038"/>
    <s v="YENNY"/>
    <s v="CAROLINA"/>
    <s v="RUIZ "/>
    <s v="DIAZ"/>
    <d v="1977-02-20T00:00:00"/>
    <s v="COLOMBIA"/>
    <s v="BOGOTA"/>
    <s v="BOGOTA"/>
    <s v="CC"/>
    <n v="1022997834"/>
    <s v="JOHAN "/>
    <s v="GABRIEL"/>
    <s v="RODRIGUEZ"/>
    <s v="RAMIREZ"/>
    <d v="1994-08-12T00:00:00"/>
    <n v="28"/>
    <s v="COLOMBIA"/>
    <s v="BOGOTA"/>
    <s v="BOGOTA"/>
    <s v="CC"/>
    <n v="1023015597"/>
    <s v="YENNY"/>
    <s v="PAOLA"/>
    <s v="MONTEALEGRE"/>
    <s v="RUIZ"/>
    <d v="1996-09-09T00:00:00"/>
    <n v="26"/>
    <s v="COLOMBIA"/>
    <s v="BOGOTÁ"/>
    <s v="BOGOTÁ"/>
    <x v="0"/>
    <x v="32"/>
    <x v="0"/>
    <d v="2022-10-28T00:00:00"/>
    <s v="NO_"/>
    <x v="1"/>
    <m/>
    <s v="NO_"/>
    <s v="NO "/>
    <m/>
    <m/>
    <n v="3475"/>
    <n v="51"/>
    <m/>
    <s v="HASTA EL MOMENTO"/>
    <n v="38"/>
    <m/>
    <x v="2"/>
    <m/>
  </r>
  <r>
    <n v="1007739212"/>
    <x v="1"/>
    <d v="2022-11-03T00:00:00"/>
    <m/>
    <m/>
    <m/>
    <m/>
    <x v="0"/>
    <x v="0"/>
    <x v="0"/>
    <s v="CC"/>
    <s v="MARIA"/>
    <s v="LUISA"/>
    <s v="JARABA"/>
    <s v="JULIO"/>
    <s v="MARIA LUISA JARABA JULIO"/>
    <d v="1992-04-24T00:00:00"/>
    <x v="5"/>
    <n v="8"/>
    <n v="2"/>
    <s v="30 AÑOS 8 MESES 2 DIAS "/>
    <x v="0"/>
    <x v="0"/>
    <x v="0"/>
    <s v="CARTAGENA"/>
    <s v="BOLIVAR 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84"/>
    <m/>
    <s v="DIAGONAL98ASUR6FESTE37"/>
    <n v="3212624141"/>
    <n v="3112583488"/>
    <x v="0"/>
    <s v="NO SE AUTORECONOCE EN NINGUNO DE LOS ANTERIORES"/>
    <x v="1"/>
    <x v="1"/>
    <s v="NO "/>
    <s v="NO"/>
    <m/>
    <m/>
    <s v="MADRE"/>
    <s v="CC"/>
    <n v="33147651"/>
    <s v="ALMEIDA"/>
    <m/>
    <s v="JULIO"/>
    <s v="DE JARABA"/>
    <d v="1953-11-29T00:00:00"/>
    <s v="COLOMBIA"/>
    <s v="CARTAGENA"/>
    <s v="BOLIVAR"/>
    <m/>
    <m/>
    <m/>
    <m/>
    <m/>
    <m/>
    <m/>
    <s v=""/>
    <m/>
    <m/>
    <m/>
    <m/>
    <m/>
    <m/>
    <m/>
    <m/>
    <m/>
    <m/>
    <s v=""/>
    <m/>
    <m/>
    <m/>
    <x v="1"/>
    <x v="36"/>
    <x v="0"/>
    <d v="2022-11-03T00:00:00"/>
    <m/>
    <x v="0"/>
    <m/>
    <m/>
    <m/>
    <m/>
    <m/>
    <m/>
    <m/>
    <m/>
    <m/>
    <m/>
    <n v="32"/>
    <x v="0"/>
    <m/>
  </r>
  <r>
    <n v="1045424161"/>
    <x v="1"/>
    <d v="2022-11-03T00:00:00"/>
    <m/>
    <m/>
    <m/>
    <m/>
    <x v="0"/>
    <x v="0"/>
    <x v="0"/>
    <s v="TI"/>
    <s v="ISABELLA"/>
    <m/>
    <s v="SOLANO"/>
    <s v="LENGUA"/>
    <s v="ISABELLA  SOLANO LENGUA"/>
    <d v="2007-01-21T00:00:00"/>
    <x v="30"/>
    <n v="11"/>
    <n v="5"/>
    <s v="15 AÑOS 11 MESES 5 DIAS "/>
    <x v="0"/>
    <x v="0"/>
    <x v="0"/>
    <s v="ANTIOQUIA"/>
    <s v="TARAZ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20"/>
    <m/>
    <s v="KARRERA6DESTE#88GSUR"/>
    <n v="3022883318"/>
    <n v="3002230210"/>
    <x v="0"/>
    <s v="NO SE AUTORECONOCE EN NINGUNO DE LOS ANTERIORES"/>
    <x v="1"/>
    <x v="1"/>
    <s v="NO_"/>
    <s v="NO_"/>
    <m/>
    <m/>
    <s v="MADRE"/>
    <s v="CC"/>
    <n v="1045425690"/>
    <s v="FANIA"/>
    <s v="LEONOR"/>
    <s v="LENGUA"/>
    <s v="HERNANDEZ"/>
    <d v="1989-07-02T00:00:00"/>
    <s v="COLOMBIA"/>
    <s v="ANTIOQUIA"/>
    <s v="TARAZÁ"/>
    <m/>
    <m/>
    <m/>
    <m/>
    <m/>
    <m/>
    <m/>
    <s v=""/>
    <m/>
    <m/>
    <m/>
    <m/>
    <m/>
    <m/>
    <m/>
    <m/>
    <m/>
    <m/>
    <s v=""/>
    <m/>
    <m/>
    <m/>
    <x v="0"/>
    <x v="37"/>
    <x v="0"/>
    <d v="2022-11-03T00:00:00"/>
    <m/>
    <x v="0"/>
    <m/>
    <m/>
    <m/>
    <m/>
    <m/>
    <m/>
    <m/>
    <m/>
    <m/>
    <m/>
    <n v="25"/>
    <x v="0"/>
    <m/>
  </r>
  <r>
    <n v="1006093564"/>
    <x v="1"/>
    <d v="2022-11-03T00:00:00"/>
    <m/>
    <m/>
    <m/>
    <m/>
    <x v="0"/>
    <x v="0"/>
    <x v="0"/>
    <s v="CC"/>
    <s v="ALEJANDRA"/>
    <m/>
    <s v="RAMIREZ"/>
    <s v="MENDOZA"/>
    <s v="ALEJANDRA  RAMIREZ MENDOZA"/>
    <d v="1996-03-17T00:00:00"/>
    <x v="26"/>
    <n v="9"/>
    <n v="9"/>
    <s v="26 AÑOS 9 MESES 9 DIAS "/>
    <x v="0"/>
    <x v="0"/>
    <x v="0"/>
    <s v="TOLIMA"/>
    <s v="ORTEGA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44"/>
    <m/>
    <s v="CARRERA7BESTE#91-15SUR"/>
    <n v="3053907222"/>
    <m/>
    <x v="0"/>
    <s v="NO SE AUTORECONOCE EN NINGUNO DE LOS ANTERIORES"/>
    <x v="0"/>
    <x v="18"/>
    <s v="NO_"/>
    <s v="NO_"/>
    <m/>
    <m/>
    <s v="TIO(A)"/>
    <m/>
    <m/>
    <s v="YAMILE"/>
    <m/>
    <s v="RAMIREZ"/>
    <s v="SERRANO"/>
    <d v="1989-11-02T00:00:00"/>
    <s v="COLOMBIA"/>
    <s v="TOLIMA"/>
    <s v="ORTEGA"/>
    <m/>
    <m/>
    <m/>
    <m/>
    <m/>
    <m/>
    <m/>
    <s v=""/>
    <m/>
    <m/>
    <m/>
    <m/>
    <m/>
    <m/>
    <m/>
    <m/>
    <m/>
    <m/>
    <s v=""/>
    <m/>
    <m/>
    <m/>
    <x v="0"/>
    <x v="37"/>
    <x v="0"/>
    <d v="2022-11-03T00:00:00"/>
    <m/>
    <x v="0"/>
    <m/>
    <m/>
    <m/>
    <m/>
    <m/>
    <m/>
    <m/>
    <m/>
    <m/>
    <m/>
    <n v="30"/>
    <x v="0"/>
    <s v="ticket"/>
  </r>
  <r>
    <n v="1018462996"/>
    <x v="1"/>
    <d v="2022-11-03T00:00:00"/>
    <m/>
    <m/>
    <m/>
    <m/>
    <x v="0"/>
    <x v="0"/>
    <x v="0"/>
    <s v="CC"/>
    <s v="ERIKA"/>
    <s v="JOHANA"/>
    <s v="PALACIO"/>
    <s v="RUIZ"/>
    <s v="ERIKA JOHANA PALACIO RUIZ"/>
    <d v="1993-10-02T00:00:00"/>
    <x v="20"/>
    <n v="2"/>
    <n v="24"/>
    <s v="29 AÑOS 2 MESES 24 DIAS "/>
    <x v="0"/>
    <x v="0"/>
    <x v="0"/>
    <s v="BOGOTÁ"/>
    <s v="BOGOTÁ"/>
    <x v="0"/>
    <s v="NO_"/>
    <s v="NO_"/>
    <s v="NO_"/>
    <s v="NO_"/>
    <s v="NO_"/>
    <s v="NO_"/>
    <s v="NO_"/>
    <s v="NO_"/>
    <s v="NO_"/>
    <s v="NO_"/>
    <s v="NO_"/>
    <s v="COLOMBIA"/>
    <s v="BOGOTÁ"/>
    <x v="0"/>
    <s v="LOCALIDAD"/>
    <x v="0"/>
    <x v="31"/>
    <m/>
    <s v="CALLE117DSUR#0-16"/>
    <n v="3058115970"/>
    <n v="3143665294"/>
    <x v="0"/>
    <s v="NO SE AUTORECONOCE EN NINGUNO DE LOS ANTERIORES"/>
    <x v="1"/>
    <x v="1"/>
    <s v="NO_"/>
    <s v="NO_"/>
    <m/>
    <m/>
    <s v="HERMANO(A)"/>
    <s v="CC"/>
    <n v="1001185274"/>
    <s v="ASTRID"/>
    <s v="LORENA"/>
    <s v="PALACIO"/>
    <s v="RUIZ"/>
    <d v="2003-04-11T00:00:00"/>
    <s v="COLOMBIA"/>
    <s v="BOGOTÁ"/>
    <s v="BOGOTÁ"/>
    <m/>
    <m/>
    <m/>
    <m/>
    <m/>
    <m/>
    <m/>
    <s v=""/>
    <m/>
    <m/>
    <m/>
    <m/>
    <m/>
    <m/>
    <m/>
    <m/>
    <m/>
    <m/>
    <s v=""/>
    <m/>
    <m/>
    <m/>
    <x v="0"/>
    <x v="37"/>
    <x v="0"/>
    <d v="2022-11-03T00:00:00"/>
    <m/>
    <x v="0"/>
    <m/>
    <m/>
    <m/>
    <m/>
    <m/>
    <m/>
    <m/>
    <m/>
    <m/>
    <m/>
    <n v="35"/>
    <x v="0"/>
    <m/>
  </r>
  <r>
    <n v="1032370204"/>
    <x v="1"/>
    <d v="2022-12-05T00:00:00"/>
    <m/>
    <m/>
    <m/>
    <m/>
    <x v="0"/>
    <x v="7"/>
    <x v="7"/>
    <s v="CC"/>
    <s v="LIGIA"/>
    <s v="OMAIRA"/>
    <s v="ACOSTA"/>
    <m/>
    <s v="LIGIA OMAIRA ACOSTA "/>
    <d v="1986-08-25T00:00:00"/>
    <x v="13"/>
    <n v="4"/>
    <n v="1"/>
    <s v="36 AÑOS 4 MESES 1 DIAS "/>
    <x v="0"/>
    <x v="0"/>
    <x v="0"/>
    <s v="BOGOTÁ"/>
    <s v="BOGOTÁ"/>
    <x v="0"/>
    <s v="NO_"/>
    <s v="NO"/>
    <s v="NINGUNA"/>
    <s v="NO"/>
    <s v="NO_"/>
    <s v="NO_"/>
    <s v="NO_"/>
    <s v="NO_"/>
    <s v="NO_"/>
    <s v="NO_"/>
    <s v="NO_"/>
    <s v="COLOMBIA"/>
    <s v="BOGOTÁ"/>
    <x v="0"/>
    <s v="LOCALIDAD"/>
    <x v="0"/>
    <x v="85"/>
    <m/>
    <m/>
    <n v="3143002946"/>
    <m/>
    <x v="0"/>
    <s v="NO SE AUTORECONOCE EN NINGUNO DE LOS ANTERIORES"/>
    <x v="0"/>
    <x v="2"/>
    <s v="NO_"/>
    <s v="NO_"/>
    <s v="o. Ingresos iguales o inferiores a 1.5 Smlv"/>
    <m/>
    <s v="CONYUGE"/>
    <s v="CC"/>
    <n v="1022945607"/>
    <s v="HERMES"/>
    <s v="ALIRIO"/>
    <s v="MANOSALVA"/>
    <s v="RINCON"/>
    <d v="1988-07-22T00:00:00"/>
    <s v="COLOMBIA"/>
    <s v="BOGOTÁ"/>
    <s v="BOGOTÁ"/>
    <m/>
    <m/>
    <m/>
    <m/>
    <m/>
    <m/>
    <m/>
    <s v=""/>
    <m/>
    <m/>
    <m/>
    <s v="CC"/>
    <n v="1032370204"/>
    <s v="LIGIA"/>
    <s v="OMAIRA"/>
    <s v="ACOSTA"/>
    <m/>
    <d v="1986-08-25T00:00:00"/>
    <n v="36"/>
    <s v="COLOMBIA"/>
    <s v="BOGOTÁ"/>
    <s v="BOGOTÁ"/>
    <x v="1"/>
    <x v="4"/>
    <x v="0"/>
    <d v="2022-12-05T00:00:00"/>
    <s v="SI_"/>
    <x v="2"/>
    <m/>
    <m/>
    <s v="NO"/>
    <m/>
    <m/>
    <m/>
    <m/>
    <m/>
    <m/>
    <m/>
    <n v="2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 dinámica1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>
  <location ref="B13:D18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numFmtId="14" showAll="0"/>
    <pivotField numFmtId="1" showAll="0"/>
    <pivotField numFmtId="1" showAll="0"/>
    <pivotField numFmtId="1"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dataField="1" showAll="0">
      <items count="11">
        <item m="1" x="8"/>
        <item x="0"/>
        <item m="1" x="5"/>
        <item m="1" x="4"/>
        <item m="1" x="9"/>
        <item m="1" x="6"/>
        <item x="2"/>
        <item x="1"/>
        <item m="1" x="7"/>
        <item x="3"/>
        <item t="default"/>
      </items>
    </pivotField>
    <pivotField showAll="0" defaultSubtotal="0"/>
  </pivotFields>
  <rowFields count="1">
    <field x="106"/>
  </rowFields>
  <rowItems count="5">
    <i>
      <x v="1"/>
    </i>
    <i>
      <x v="6"/>
    </i>
    <i>
      <x v="7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- TIPO COMPLEMENTO" fld="106" subtotal="count" baseField="0" baseItem="0"/>
    <dataField name="Cuenta de TIPO COMPLEMENTO" fld="106" subtotal="count" showDataAs="percentOfCol" baseField="94" baseItem="0" numFmtId="10"/>
  </dataFields>
  <formats count="21">
    <format dxfId="250">
      <pivotArea field="106" type="button" dataOnly="0" labelOnly="1" outline="0" axis="axisRow" fieldPosition="0"/>
    </format>
    <format dxfId="249">
      <pivotArea dataOnly="0" labelOnly="1" outline="0" axis="axisValues" fieldPosition="0"/>
    </format>
    <format dxfId="248">
      <pivotArea field="106" type="button" dataOnly="0" labelOnly="1" outline="0" axis="axisRow" fieldPosition="0"/>
    </format>
    <format dxfId="247">
      <pivotArea dataOnly="0" labelOnly="1" outline="0" axis="axisValues" fieldPosition="0"/>
    </format>
    <format dxfId="246">
      <pivotArea field="106" type="button" dataOnly="0" labelOnly="1" outline="0" axis="axisRow" fieldPosition="0"/>
    </format>
    <format dxfId="245">
      <pivotArea dataOnly="0" labelOnly="1" outline="0" axis="axisValues" fieldPosition="0"/>
    </format>
    <format dxfId="244">
      <pivotArea outline="0" collapsedLevelsAreSubtotals="1" fieldPosition="0"/>
    </format>
    <format dxfId="243">
      <pivotArea outline="0" collapsedLevelsAreSubtotals="1" fieldPosition="0"/>
    </format>
    <format dxfId="242">
      <pivotArea outline="0" collapsedLevelsAreSubtotals="1" fieldPosition="0"/>
    </format>
    <format dxfId="241">
      <pivotArea field="106" type="button" dataOnly="0" labelOnly="1" outline="0" axis="axisRow" fieldPosition="0"/>
    </format>
    <format dxfId="240">
      <pivotArea dataOnly="0" labelOnly="1" outline="0" axis="axisValues" fieldPosition="0"/>
    </format>
    <format dxfId="239">
      <pivotArea grandRow="1" outline="0" collapsedLevelsAreSubtotals="1" fieldPosition="0"/>
    </format>
    <format dxfId="238">
      <pivotArea dataOnly="0" labelOnly="1" grandRow="1" outline="0" fieldPosition="0"/>
    </format>
    <format dxfId="237">
      <pivotArea grandRow="1" outline="0" collapsedLevelsAreSubtotals="1" fieldPosition="0"/>
    </format>
    <format dxfId="236">
      <pivotArea dataOnly="0" labelOnly="1" grandRow="1" outline="0" fieldPosition="0"/>
    </format>
    <format dxfId="235">
      <pivotArea field="106" type="button" dataOnly="0" labelOnly="1" outline="0" axis="axisRow" fieldPosition="0"/>
    </format>
    <format dxfId="234">
      <pivotArea dataOnly="0" labelOnly="1" outline="0" axis="axisValues" fieldPosition="0"/>
    </format>
    <format dxfId="233">
      <pivotArea outline="0" fieldPosition="0">
        <references count="1">
          <reference field="4294967294" count="1">
            <x v="1"/>
          </reference>
        </references>
      </pivotArea>
    </format>
    <format dxfId="2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3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3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la dinámica2" cacheId="0" applyNumberFormats="0" applyBorderFormats="0" applyFontFormats="0" applyPatternFormats="0" applyAlignmentFormats="0" applyWidthHeightFormats="1" dataCaption="Valores" updatedVersion="8" minRefreshableVersion="3" itemPrintTitles="1" createdVersion="4" indent="0" compact="0" compactData="0" multipleFieldFilters="0">
  <location ref="B26:G36" firstHeaderRow="1" firstDataRow="2" firstDataCol="2"/>
  <pivotFields count="108">
    <pivotField compact="0" outline="0" showAll="0" defaultSubtotal="0"/>
    <pivotField compact="0" outline="0" showAll="0" defaultSubtotal="0">
      <items count="3">
        <item x="1"/>
        <item h="1" x="0"/>
        <item h="1" m="1" x="2"/>
      </items>
    </pivotField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>
      <items count="19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</items>
    </pivotField>
    <pivotField axis="axisRow" compact="0" outline="0" showAll="0" sortType="ascending" defaultSubtotal="0">
      <items count="115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</items>
    </pivotField>
    <pivotField axis="axisRow" compact="0" outline="0" showAll="0" defaultSubtotal="0">
      <items count="99">
        <item m="1" x="69"/>
        <item m="1" x="27"/>
        <item m="1" x="9"/>
        <item m="1" x="83"/>
        <item m="1" x="87"/>
        <item m="1" x="10"/>
        <item m="1" x="45"/>
        <item m="1" x="81"/>
        <item m="1" x="77"/>
        <item m="1" x="31"/>
        <item m="1" x="61"/>
        <item m="1" x="56"/>
        <item m="1" x="57"/>
        <item m="1" x="55"/>
        <item m="1" x="37"/>
        <item m="1" x="18"/>
        <item m="1" x="35"/>
        <item m="1" x="54"/>
        <item m="1" x="13"/>
        <item m="1" x="97"/>
        <item m="1" x="39"/>
        <item m="1" x="96"/>
        <item m="1" x="17"/>
        <item m="1" x="92"/>
        <item m="1" x="94"/>
        <item m="1" x="20"/>
        <item m="1" x="95"/>
        <item m="1" x="90"/>
        <item m="1" x="62"/>
        <item m="1" x="28"/>
        <item m="1" x="42"/>
        <item m="1" x="75"/>
        <item m="1" x="65"/>
        <item m="1" x="41"/>
        <item m="1" x="71"/>
        <item m="1" x="25"/>
        <item m="1" x="73"/>
        <item m="1" x="66"/>
        <item m="1" x="76"/>
        <item m="1" x="23"/>
        <item m="1" x="19"/>
        <item m="1" x="32"/>
        <item m="1" x="44"/>
        <item m="1" x="93"/>
        <item m="1" x="33"/>
        <item m="1" x="24"/>
        <item m="1" x="29"/>
        <item m="1" x="38"/>
        <item m="1" x="88"/>
        <item m="1" x="80"/>
        <item m="1" x="59"/>
        <item m="1" x="60"/>
        <item m="1" x="26"/>
        <item m="1" x="53"/>
        <item m="1" x="85"/>
        <item m="1" x="84"/>
        <item m="1" x="21"/>
        <item m="1" x="50"/>
        <item m="1" x="16"/>
        <item m="1" x="52"/>
        <item m="1" x="70"/>
        <item m="1" x="14"/>
        <item m="1" x="82"/>
        <item m="1" x="67"/>
        <item m="1" x="40"/>
        <item m="1" x="64"/>
        <item m="1" x="48"/>
        <item m="1" x="78"/>
        <item m="1" x="43"/>
        <item m="1" x="63"/>
        <item m="1" x="30"/>
        <item m="1" x="46"/>
        <item m="1" x="36"/>
        <item m="1" x="51"/>
        <item m="1" x="34"/>
        <item m="1" x="49"/>
        <item m="1" x="47"/>
        <item m="1" x="11"/>
        <item m="1" x="79"/>
        <item m="1" x="15"/>
        <item m="1" x="12"/>
        <item m="1" x="98"/>
        <item m="1" x="72"/>
        <item m="1" x="74"/>
        <item m="1" x="91"/>
        <item x="3"/>
        <item m="1" x="89"/>
        <item x="5"/>
        <item m="1" x="68"/>
        <item x="1"/>
        <item x="7"/>
        <item m="1" x="86"/>
        <item m="1" x="58"/>
        <item x="0"/>
        <item m="1" x="22"/>
        <item x="4"/>
        <item x="6"/>
        <item x="2"/>
        <item x="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" outline="0" showAll="0" defaultSubtotal="0"/>
    <pivotField compact="0" numFmtId="1" outline="0" showAll="0" defaultSubtotal="0"/>
    <pivotField compact="0" numFmtId="1" outline="0" showAll="0" defaultSubtotal="0"/>
    <pivotField compact="0" outline="0" showAll="0" defaultSubtotal="0"/>
    <pivotField axis="axisCol" compact="0" outline="0" showAll="0" defaultSubtotal="0">
      <items count="7">
        <item x="0"/>
        <item x="1"/>
        <item x="2"/>
        <item m="1" x="3"/>
        <item m="1" x="6"/>
        <item m="1" x="4"/>
        <item m="1" x="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showAll="0" defaultSubtotal="0"/>
    <pivotField compact="0" outline="0" showAll="0" defaultSubtotal="0"/>
  </pivotFields>
  <rowFields count="2">
    <field x="8"/>
    <field x="9"/>
  </rowFields>
  <rowItems count="9">
    <i>
      <x v="65"/>
      <x v="93"/>
    </i>
    <i>
      <x v="97"/>
      <x v="90"/>
    </i>
    <i>
      <x v="102"/>
      <x v="97"/>
    </i>
    <i>
      <x v="103"/>
      <x v="98"/>
    </i>
    <i>
      <x v="105"/>
      <x v="95"/>
    </i>
    <i>
      <x v="107"/>
      <x v="85"/>
    </i>
    <i>
      <x v="109"/>
      <x v="87"/>
    </i>
    <i>
      <x v="111"/>
      <x v="89"/>
    </i>
    <i t="grand">
      <x/>
    </i>
  </rowItems>
  <colFields count="1">
    <field x="21"/>
  </colFields>
  <colItems count="4">
    <i>
      <x/>
    </i>
    <i>
      <x v="1"/>
    </i>
    <i>
      <x v="2"/>
    </i>
    <i t="grand">
      <x/>
    </i>
  </colItems>
  <dataFields count="1">
    <dataField name="TIPO COMPLEMENTO POR DUPLA" fld="106" subtotal="count" baseField="0" baseItem="0"/>
  </dataFields>
  <formats count="75">
    <format dxfId="325">
      <pivotArea field="8" type="button" dataOnly="0" labelOnly="1" outline="0" axis="axisRow" fieldPosition="0"/>
    </format>
    <format dxfId="324">
      <pivotArea field="9" type="button" dataOnly="0" labelOnly="1" outline="0" axis="axisRow" fieldPosition="1"/>
    </format>
    <format dxfId="323">
      <pivotArea dataOnly="0" labelOnly="1" outline="0" axis="axisValues" fieldPosition="0"/>
    </format>
    <format dxfId="322">
      <pivotArea field="8" type="button" dataOnly="0" labelOnly="1" outline="0" axis="axisRow" fieldPosition="0"/>
    </format>
    <format dxfId="321">
      <pivotArea field="9" type="button" dataOnly="0" labelOnly="1" outline="0" axis="axisRow" fieldPosition="1"/>
    </format>
    <format dxfId="320">
      <pivotArea field="21" type="button" dataOnly="0" labelOnly="1" outline="0" axis="axisCol" fieldPosition="0"/>
    </format>
    <format dxfId="319">
      <pivotArea dataOnly="0" labelOnly="1" outline="0" axis="axisValues" fieldPosition="0"/>
    </format>
    <format dxfId="318">
      <pivotArea field="8" type="button" dataOnly="0" labelOnly="1" outline="0" axis="axisRow" fieldPosition="0"/>
    </format>
    <format dxfId="317">
      <pivotArea field="9" type="button" dataOnly="0" labelOnly="1" outline="0" axis="axisRow" fieldPosition="1"/>
    </format>
    <format dxfId="316">
      <pivotArea field="21" type="button" dataOnly="0" labelOnly="1" outline="0" axis="axisCol" fieldPosition="0"/>
    </format>
    <format dxfId="315">
      <pivotArea dataOnly="0" labelOnly="1" outline="0" axis="axisValues" fieldPosition="0"/>
    </format>
    <format dxfId="314">
      <pivotArea outline="0" collapsedLevelsAreSubtotals="1" fieldPosition="0"/>
    </format>
    <format dxfId="313">
      <pivotArea dataOnly="0" labelOnly="1" outline="0" fieldPosition="0">
        <references count="1">
          <reference field="8" count="0"/>
        </references>
      </pivotArea>
    </format>
    <format dxfId="312">
      <pivotArea dataOnly="0" labelOnly="1" outline="0" fieldPosition="0">
        <references count="2">
          <reference field="8" count="0" selected="0"/>
          <reference field="9" count="0"/>
        </references>
      </pivotArea>
    </format>
    <format dxfId="311">
      <pivotArea dataOnly="0" labelOnly="1" outline="0" fieldPosition="0">
        <references count="3">
          <reference field="8" count="0" selected="0"/>
          <reference field="9" count="0" selected="0"/>
          <reference field="21" count="0"/>
        </references>
      </pivotArea>
    </format>
    <format dxfId="310">
      <pivotArea outline="0" collapsedLevelsAreSubtotals="1" fieldPosition="0"/>
    </format>
    <format dxfId="309">
      <pivotArea dataOnly="0" labelOnly="1" outline="0" fieldPosition="0">
        <references count="1">
          <reference field="8" count="0"/>
        </references>
      </pivotArea>
    </format>
    <format dxfId="308">
      <pivotArea dataOnly="0" labelOnly="1" outline="0" fieldPosition="0">
        <references count="2">
          <reference field="8" count="0" selected="0"/>
          <reference field="9" count="0"/>
        </references>
      </pivotArea>
    </format>
    <format dxfId="307">
      <pivotArea dataOnly="0" labelOnly="1" outline="0" fieldPosition="0">
        <references count="3">
          <reference field="8" count="0" selected="0"/>
          <reference field="9" count="0" selected="0"/>
          <reference field="21" count="0"/>
        </references>
      </pivotArea>
    </format>
    <format dxfId="306">
      <pivotArea outline="0" collapsedLevelsAreSubtotals="1" fieldPosition="0"/>
    </format>
    <format dxfId="305">
      <pivotArea dataOnly="0" labelOnly="1" outline="0" fieldPosition="0">
        <references count="1">
          <reference field="8" count="0"/>
        </references>
      </pivotArea>
    </format>
    <format dxfId="304">
      <pivotArea dataOnly="0" labelOnly="1" outline="0" fieldPosition="0">
        <references count="2">
          <reference field="8" count="0" selected="0"/>
          <reference field="9" count="0"/>
        </references>
      </pivotArea>
    </format>
    <format dxfId="303">
      <pivotArea dataOnly="0" labelOnly="1" outline="0" fieldPosition="0">
        <references count="3">
          <reference field="8" count="0" selected="0"/>
          <reference field="9" count="0" selected="0"/>
          <reference field="21" count="0"/>
        </references>
      </pivotArea>
    </format>
    <format dxfId="302">
      <pivotArea type="origin" dataOnly="0" labelOnly="1" outline="0" fieldPosition="0"/>
    </format>
    <format dxfId="301">
      <pivotArea type="origin" dataOnly="0" labelOnly="1" outline="0" fieldPosition="0"/>
    </format>
    <format dxfId="300">
      <pivotArea field="21" type="button" dataOnly="0" labelOnly="1" outline="0" axis="axisCol" fieldPosition="0"/>
    </format>
    <format dxfId="299">
      <pivotArea dataOnly="0" labelOnly="1" grandCol="1" outline="0" fieldPosition="0"/>
    </format>
    <format dxfId="298">
      <pivotArea dataOnly="0" labelOnly="1" grandCol="1" outline="0" fieldPosition="0"/>
    </format>
    <format dxfId="297">
      <pivotArea dataOnly="0" labelOnly="1" grandCol="1" outline="0" fieldPosition="0"/>
    </format>
    <format dxfId="296">
      <pivotArea dataOnly="0" grandCol="1" outline="0" axis="axisCol" fieldPosition="0"/>
    </format>
    <format dxfId="295">
      <pivotArea grandRow="1" outline="0" collapsedLevelsAreSubtotals="1" fieldPosition="0"/>
    </format>
    <format dxfId="294">
      <pivotArea type="origin" dataOnly="0" labelOnly="1" outline="0" fieldPosition="0"/>
    </format>
    <format dxfId="293">
      <pivotArea field="8" type="button" dataOnly="0" labelOnly="1" outline="0" axis="axisRow" fieldPosition="0"/>
    </format>
    <format dxfId="292">
      <pivotArea field="9" type="button" dataOnly="0" labelOnly="1" outline="0" axis="axisRow" fieldPosition="1"/>
    </format>
    <format dxfId="291">
      <pivotArea field="21" type="button" dataOnly="0" labelOnly="1" outline="0" axis="axisCol" fieldPosition="0"/>
    </format>
    <format dxfId="290">
      <pivotArea type="topRight" dataOnly="0" labelOnly="1" outline="0" fieldPosition="0"/>
    </format>
    <format dxfId="289">
      <pivotArea dataOnly="0" labelOnly="1" outline="0" fieldPosition="0">
        <references count="1">
          <reference field="21" count="0"/>
        </references>
      </pivotArea>
    </format>
    <format dxfId="288">
      <pivotArea type="topRight" dataOnly="0" labelOnly="1" outline="0" offset="C1" fieldPosition="0"/>
    </format>
    <format dxfId="287">
      <pivotArea field="21" grandRow="1" outline="0" collapsedLevelsAreSubtotals="1" axis="axisCol" fieldPosition="0">
        <references count="1">
          <reference field="21" count="0" selected="0"/>
        </references>
      </pivotArea>
    </format>
    <format dxfId="286">
      <pivotArea dataOnly="0" labelOnly="1" grandRow="1" outline="0" fieldPosition="0"/>
    </format>
    <format dxfId="285">
      <pivotArea grandRow="1" outline="0" collapsedLevelsAreSubtotals="1" fieldPosition="0"/>
    </format>
    <format dxfId="284">
      <pivotArea dataOnly="0" labelOnly="1" grandRow="1" outline="0" fieldPosition="0"/>
    </format>
    <format dxfId="283">
      <pivotArea grandRow="1" outline="0" collapsedLevelsAreSubtotals="1" fieldPosition="0"/>
    </format>
    <format dxfId="282">
      <pivotArea dataOnly="0" labelOnly="1" grandRow="1" outline="0" fieldPosition="0"/>
    </format>
    <format dxfId="281">
      <pivotArea grandRow="1" outline="0" collapsedLevelsAreSubtotals="1" fieldPosition="0"/>
    </format>
    <format dxfId="280">
      <pivotArea dataOnly="0" labelOnly="1" grandRow="1" outline="0" fieldPosition="0"/>
    </format>
    <format dxfId="279">
      <pivotArea grandRow="1" outline="0" collapsedLevelsAreSubtotals="1" fieldPosition="0"/>
    </format>
    <format dxfId="278">
      <pivotArea dataOnly="0" labelOnly="1" grandRow="1" outline="0" fieldPosition="0"/>
    </format>
    <format dxfId="277">
      <pivotArea grandCol="1" outline="0" collapsedLevelsAreSubtotals="1" fieldPosition="0"/>
    </format>
    <format dxfId="276">
      <pivotArea type="topRight" dataOnly="0" labelOnly="1" outline="0" offset="C1" fieldPosition="0"/>
    </format>
    <format dxfId="275">
      <pivotArea dataOnly="0" labelOnly="1" grandCol="1" outline="0" fieldPosition="0"/>
    </format>
    <format dxfId="274">
      <pivotArea grandCol="1" outline="0" collapsedLevelsAreSubtotals="1" fieldPosition="0"/>
    </format>
    <format dxfId="273">
      <pivotArea type="topRight" dataOnly="0" labelOnly="1" outline="0" offset="C1" fieldPosition="0"/>
    </format>
    <format dxfId="272">
      <pivotArea dataOnly="0" labelOnly="1" grandCol="1" outline="0" fieldPosition="0"/>
    </format>
    <format dxfId="271">
      <pivotArea grandRow="1" outline="0" collapsedLevelsAreSubtotals="1" fieldPosition="0"/>
    </format>
    <format dxfId="270">
      <pivotArea dataOnly="0" labelOnly="1" grandRow="1" outline="0" fieldPosition="0"/>
    </format>
    <format dxfId="269">
      <pivotArea grandCol="1" outline="0" collapsedLevelsAreSubtotals="1" fieldPosition="0"/>
    </format>
    <format dxfId="268">
      <pivotArea type="topRight" dataOnly="0" labelOnly="1" outline="0" offset="C1" fieldPosition="0"/>
    </format>
    <format dxfId="267">
      <pivotArea dataOnly="0" labelOnly="1" grandCol="1" outline="0" fieldPosition="0"/>
    </format>
    <format dxfId="266">
      <pivotArea type="origin" dataOnly="0" labelOnly="1" outline="0" fieldPosition="0"/>
    </format>
    <format dxfId="265">
      <pivotArea field="8" type="button" dataOnly="0" labelOnly="1" outline="0" axis="axisRow" fieldPosition="0"/>
    </format>
    <format dxfId="264">
      <pivotArea field="9" type="button" dataOnly="0" labelOnly="1" outline="0" axis="axisRow" fieldPosition="1"/>
    </format>
    <format dxfId="263">
      <pivotArea field="21" type="button" dataOnly="0" labelOnly="1" outline="0" axis="axisCol" fieldPosition="0"/>
    </format>
    <format dxfId="262">
      <pivotArea type="topRight" dataOnly="0" labelOnly="1" outline="0" fieldPosition="0"/>
    </format>
    <format dxfId="261">
      <pivotArea dataOnly="0" labelOnly="1" outline="0" fieldPosition="0">
        <references count="1">
          <reference field="21" count="0"/>
        </references>
      </pivotArea>
    </format>
    <format dxfId="260">
      <pivotArea dataOnly="0" labelOnly="1" grandCol="1" outline="0" fieldPosition="0"/>
    </format>
    <format dxfId="259">
      <pivotArea field="8" type="button" dataOnly="0" labelOnly="1" outline="0" axis="axisRow" fieldPosition="0"/>
    </format>
    <format dxfId="258">
      <pivotArea field="9" type="button" dataOnly="0" labelOnly="1" outline="0" axis="axisRow" fieldPosition="1"/>
    </format>
    <format dxfId="257">
      <pivotArea dataOnly="0" labelOnly="1" grandCol="1" outline="0" fieldPosition="0"/>
    </format>
    <format dxfId="256">
      <pivotArea field="8" type="button" dataOnly="0" labelOnly="1" outline="0" axis="axisRow" fieldPosition="0"/>
    </format>
    <format dxfId="255">
      <pivotArea field="9" type="button" dataOnly="0" labelOnly="1" outline="0" axis="axisRow" fieldPosition="1"/>
    </format>
    <format dxfId="254">
      <pivotArea dataOnly="0" labelOnly="1" grandCol="1" outline="0" fieldPosition="0"/>
    </format>
    <format dxfId="253">
      <pivotArea field="8" type="button" dataOnly="0" labelOnly="1" outline="0" axis="axisRow" fieldPosition="0"/>
    </format>
    <format dxfId="252">
      <pivotArea field="9" type="button" dataOnly="0" labelOnly="1" outline="0" axis="axisRow" fieldPosition="1"/>
    </format>
    <format dxfId="251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Tabla dinámica3" cacheId="0" applyNumberFormats="0" applyBorderFormats="0" applyFontFormats="0" applyPatternFormats="0" applyAlignmentFormats="0" applyWidthHeightFormats="1" dataCaption="Valores" updatedVersion="8" minRefreshableVersion="3" itemPrintTitles="1" createdVersion="4" indent="0" compact="0" compactData="0" multipleFieldFilters="0">
  <location ref="B42:H52" firstHeaderRow="1" firstDataRow="2" firstDataCol="2"/>
  <pivotFields count="108">
    <pivotField compact="0" outline="0" showAll="0" defaultSubtotal="0"/>
    <pivotField compact="0" outline="0" showAll="0" defaultSubtotal="0">
      <items count="3">
        <item x="1"/>
        <item h="1" x="0"/>
        <item h="1" m="1" x="2"/>
      </items>
    </pivotField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>
      <items count="19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</items>
    </pivotField>
    <pivotField axis="axisRow" compact="0" outline="0" showAll="0" sortType="ascending" defaultSubtotal="0">
      <items count="115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</items>
    </pivotField>
    <pivotField axis="axisRow" compact="0" outline="0" showAll="0" defaultSubtotal="0">
      <items count="99">
        <item m="1" x="69"/>
        <item m="1" x="27"/>
        <item m="1" x="9"/>
        <item m="1" x="83"/>
        <item m="1" x="87"/>
        <item m="1" x="10"/>
        <item m="1" x="45"/>
        <item m="1" x="81"/>
        <item m="1" x="77"/>
        <item m="1" x="31"/>
        <item m="1" x="61"/>
        <item m="1" x="56"/>
        <item m="1" x="57"/>
        <item m="1" x="55"/>
        <item m="1" x="37"/>
        <item m="1" x="18"/>
        <item m="1" x="35"/>
        <item m="1" x="54"/>
        <item m="1" x="13"/>
        <item m="1" x="97"/>
        <item m="1" x="39"/>
        <item m="1" x="96"/>
        <item m="1" x="17"/>
        <item m="1" x="92"/>
        <item m="1" x="94"/>
        <item m="1" x="20"/>
        <item m="1" x="95"/>
        <item m="1" x="90"/>
        <item m="1" x="62"/>
        <item m="1" x="28"/>
        <item m="1" x="42"/>
        <item m="1" x="75"/>
        <item m="1" x="65"/>
        <item m="1" x="41"/>
        <item m="1" x="71"/>
        <item m="1" x="25"/>
        <item m="1" x="73"/>
        <item m="1" x="66"/>
        <item m="1" x="76"/>
        <item m="1" x="23"/>
        <item m="1" x="19"/>
        <item m="1" x="32"/>
        <item m="1" x="44"/>
        <item m="1" x="93"/>
        <item m="1" x="33"/>
        <item m="1" x="24"/>
        <item m="1" x="29"/>
        <item m="1" x="38"/>
        <item m="1" x="88"/>
        <item m="1" x="80"/>
        <item m="1" x="59"/>
        <item m="1" x="60"/>
        <item m="1" x="26"/>
        <item m="1" x="53"/>
        <item m="1" x="85"/>
        <item m="1" x="84"/>
        <item m="1" x="21"/>
        <item m="1" x="50"/>
        <item m="1" x="16"/>
        <item m="1" x="52"/>
        <item m="1" x="70"/>
        <item m="1" x="14"/>
        <item m="1" x="82"/>
        <item m="1" x="67"/>
        <item m="1" x="40"/>
        <item m="1" x="64"/>
        <item m="1" x="48"/>
        <item m="1" x="78"/>
        <item m="1" x="43"/>
        <item m="1" x="63"/>
        <item m="1" x="30"/>
        <item m="1" x="46"/>
        <item m="1" x="36"/>
        <item m="1" x="51"/>
        <item m="1" x="34"/>
        <item m="1" x="49"/>
        <item m="1" x="47"/>
        <item m="1" x="11"/>
        <item m="1" x="79"/>
        <item m="1" x="15"/>
        <item m="1" x="12"/>
        <item m="1" x="98"/>
        <item m="1" x="72"/>
        <item m="1" x="74"/>
        <item m="1" x="91"/>
        <item x="3"/>
        <item m="1" x="89"/>
        <item x="5"/>
        <item m="1" x="68"/>
        <item x="1"/>
        <item x="7"/>
        <item m="1" x="86"/>
        <item m="1" x="58"/>
        <item x="0"/>
        <item m="1" x="22"/>
        <item x="4"/>
        <item x="6"/>
        <item x="2"/>
        <item x="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" outline="0" showAll="0" defaultSubtotal="0">
      <items count="33">
        <item x="1"/>
        <item x="3"/>
        <item x="2"/>
        <item x="10"/>
        <item x="8"/>
        <item x="9"/>
        <item x="25"/>
        <item x="30"/>
        <item x="21"/>
        <item x="29"/>
        <item x="23"/>
        <item x="16"/>
        <item x="4"/>
        <item x="15"/>
        <item x="18"/>
        <item x="17"/>
        <item x="24"/>
        <item x="22"/>
        <item x="26"/>
        <item x="0"/>
        <item x="12"/>
        <item x="20"/>
        <item x="5"/>
        <item x="27"/>
        <item x="11"/>
        <item x="19"/>
        <item x="28"/>
        <item x="13"/>
        <item m="1" x="31"/>
        <item x="7"/>
        <item m="1" x="32"/>
        <item x="6"/>
        <item x="14"/>
      </items>
    </pivotField>
    <pivotField compact="0" numFmtId="1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>
      <items count="7">
        <item x="0"/>
        <item x="1"/>
        <item x="2"/>
        <item m="1" x="3"/>
        <item m="1" x="6"/>
        <item m="1" x="4"/>
        <item m="1" x="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axis="axisCol" dataField="1" compact="0" outline="0" showAll="0" defaultSubtotal="0">
      <items count="10">
        <item m="1" x="4"/>
        <item x="0"/>
        <item x="2"/>
        <item m="1" x="8"/>
        <item x="1"/>
        <item m="1" x="6"/>
        <item m="1" x="9"/>
        <item m="1" x="5"/>
        <item m="1" x="7"/>
        <item x="3"/>
      </items>
    </pivotField>
    <pivotField compact="0" outline="0" showAll="0" defaultSubtotal="0"/>
  </pivotFields>
  <rowFields count="2">
    <field x="8"/>
    <field x="9"/>
  </rowFields>
  <rowItems count="9">
    <i>
      <x v="65"/>
      <x v="93"/>
    </i>
    <i>
      <x v="97"/>
      <x v="90"/>
    </i>
    <i>
      <x v="102"/>
      <x v="97"/>
    </i>
    <i>
      <x v="103"/>
      <x v="98"/>
    </i>
    <i>
      <x v="105"/>
      <x v="95"/>
    </i>
    <i>
      <x v="107"/>
      <x v="85"/>
    </i>
    <i>
      <x v="109"/>
      <x v="87"/>
    </i>
    <i>
      <x v="111"/>
      <x v="89"/>
    </i>
    <i t="grand">
      <x/>
    </i>
  </rowItems>
  <colFields count="1">
    <field x="106"/>
  </colFields>
  <colItems count="5">
    <i>
      <x v="1"/>
    </i>
    <i>
      <x v="2"/>
    </i>
    <i>
      <x v="4"/>
    </i>
    <i>
      <x v="9"/>
    </i>
    <i t="grand">
      <x/>
    </i>
  </colItems>
  <dataFields count="1">
    <dataField name="Cuenta de TIPO COMPLEMENTO" fld="106" subtotal="count" baseField="0" baseItem="0"/>
  </dataFields>
  <formats count="106">
    <format dxfId="431">
      <pivotArea field="8" type="button" dataOnly="0" labelOnly="1" outline="0" axis="axisRow" fieldPosition="0"/>
    </format>
    <format dxfId="430">
      <pivotArea field="9" type="button" dataOnly="0" labelOnly="1" outline="0" axis="axisRow" fieldPosition="1"/>
    </format>
    <format dxfId="429">
      <pivotArea dataOnly="0" labelOnly="1" outline="0" axis="axisValues" fieldPosition="0"/>
    </format>
    <format dxfId="428">
      <pivotArea field="8" type="button" dataOnly="0" labelOnly="1" outline="0" axis="axisRow" fieldPosition="0"/>
    </format>
    <format dxfId="427">
      <pivotArea field="9" type="button" dataOnly="0" labelOnly="1" outline="0" axis="axisRow" fieldPosition="1"/>
    </format>
    <format dxfId="426">
      <pivotArea field="21" type="button" dataOnly="0" labelOnly="1" outline="0"/>
    </format>
    <format dxfId="425">
      <pivotArea dataOnly="0" labelOnly="1" outline="0" axis="axisValues" fieldPosition="0"/>
    </format>
    <format dxfId="424">
      <pivotArea field="8" type="button" dataOnly="0" labelOnly="1" outline="0" axis="axisRow" fieldPosition="0"/>
    </format>
    <format dxfId="423">
      <pivotArea field="9" type="button" dataOnly="0" labelOnly="1" outline="0" axis="axisRow" fieldPosition="1"/>
    </format>
    <format dxfId="422">
      <pivotArea field="21" type="button" dataOnly="0" labelOnly="1" outline="0"/>
    </format>
    <format dxfId="421">
      <pivotArea dataOnly="0" labelOnly="1" outline="0" axis="axisValues" fieldPosition="0"/>
    </format>
    <format dxfId="420">
      <pivotArea dataOnly="0" labelOnly="1" outline="0" fieldPosition="0">
        <references count="2">
          <reference field="8" count="0" selected="0"/>
          <reference field="9" count="0"/>
        </references>
      </pivotArea>
    </format>
    <format dxfId="419">
      <pivotArea dataOnly="0" labelOnly="1" outline="0" fieldPosition="0">
        <references count="2">
          <reference field="8" count="0" selected="0"/>
          <reference field="9" count="0"/>
        </references>
      </pivotArea>
    </format>
    <format dxfId="418">
      <pivotArea dataOnly="0" labelOnly="1" outline="0" fieldPosition="0">
        <references count="2">
          <reference field="8" count="0" selected="0"/>
          <reference field="9" count="0"/>
        </references>
      </pivotArea>
    </format>
    <format dxfId="417">
      <pivotArea type="origin" dataOnly="0" labelOnly="1" outline="0" fieldPosition="0"/>
    </format>
    <format dxfId="416">
      <pivotArea type="origin" dataOnly="0" labelOnly="1" outline="0" fieldPosition="0"/>
    </format>
    <format dxfId="415">
      <pivotArea field="21" type="button" dataOnly="0" labelOnly="1" outline="0"/>
    </format>
    <format dxfId="414">
      <pivotArea dataOnly="0" labelOnly="1" grandCol="1" outline="0" fieldPosition="0"/>
    </format>
    <format dxfId="413">
      <pivotArea dataOnly="0" labelOnly="1" grandCol="1" outline="0" fieldPosition="0"/>
    </format>
    <format dxfId="412">
      <pivotArea dataOnly="0" labelOnly="1" grandCol="1" outline="0" fieldPosition="0"/>
    </format>
    <format dxfId="411">
      <pivotArea dataOnly="0" grandCol="1" outline="0" axis="axisCol" fieldPosition="0"/>
    </format>
    <format dxfId="410">
      <pivotArea grandRow="1" outline="0" collapsedLevelsAreSubtotals="1" fieldPosition="0"/>
    </format>
    <format dxfId="409">
      <pivotArea type="origin" dataOnly="0" labelOnly="1" outline="0" fieldPosition="0"/>
    </format>
    <format dxfId="408">
      <pivotArea field="8" type="button" dataOnly="0" labelOnly="1" outline="0" axis="axisRow" fieldPosition="0"/>
    </format>
    <format dxfId="407">
      <pivotArea field="9" type="button" dataOnly="0" labelOnly="1" outline="0" axis="axisRow" fieldPosition="1"/>
    </format>
    <format dxfId="406">
      <pivotArea field="21" type="button" dataOnly="0" labelOnly="1" outline="0"/>
    </format>
    <format dxfId="405">
      <pivotArea type="topRight" dataOnly="0" labelOnly="1" outline="0" fieldPosition="0"/>
    </format>
    <format dxfId="404">
      <pivotArea type="topRight" dataOnly="0" labelOnly="1" outline="0" offset="C1" fieldPosition="0"/>
    </format>
    <format dxfId="403">
      <pivotArea dataOnly="0" labelOnly="1" grandRow="1" outline="0" fieldPosition="0"/>
    </format>
    <format dxfId="402">
      <pivotArea grandRow="1" outline="0" collapsedLevelsAreSubtotals="1" fieldPosition="0"/>
    </format>
    <format dxfId="401">
      <pivotArea dataOnly="0" labelOnly="1" grandRow="1" outline="0" fieldPosition="0"/>
    </format>
    <format dxfId="400">
      <pivotArea grandRow="1" outline="0" collapsedLevelsAreSubtotals="1" fieldPosition="0"/>
    </format>
    <format dxfId="399">
      <pivotArea dataOnly="0" labelOnly="1" grandRow="1" outline="0" fieldPosition="0"/>
    </format>
    <format dxfId="398">
      <pivotArea grandRow="1" outline="0" collapsedLevelsAreSubtotals="1" fieldPosition="0"/>
    </format>
    <format dxfId="397">
      <pivotArea dataOnly="0" labelOnly="1" grandRow="1" outline="0" fieldPosition="0"/>
    </format>
    <format dxfId="396">
      <pivotArea grandRow="1" outline="0" collapsedLevelsAreSubtotals="1" fieldPosition="0"/>
    </format>
    <format dxfId="395">
      <pivotArea dataOnly="0" labelOnly="1" grandRow="1" outline="0" fieldPosition="0"/>
    </format>
    <format dxfId="394">
      <pivotArea grandCol="1" outline="0" collapsedLevelsAreSubtotals="1" fieldPosition="0"/>
    </format>
    <format dxfId="393">
      <pivotArea type="topRight" dataOnly="0" labelOnly="1" outline="0" offset="C1" fieldPosition="0"/>
    </format>
    <format dxfId="392">
      <pivotArea dataOnly="0" labelOnly="1" grandCol="1" outline="0" fieldPosition="0"/>
    </format>
    <format dxfId="391">
      <pivotArea grandCol="1" outline="0" collapsedLevelsAreSubtotals="1" fieldPosition="0"/>
    </format>
    <format dxfId="390">
      <pivotArea type="topRight" dataOnly="0" labelOnly="1" outline="0" offset="C1" fieldPosition="0"/>
    </format>
    <format dxfId="389">
      <pivotArea dataOnly="0" labelOnly="1" grandCol="1" outline="0" fieldPosition="0"/>
    </format>
    <format dxfId="388">
      <pivotArea grandRow="1" outline="0" collapsedLevelsAreSubtotals="1" fieldPosition="0"/>
    </format>
    <format dxfId="387">
      <pivotArea dataOnly="0" labelOnly="1" grandRow="1" outline="0" fieldPosition="0"/>
    </format>
    <format dxfId="386">
      <pivotArea grandCol="1" outline="0" collapsedLevelsAreSubtotals="1" fieldPosition="0"/>
    </format>
    <format dxfId="385">
      <pivotArea type="topRight" dataOnly="0" labelOnly="1" outline="0" offset="C1" fieldPosition="0"/>
    </format>
    <format dxfId="384">
      <pivotArea dataOnly="0" labelOnly="1" grandCol="1" outline="0" fieldPosition="0"/>
    </format>
    <format dxfId="383">
      <pivotArea type="origin" dataOnly="0" labelOnly="1" outline="0" fieldPosition="0"/>
    </format>
    <format dxfId="382">
      <pivotArea field="8" type="button" dataOnly="0" labelOnly="1" outline="0" axis="axisRow" fieldPosition="0"/>
    </format>
    <format dxfId="381">
      <pivotArea field="9" type="button" dataOnly="0" labelOnly="1" outline="0" axis="axisRow" fieldPosition="1"/>
    </format>
    <format dxfId="380">
      <pivotArea field="21" type="button" dataOnly="0" labelOnly="1" outline="0"/>
    </format>
    <format dxfId="379">
      <pivotArea type="topRight" dataOnly="0" labelOnly="1" outline="0" fieldPosition="0"/>
    </format>
    <format dxfId="378">
      <pivotArea dataOnly="0" labelOnly="1" grandCol="1" outline="0" fieldPosition="0"/>
    </format>
    <format dxfId="377">
      <pivotArea outline="0" collapsedLevelsAreSubtotals="1" fieldPosition="0"/>
    </format>
    <format dxfId="376">
      <pivotArea dataOnly="0" labelOnly="1" outline="0" fieldPosition="0">
        <references count="1">
          <reference field="8" count="0"/>
        </references>
      </pivotArea>
    </format>
    <format dxfId="375">
      <pivotArea dataOnly="0" labelOnly="1" grandRow="1" outline="0" fieldPosition="0"/>
    </format>
    <format dxfId="374">
      <pivotArea dataOnly="0" labelOnly="1" outline="0" fieldPosition="0">
        <references count="2">
          <reference field="8" count="1" selected="0">
            <x v="40"/>
          </reference>
          <reference field="9" count="1">
            <x v="33"/>
          </reference>
        </references>
      </pivotArea>
    </format>
    <format dxfId="373">
      <pivotArea dataOnly="0" labelOnly="1" outline="0" fieldPosition="0">
        <references count="2">
          <reference field="8" count="1" selected="0">
            <x v="11"/>
          </reference>
          <reference field="9" count="1">
            <x v="48"/>
          </reference>
        </references>
      </pivotArea>
    </format>
    <format dxfId="372">
      <pivotArea dataOnly="0" labelOnly="1" outline="0" fieldPosition="0">
        <references count="2">
          <reference field="8" count="1" selected="0">
            <x v="28"/>
          </reference>
          <reference field="9" count="1">
            <x v="49"/>
          </reference>
        </references>
      </pivotArea>
    </format>
    <format dxfId="371">
      <pivotArea dataOnly="0" labelOnly="1" outline="0" fieldPosition="0">
        <references count="2">
          <reference field="8" count="1" selected="0">
            <x v="8"/>
          </reference>
          <reference field="9" count="1">
            <x v="50"/>
          </reference>
        </references>
      </pivotArea>
    </format>
    <format dxfId="370">
      <pivotArea dataOnly="0" labelOnly="1" outline="0" fieldPosition="0">
        <references count="2">
          <reference field="8" count="1" selected="0">
            <x v="71"/>
          </reference>
          <reference field="9" count="1">
            <x v="51"/>
          </reference>
        </references>
      </pivotArea>
    </format>
    <format dxfId="369">
      <pivotArea dataOnly="0" labelOnly="1" outline="0" fieldPosition="0">
        <references count="2">
          <reference field="8" count="1" selected="0">
            <x v="10"/>
          </reference>
          <reference field="9" count="1">
            <x v="52"/>
          </reference>
        </references>
      </pivotArea>
    </format>
    <format dxfId="368">
      <pivotArea outline="0" collapsedLevelsAreSubtotals="1" fieldPosition="0"/>
    </format>
    <format dxfId="367">
      <pivotArea dataOnly="0" labelOnly="1" outline="0" fieldPosition="0">
        <references count="1">
          <reference field="8" count="0"/>
        </references>
      </pivotArea>
    </format>
    <format dxfId="366">
      <pivotArea dataOnly="0" labelOnly="1" grandRow="1" outline="0" fieldPosition="0"/>
    </format>
    <format dxfId="365">
      <pivotArea dataOnly="0" labelOnly="1" outline="0" fieldPosition="0">
        <references count="2">
          <reference field="8" count="1" selected="0">
            <x v="40"/>
          </reference>
          <reference field="9" count="1">
            <x v="33"/>
          </reference>
        </references>
      </pivotArea>
    </format>
    <format dxfId="364">
      <pivotArea dataOnly="0" labelOnly="1" outline="0" fieldPosition="0">
        <references count="2">
          <reference field="8" count="1" selected="0">
            <x v="11"/>
          </reference>
          <reference field="9" count="1">
            <x v="48"/>
          </reference>
        </references>
      </pivotArea>
    </format>
    <format dxfId="363">
      <pivotArea dataOnly="0" labelOnly="1" outline="0" fieldPosition="0">
        <references count="2">
          <reference field="8" count="1" selected="0">
            <x v="28"/>
          </reference>
          <reference field="9" count="1">
            <x v="49"/>
          </reference>
        </references>
      </pivotArea>
    </format>
    <format dxfId="362">
      <pivotArea dataOnly="0" labelOnly="1" outline="0" fieldPosition="0">
        <references count="2">
          <reference field="8" count="1" selected="0">
            <x v="8"/>
          </reference>
          <reference field="9" count="1">
            <x v="50"/>
          </reference>
        </references>
      </pivotArea>
    </format>
    <format dxfId="361">
      <pivotArea dataOnly="0" labelOnly="1" outline="0" fieldPosition="0">
        <references count="2">
          <reference field="8" count="1" selected="0">
            <x v="71"/>
          </reference>
          <reference field="9" count="1">
            <x v="51"/>
          </reference>
        </references>
      </pivotArea>
    </format>
    <format dxfId="360">
      <pivotArea dataOnly="0" labelOnly="1" outline="0" fieldPosition="0">
        <references count="2">
          <reference field="8" count="1" selected="0">
            <x v="10"/>
          </reference>
          <reference field="9" count="1">
            <x v="52"/>
          </reference>
        </references>
      </pivotArea>
    </format>
    <format dxfId="359">
      <pivotArea outline="0" collapsedLevelsAreSubtotals="1" fieldPosition="0"/>
    </format>
    <format dxfId="358">
      <pivotArea dataOnly="0" labelOnly="1" outline="0" fieldPosition="0">
        <references count="1">
          <reference field="8" count="0"/>
        </references>
      </pivotArea>
    </format>
    <format dxfId="357">
      <pivotArea dataOnly="0" labelOnly="1" grandRow="1" outline="0" fieldPosition="0"/>
    </format>
    <format dxfId="356">
      <pivotArea dataOnly="0" labelOnly="1" outline="0" fieldPosition="0">
        <references count="2">
          <reference field="8" count="1" selected="0">
            <x v="40"/>
          </reference>
          <reference field="9" count="1">
            <x v="33"/>
          </reference>
        </references>
      </pivotArea>
    </format>
    <format dxfId="355">
      <pivotArea dataOnly="0" labelOnly="1" outline="0" fieldPosition="0">
        <references count="2">
          <reference field="8" count="1" selected="0">
            <x v="11"/>
          </reference>
          <reference field="9" count="1">
            <x v="48"/>
          </reference>
        </references>
      </pivotArea>
    </format>
    <format dxfId="354">
      <pivotArea dataOnly="0" labelOnly="1" outline="0" fieldPosition="0">
        <references count="2">
          <reference field="8" count="1" selected="0">
            <x v="28"/>
          </reference>
          <reference field="9" count="1">
            <x v="49"/>
          </reference>
        </references>
      </pivotArea>
    </format>
    <format dxfId="353">
      <pivotArea dataOnly="0" labelOnly="1" outline="0" fieldPosition="0">
        <references count="2">
          <reference field="8" count="1" selected="0">
            <x v="8"/>
          </reference>
          <reference field="9" count="1">
            <x v="50"/>
          </reference>
        </references>
      </pivotArea>
    </format>
    <format dxfId="352">
      <pivotArea dataOnly="0" labelOnly="1" outline="0" fieldPosition="0">
        <references count="2">
          <reference field="8" count="1" selected="0">
            <x v="71"/>
          </reference>
          <reference field="9" count="1">
            <x v="51"/>
          </reference>
        </references>
      </pivotArea>
    </format>
    <format dxfId="351">
      <pivotArea dataOnly="0" labelOnly="1" outline="0" fieldPosition="0">
        <references count="2">
          <reference field="8" count="1" selected="0">
            <x v="10"/>
          </reference>
          <reference field="9" count="1">
            <x v="52"/>
          </reference>
        </references>
      </pivotArea>
    </format>
    <format dxfId="350">
      <pivotArea field="8" type="button" dataOnly="0" labelOnly="1" outline="0" axis="axisRow" fieldPosition="0"/>
    </format>
    <format dxfId="349">
      <pivotArea field="9" type="button" dataOnly="0" labelOnly="1" outline="0" axis="axisRow" fieldPosition="1"/>
    </format>
    <format dxfId="348">
      <pivotArea dataOnly="0" labelOnly="1" outline="0" fieldPosition="0">
        <references count="1">
          <reference field="106" count="0"/>
        </references>
      </pivotArea>
    </format>
    <format dxfId="347">
      <pivotArea dataOnly="0" labelOnly="1" grandCol="1" outline="0" fieldPosition="0"/>
    </format>
    <format dxfId="346">
      <pivotArea field="8" type="button" dataOnly="0" labelOnly="1" outline="0" axis="axisRow" fieldPosition="0"/>
    </format>
    <format dxfId="345">
      <pivotArea field="9" type="button" dataOnly="0" labelOnly="1" outline="0" axis="axisRow" fieldPosition="1"/>
    </format>
    <format dxfId="344">
      <pivotArea dataOnly="0" labelOnly="1" outline="0" fieldPosition="0">
        <references count="1">
          <reference field="106" count="0"/>
        </references>
      </pivotArea>
    </format>
    <format dxfId="343">
      <pivotArea dataOnly="0" labelOnly="1" grandCol="1" outline="0" fieldPosition="0"/>
    </format>
    <format dxfId="342">
      <pivotArea field="8" type="button" dataOnly="0" labelOnly="1" outline="0" axis="axisRow" fieldPosition="0"/>
    </format>
    <format dxfId="341">
      <pivotArea field="9" type="button" dataOnly="0" labelOnly="1" outline="0" axis="axisRow" fieldPosition="1"/>
    </format>
    <format dxfId="340">
      <pivotArea dataOnly="0" labelOnly="1" outline="0" fieldPosition="0">
        <references count="1">
          <reference field="106" count="0"/>
        </references>
      </pivotArea>
    </format>
    <format dxfId="339">
      <pivotArea dataOnly="0" labelOnly="1" grandCol="1" outline="0" fieldPosition="0"/>
    </format>
    <format dxfId="338">
      <pivotArea outline="0" collapsedLevelsAreSubtotals="1" fieldPosition="0"/>
    </format>
    <format dxfId="337">
      <pivotArea field="8" type="button" dataOnly="0" labelOnly="1" outline="0" axis="axisRow" fieldPosition="0"/>
    </format>
    <format dxfId="336">
      <pivotArea field="9" type="button" dataOnly="0" labelOnly="1" outline="0" axis="axisRow" fieldPosition="1"/>
    </format>
    <format dxfId="335">
      <pivotArea dataOnly="0" labelOnly="1" outline="0" fieldPosition="0">
        <references count="1">
          <reference field="8" count="0"/>
        </references>
      </pivotArea>
    </format>
    <format dxfId="334">
      <pivotArea dataOnly="0" labelOnly="1" grandRow="1" outline="0" fieldPosition="0"/>
    </format>
    <format dxfId="333">
      <pivotArea dataOnly="0" labelOnly="1" outline="0" fieldPosition="0">
        <references count="2">
          <reference field="8" count="1" selected="0">
            <x v="40"/>
          </reference>
          <reference field="9" count="1">
            <x v="33"/>
          </reference>
        </references>
      </pivotArea>
    </format>
    <format dxfId="332">
      <pivotArea dataOnly="0" labelOnly="1" outline="0" fieldPosition="0">
        <references count="2">
          <reference field="8" count="1" selected="0">
            <x v="11"/>
          </reference>
          <reference field="9" count="1">
            <x v="48"/>
          </reference>
        </references>
      </pivotArea>
    </format>
    <format dxfId="331">
      <pivotArea dataOnly="0" labelOnly="1" outline="0" fieldPosition="0">
        <references count="2">
          <reference field="8" count="1" selected="0">
            <x v="28"/>
          </reference>
          <reference field="9" count="1">
            <x v="49"/>
          </reference>
        </references>
      </pivotArea>
    </format>
    <format dxfId="330">
      <pivotArea dataOnly="0" labelOnly="1" outline="0" fieldPosition="0">
        <references count="2">
          <reference field="8" count="1" selected="0">
            <x v="8"/>
          </reference>
          <reference field="9" count="1">
            <x v="50"/>
          </reference>
        </references>
      </pivotArea>
    </format>
    <format dxfId="329">
      <pivotArea dataOnly="0" labelOnly="1" outline="0" fieldPosition="0">
        <references count="2">
          <reference field="8" count="1" selected="0">
            <x v="71"/>
          </reference>
          <reference field="9" count="1">
            <x v="51"/>
          </reference>
        </references>
      </pivotArea>
    </format>
    <format dxfId="328">
      <pivotArea dataOnly="0" labelOnly="1" outline="0" fieldPosition="0">
        <references count="2">
          <reference field="8" count="1" selected="0">
            <x v="10"/>
          </reference>
          <reference field="9" count="1">
            <x v="52"/>
          </reference>
        </references>
      </pivotArea>
    </format>
    <format dxfId="327">
      <pivotArea dataOnly="0" labelOnly="1" outline="0" fieldPosition="0">
        <references count="1">
          <reference field="106" count="0"/>
        </references>
      </pivotArea>
    </format>
    <format dxfId="326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Tabla dinámica3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olHeaderCaption="">
  <location ref="B18:G21" firstHeaderRow="1" firstDataRow="2" firstDataCol="1"/>
  <pivotFields count="108">
    <pivotField showAll="0"/>
    <pivotField showAll="0"/>
    <pivotField showAll="0"/>
    <pivotField showAll="0"/>
    <pivotField showAll="0"/>
    <pivotField showAll="0"/>
    <pivotField showAll="0"/>
    <pivotField axis="axisRow" showAll="0">
      <items count="20">
        <item m="1" x="8"/>
        <item m="1" x="4"/>
        <item m="1" x="6"/>
        <item m="1" x="10"/>
        <item m="1" x="15"/>
        <item m="1" x="2"/>
        <item m="1" x="3"/>
        <item m="1" x="17"/>
        <item m="1" x="9"/>
        <item m="1" x="13"/>
        <item m="1" x="12"/>
        <item m="1" x="18"/>
        <item m="1" x="14"/>
        <item m="1" x="1"/>
        <item m="1" x="7"/>
        <item m="1" x="16"/>
        <item x="0"/>
        <item m="1" x="11"/>
        <item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Col" dataField="1" showAll="0">
      <items count="11">
        <item m="1" x="4"/>
        <item x="0"/>
        <item m="1" x="8"/>
        <item m="1" x="6"/>
        <item m="1" x="9"/>
        <item m="1" x="5"/>
        <item x="2"/>
        <item x="1"/>
        <item m="1" x="7"/>
        <item x="3"/>
        <item t="default"/>
      </items>
    </pivotField>
    <pivotField showAll="0"/>
  </pivotFields>
  <rowFields count="1">
    <field x="7"/>
  </rowFields>
  <rowItems count="2">
    <i>
      <x v="16"/>
    </i>
    <i t="grand">
      <x/>
    </i>
  </rowItems>
  <colFields count="1">
    <field x="106"/>
  </colFields>
  <colItems count="5">
    <i>
      <x v="1"/>
    </i>
    <i>
      <x v="6"/>
    </i>
    <i>
      <x v="7"/>
    </i>
    <i>
      <x v="9"/>
    </i>
    <i t="grand">
      <x/>
    </i>
  </colItems>
  <dataFields count="1">
    <dataField name="TIPO DE COMPLEMENTO PORCENTAJE" fld="106" subtotal="count" showDataAs="percentOfRow" baseField="95" baseItem="0" numFmtId="10"/>
  </dataFields>
  <formats count="24">
    <format dxfId="206">
      <pivotArea outline="0" collapsedLevelsAreSubtotals="1" fieldPosition="0"/>
    </format>
    <format dxfId="205">
      <pivotArea dataOnly="0" labelOnly="1" fieldPosition="0">
        <references count="1">
          <reference field="7" count="0"/>
        </references>
      </pivotArea>
    </format>
    <format dxfId="204">
      <pivotArea dataOnly="0" labelOnly="1" grandRow="1" outline="0" fieldPosition="0"/>
    </format>
    <format dxfId="203">
      <pivotArea outline="0" collapsedLevelsAreSubtotals="1" fieldPosition="0"/>
    </format>
    <format dxfId="202">
      <pivotArea dataOnly="0" labelOnly="1" fieldPosition="0">
        <references count="1">
          <reference field="7" count="0"/>
        </references>
      </pivotArea>
    </format>
    <format dxfId="201">
      <pivotArea dataOnly="0" labelOnly="1" grandRow="1" outline="0" fieldPosition="0"/>
    </format>
    <format dxfId="200">
      <pivotArea field="7" type="button" dataOnly="0" labelOnly="1" outline="0" axis="axisRow" fieldPosition="0"/>
    </format>
    <format dxfId="199">
      <pivotArea dataOnly="0" labelOnly="1" fieldPosition="0">
        <references count="1">
          <reference field="106" count="0"/>
        </references>
      </pivotArea>
    </format>
    <format dxfId="198">
      <pivotArea dataOnly="0" labelOnly="1" grandCol="1" outline="0" fieldPosition="0"/>
    </format>
    <format dxfId="197">
      <pivotArea field="7" type="button" dataOnly="0" labelOnly="1" outline="0" axis="axisRow" fieldPosition="0"/>
    </format>
    <format dxfId="196">
      <pivotArea dataOnly="0" labelOnly="1" fieldPosition="0">
        <references count="1">
          <reference field="106" count="0"/>
        </references>
      </pivotArea>
    </format>
    <format dxfId="195">
      <pivotArea dataOnly="0" labelOnly="1" grandCol="1" outline="0" fieldPosition="0"/>
    </format>
    <format dxfId="194">
      <pivotArea field="7" type="button" dataOnly="0" labelOnly="1" outline="0" axis="axisRow" fieldPosition="0"/>
    </format>
    <format dxfId="193">
      <pivotArea dataOnly="0" labelOnly="1" fieldPosition="0">
        <references count="1">
          <reference field="106" count="0"/>
        </references>
      </pivotArea>
    </format>
    <format dxfId="192">
      <pivotArea dataOnly="0" labelOnly="1" grandCol="1" outline="0" fieldPosition="0"/>
    </format>
    <format dxfId="191">
      <pivotArea type="origin" dataOnly="0" labelOnly="1" outline="0" fieldPosition="0"/>
    </format>
    <format dxfId="190">
      <pivotArea type="origin" dataOnly="0" labelOnly="1" outline="0" fieldPosition="0"/>
    </format>
    <format dxfId="189">
      <pivotArea type="origin" dataOnly="0" labelOnly="1" outline="0" fieldPosition="0"/>
    </format>
    <format dxfId="188">
      <pivotArea type="topRight" dataOnly="0" labelOnly="1" outline="0" offset="B1" fieldPosition="0"/>
    </format>
    <format dxfId="187">
      <pivotArea dataOnly="0" labelOnly="1" grandCol="1" outline="0" fieldPosition="0"/>
    </format>
    <format dxfId="186">
      <pivotArea grandRow="1" outline="0" collapsedLevelsAreSubtotals="1" fieldPosition="0"/>
    </format>
    <format dxfId="185">
      <pivotArea dataOnly="0" labelOnly="1" grandRow="1" outline="0" fieldPosition="0"/>
    </format>
    <format dxfId="184">
      <pivotArea outline="0" collapsedLevelsAreSubtotals="1" fieldPosition="0"/>
    </format>
    <format dxfId="183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olHeaderCaption="">
  <location ref="B5:G8" firstHeaderRow="1" firstDataRow="2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axis="axisRow" showAll="0">
      <items count="20">
        <item m="1" x="8"/>
        <item m="1" x="4"/>
        <item m="1" x="6"/>
        <item m="1" x="10"/>
        <item m="1" x="15"/>
        <item m="1" x="2"/>
        <item m="1" x="3"/>
        <item m="1" x="17"/>
        <item m="1" x="9"/>
        <item m="1" x="13"/>
        <item m="1" x="12"/>
        <item m="1" x="18"/>
        <item m="1" x="14"/>
        <item m="1" x="1"/>
        <item m="1" x="7"/>
        <item m="1" x="16"/>
        <item x="0"/>
        <item m="1" x="11"/>
        <item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Col" dataField="1" showAll="0">
      <items count="11">
        <item m="1" x="4"/>
        <item x="0"/>
        <item m="1" x="8"/>
        <item m="1" x="6"/>
        <item m="1" x="9"/>
        <item m="1" x="5"/>
        <item x="2"/>
        <item x="1"/>
        <item m="1" x="7"/>
        <item x="3"/>
        <item t="default"/>
      </items>
    </pivotField>
    <pivotField showAll="0"/>
  </pivotFields>
  <rowFields count="1">
    <field x="7"/>
  </rowFields>
  <rowItems count="2">
    <i>
      <x v="16"/>
    </i>
    <i t="grand">
      <x/>
    </i>
  </rowItems>
  <colFields count="1">
    <field x="106"/>
  </colFields>
  <colItems count="5">
    <i>
      <x v="1"/>
    </i>
    <i>
      <x v="6"/>
    </i>
    <i>
      <x v="7"/>
    </i>
    <i>
      <x v="9"/>
    </i>
    <i t="grand">
      <x/>
    </i>
  </colItems>
  <dataFields count="1">
    <dataField name="TIPO DE COMPLEMENTO" fld="106" subtotal="count" baseField="0" baseItem="0"/>
  </dataFields>
  <formats count="23">
    <format dxfId="229">
      <pivotArea outline="0" collapsedLevelsAreSubtotals="1" fieldPosition="0"/>
    </format>
    <format dxfId="228">
      <pivotArea dataOnly="0" labelOnly="1" fieldPosition="0">
        <references count="1">
          <reference field="7" count="0"/>
        </references>
      </pivotArea>
    </format>
    <format dxfId="227">
      <pivotArea dataOnly="0" labelOnly="1" grandRow="1" outline="0" fieldPosition="0"/>
    </format>
    <format dxfId="226">
      <pivotArea outline="0" collapsedLevelsAreSubtotals="1" fieldPosition="0"/>
    </format>
    <format dxfId="225">
      <pivotArea dataOnly="0" labelOnly="1" fieldPosition="0">
        <references count="1">
          <reference field="7" count="0"/>
        </references>
      </pivotArea>
    </format>
    <format dxfId="224">
      <pivotArea dataOnly="0" labelOnly="1" grandRow="1" outline="0" fieldPosition="0"/>
    </format>
    <format dxfId="223">
      <pivotArea field="7" type="button" dataOnly="0" labelOnly="1" outline="0" axis="axisRow" fieldPosition="0"/>
    </format>
    <format dxfId="222">
      <pivotArea dataOnly="0" labelOnly="1" fieldPosition="0">
        <references count="1">
          <reference field="106" count="0"/>
        </references>
      </pivotArea>
    </format>
    <format dxfId="221">
      <pivotArea dataOnly="0" labelOnly="1" grandCol="1" outline="0" fieldPosition="0"/>
    </format>
    <format dxfId="220">
      <pivotArea field="7" type="button" dataOnly="0" labelOnly="1" outline="0" axis="axisRow" fieldPosition="0"/>
    </format>
    <format dxfId="219">
      <pivotArea dataOnly="0" labelOnly="1" fieldPosition="0">
        <references count="1">
          <reference field="106" count="0"/>
        </references>
      </pivotArea>
    </format>
    <format dxfId="218">
      <pivotArea dataOnly="0" labelOnly="1" grandCol="1" outline="0" fieldPosition="0"/>
    </format>
    <format dxfId="217">
      <pivotArea field="7" type="button" dataOnly="0" labelOnly="1" outline="0" axis="axisRow" fieldPosition="0"/>
    </format>
    <format dxfId="216">
      <pivotArea dataOnly="0" labelOnly="1" fieldPosition="0">
        <references count="1">
          <reference field="106" count="0"/>
        </references>
      </pivotArea>
    </format>
    <format dxfId="215">
      <pivotArea dataOnly="0" labelOnly="1" grandCol="1" outline="0" fieldPosition="0"/>
    </format>
    <format dxfId="214">
      <pivotArea type="origin" dataOnly="0" labelOnly="1" outline="0" fieldPosition="0"/>
    </format>
    <format dxfId="213">
      <pivotArea type="origin" dataOnly="0" labelOnly="1" outline="0" fieldPosition="0"/>
    </format>
    <format dxfId="212">
      <pivotArea type="origin" dataOnly="0" labelOnly="1" outline="0" fieldPosition="0"/>
    </format>
    <format dxfId="211">
      <pivotArea type="topRight" dataOnly="0" labelOnly="1" outline="0" offset="B1" fieldPosition="0"/>
    </format>
    <format dxfId="210">
      <pivotArea dataOnly="0" labelOnly="1" grandCol="1" outline="0" fieldPosition="0"/>
    </format>
    <format dxfId="209">
      <pivotArea grandRow="1" outline="0" collapsedLevelsAreSubtotals="1" fieldPosition="0"/>
    </format>
    <format dxfId="208">
      <pivotArea dataOnly="0" labelOnly="1" grandRow="1" outline="0" fieldPosition="0"/>
    </format>
    <format dxfId="20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A000000}" name="Tabla dinámica5" cacheId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4" indent="0" outline="1" outlineData="1" multipleFieldFilters="0" chartFormat="1" rowHeaderCaption="ACTIVOS">
  <location ref="C12:D13" firstHeaderRow="1" firstDataRow="1" firstDataCol="1"/>
  <pivotFields count="108">
    <pivotField showAll="0"/>
    <pivotField axis="axisRow" dataField="1" showAll="0">
      <items count="4">
        <item x="1"/>
        <item h="1" m="1" x="2"/>
        <item h="1" x="0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numFmtId="14" showAll="0"/>
    <pivotField numFmtId="1" showAll="0"/>
    <pivotField numFmtId="1" showAll="0"/>
    <pivotField numFmtId="1" showAll="0"/>
    <pivotField showAll="0"/>
    <pivotField showAll="0"/>
    <pivotField showAll="0" defaultSubtotal="0">
      <items count="5">
        <item x="1"/>
        <item x="0"/>
        <item m="1" x="2"/>
        <item m="1" x="3"/>
        <item m="1" x="4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</pivotFields>
  <rowFields count="1">
    <field x="1"/>
  </rowFields>
  <rowItems count="1">
    <i>
      <x/>
    </i>
  </rowItems>
  <colItems count="1">
    <i/>
  </colItems>
  <dataFields count="1">
    <dataField name="CANTIDAD ACTIVOS" fld="1" subtotal="count" baseField="0" baseItem="0"/>
  </dataFields>
  <formats count="12">
    <format dxfId="37">
      <pivotArea field="22" type="button" dataOnly="0" labelOnly="1" outline="0"/>
    </format>
    <format dxfId="36">
      <pivotArea field="22" type="button" dataOnly="0" labelOnly="1" outline="0"/>
    </format>
    <format dxfId="35">
      <pivotArea field="22" type="button" dataOnly="0" labelOnly="1" outline="0"/>
    </format>
    <format dxfId="34">
      <pivotArea outline="0" collapsedLevelsAreSubtotals="1" fieldPosition="0"/>
    </format>
    <format dxfId="33">
      <pivotArea outline="0" collapsedLevelsAreSubtotals="1" fieldPosition="0"/>
    </format>
    <format dxfId="32">
      <pivotArea outline="0" collapsedLevelsAreSubtotals="1" fieldPosition="0"/>
    </format>
    <format dxfId="31">
      <pivotArea field="1" type="button" dataOnly="0" labelOnly="1" outline="0" axis="axisRow" fieldPosition="0"/>
    </format>
    <format dxfId="30">
      <pivotArea dataOnly="0" labelOnly="1" outline="0" axis="axisValues" fieldPosition="0"/>
    </format>
    <format dxfId="29">
      <pivotArea field="1" type="button" dataOnly="0" labelOnly="1" outline="0" axis="axisRow" fieldPosition="0"/>
    </format>
    <format dxfId="28">
      <pivotArea dataOnly="0" labelOnly="1" outline="0" axis="axisValues" fieldPosition="0"/>
    </format>
    <format dxfId="27">
      <pivotArea field="1" type="button" dataOnly="0" labelOnly="1" outline="0" axis="axisRow" fieldPosition="0"/>
    </format>
    <format dxfId="2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15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3">
  <location ref="G190:I194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axis="axisRow" dataField="1" showAll="0">
      <items count="7">
        <item x="1"/>
        <item x="0"/>
        <item x="2"/>
        <item m="1" x="4"/>
        <item m="1" x="3"/>
        <item m="1" x="5"/>
        <item t="default"/>
      </items>
    </pivotField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</pivotFields>
  <rowFields count="1">
    <field x="50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BENEFICIARIO SISBENIZADO" fld="50" subtotal="count" baseField="0" baseItem="0"/>
    <dataField name="Cuenta de BENEFICIARIO SISBENIZADO2" fld="50" subtotal="count" showDataAs="percentOfCol" baseField="43" baseItem="0" numFmtId="164"/>
  </dataFields>
  <formats count="10">
    <format dxfId="47">
      <pivotArea field="50" type="button" dataOnly="0" labelOnly="1" outline="0" axis="axisRow" fieldPosition="0"/>
    </format>
    <format dxfId="4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5">
      <pivotArea field="50" type="button" dataOnly="0" labelOnly="1" outline="0" axis="axisRow" fieldPosition="0"/>
    </format>
    <format dxfId="4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3">
      <pivotArea field="50" type="button" dataOnly="0" labelOnly="1" outline="0" axis="axisRow" fieldPosition="0"/>
    </format>
    <format dxfId="42">
      <pivotArea outline="0" collapsedLevelsAreSubtotals="1" fieldPosition="0"/>
    </format>
    <format dxfId="41">
      <pivotArea outline="0" collapsedLevelsAreSubtotals="1" fieldPosition="0"/>
    </format>
    <format dxfId="40">
      <pivotArea outline="0" collapsedLevelsAreSubtotals="1" fieldPosition="0"/>
    </format>
    <format dxfId="3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8">
      <pivotArea outline="0" fieldPosition="0">
        <references count="1">
          <reference field="4294967294" count="1">
            <x v="1"/>
          </reference>
        </references>
      </pivotArea>
    </format>
  </format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50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50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50" count="1" selected="0">
            <x v="1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0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4" rowHeaderCaption="CARNET DE CRECIMIENTO Y DESARROLLO">
  <location ref="G81:I86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axis="axisRow" dataField="1" showAll="0">
      <items count="6">
        <item x="1"/>
        <item x="2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</pivotFields>
  <rowFields count="1">
    <field x="94"/>
  </rowFields>
  <rowItems count="5">
    <i>
      <x/>
    </i>
    <i>
      <x v="1"/>
    </i>
    <i>
      <x v="2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-  BENEFICIARIO QUE PRESENTA CARNET DE CRECIMIENTO Y DESARROLLO" fld="94" subtotal="count" baseField="0" baseItem="0"/>
    <dataField name="Porcentaje - BENEFICIARIO QUE PRESENTA CARNET DE CRECIMIENTO Y DESARROLLO" fld="94" subtotal="count" showDataAs="percentOfCol" baseField="78" baseItem="0" numFmtId="164"/>
  </dataFields>
  <formats count="10">
    <format dxfId="57">
      <pivotArea field="94" type="button" dataOnly="0" labelOnly="1" outline="0" axis="axisRow" fieldPosition="0"/>
    </format>
    <format dxfId="5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5">
      <pivotArea field="94" type="button" dataOnly="0" labelOnly="1" outline="0" axis="axisRow" fieldPosition="0"/>
    </format>
    <format dxfId="5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3">
      <pivotArea field="94" type="button" dataOnly="0" labelOnly="1" outline="0" axis="axisRow" fieldPosition="0"/>
    </format>
    <format dxfId="5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1">
      <pivotArea outline="0" collapsedLevelsAreSubtotals="1" fieldPosition="0"/>
    </format>
    <format dxfId="50">
      <pivotArea outline="0" collapsedLevelsAreSubtotals="1" fieldPosition="0"/>
    </format>
    <format dxfId="49">
      <pivotArea outline="0" collapsedLevelsAreSubtotals="1" fieldPosition="0"/>
    </format>
    <format dxfId="48">
      <pivotArea outline="0" fieldPosition="0">
        <references count="1">
          <reference field="4294967294" count="1">
            <x v="1"/>
          </reference>
        </references>
      </pivotArea>
    </format>
  </format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B000000}" name="Tabla dinámica6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1" rowHeaderCaption="REGIMEN - EPS">
  <location ref="C50:E56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5">
        <item x="3"/>
        <item x="1"/>
        <item x="0"/>
        <item x="4"/>
        <item m="1" x="9"/>
        <item m="1" x="13"/>
        <item m="1" x="10"/>
        <item m="1" x="7"/>
        <item m="1" x="6"/>
        <item x="2"/>
        <item m="1" x="11"/>
        <item m="1" x="8"/>
        <item m="1" x="12"/>
        <item m="1" x="5"/>
        <item t="default"/>
      </items>
    </pivotField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</pivotFields>
  <rowFields count="1">
    <field x="89"/>
  </rowFields>
  <rowItems count="6">
    <i>
      <x/>
    </i>
    <i>
      <x v="1"/>
    </i>
    <i>
      <x v="2"/>
    </i>
    <i>
      <x v="3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- REGIMEN" fld="89" subtotal="count" baseField="0" baseItem="0"/>
    <dataField name="Porcentaje - REGIMEN" fld="89" subtotal="count" showDataAs="percentOfCol" baseField="73" baseItem="0" numFmtId="164"/>
  </dataFields>
  <formats count="10">
    <format dxfId="67">
      <pivotArea outline="0" collapsedLevelsAreSubtotals="1" fieldPosition="0"/>
    </format>
    <format dxfId="66">
      <pivotArea outline="0" collapsedLevelsAreSubtotals="1" fieldPosition="0"/>
    </format>
    <format dxfId="65">
      <pivotArea outline="0" collapsedLevelsAreSubtotals="1" fieldPosition="0"/>
    </format>
    <format dxfId="64">
      <pivotArea field="89" type="button" dataOnly="0" labelOnly="1" outline="0" axis="axisRow" fieldPosition="0"/>
    </format>
    <format dxfId="6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2">
      <pivotArea field="89" type="button" dataOnly="0" labelOnly="1" outline="0" axis="axisRow" fieldPosition="0"/>
    </format>
    <format dxfId="6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0">
      <pivotArea field="89" type="button" dataOnly="0" labelOnly="1" outline="0" axis="axisRow" fieldPosition="0"/>
    </format>
    <format dxfId="5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8">
      <pivotArea outline="0" fieldPosition="0">
        <references count="1">
          <reference field="4294967294" count="1"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89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89" count="1" selected="0">
            <x v="0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9000000}" name="Tabla dinámica4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1" rowHeaderCaption="PAIS DE NACIMIENTO">
  <location ref="K22:M26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8">
        <item x="0"/>
        <item x="1"/>
        <item m="1" x="4"/>
        <item x="3"/>
        <item x="2"/>
        <item m="1" x="5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</pivotFields>
  <rowFields count="1">
    <field x="23"/>
  </rowFields>
  <rowItems count="4">
    <i>
      <x/>
    </i>
    <i>
      <x v="1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- PAIS DE NACIMIENTO" fld="23" subtotal="count" baseField="0" baseItem="0"/>
    <dataField name="Porcentaje - PAIS DE NACIMIENTO" fld="23" subtotal="count" showDataAs="percentOfCol" baseField="17" baseItem="0" numFmtId="164"/>
  </dataFields>
  <formats count="10">
    <format dxfId="77">
      <pivotArea field="23" type="button" dataOnly="0" labelOnly="1" outline="0" axis="axisRow" fieldPosition="0"/>
    </format>
    <format dxfId="7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5">
      <pivotArea field="23" type="button" dataOnly="0" labelOnly="1" outline="0" axis="axisRow" fieldPosition="0"/>
    </format>
    <format dxfId="7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3">
      <pivotArea field="23" type="button" dataOnly="0" labelOnly="1" outline="0" axis="axisRow" fieldPosition="0"/>
    </format>
    <format dxfId="7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1">
      <pivotArea outline="0" collapsedLevelsAreSubtotals="1" fieldPosition="0"/>
    </format>
    <format dxfId="70">
      <pivotArea outline="0" collapsedLevelsAreSubtotals="1" fieldPosition="0"/>
    </format>
    <format dxfId="69">
      <pivotArea outline="0" collapsedLevelsAreSubtotals="1" fieldPosition="0"/>
    </format>
    <format dxfId="68">
      <pivotArea outline="0" fieldPosition="0">
        <references count="1">
          <reference field="4294967294" count="1"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2" rowHeaderCaption="DISCAPACIDAD">
  <location ref="G50:I53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numFmtId="14" showAll="0"/>
    <pivotField numFmtId="1" showAll="0"/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0"/>
        <item x="1"/>
        <item m="1" x="2"/>
        <item t="default"/>
      </items>
    </pivotField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</pivotFields>
  <rowFields count="1">
    <field x="26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DISCAPACIDAD" fld="26" subtotal="count" baseField="0" baseItem="0"/>
    <dataField name="Cuenta de DISCAPACIDAD2" fld="26" subtotal="count" showDataAs="percentOfCol" baseField="22" baseItem="0" numFmtId="10"/>
  </dataFields>
  <formats count="4">
    <format dxfId="81">
      <pivotArea outline="0" collapsedLevelsAreSubtotals="1" fieldPosition="0"/>
    </format>
    <format dxfId="80">
      <pivotArea outline="0" collapsedLevelsAreSubtotals="1" fieldPosition="0"/>
    </format>
    <format dxfId="79">
      <pivotArea outline="0" collapsedLevelsAreSubtotals="1" fieldPosition="0"/>
    </format>
    <format dxfId="78">
      <pivotArea outline="0" fieldPosition="0">
        <references count="1">
          <reference field="4294967294" count="1">
            <x v="1"/>
          </reference>
        </references>
      </pivotArea>
    </format>
  </formats>
  <chartFormats count="2"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7000000}" name="Tabla dinámica2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1" rowHeaderCaption="ESTRATO DEL HOGAR">
  <location ref="C190:E196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numFmtId="14" showAll="0"/>
    <pivotField numFmtId="1" showAll="0"/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axis="axisRow" dataField="1" showAll="0">
      <items count="7">
        <item x="0"/>
        <item x="1"/>
        <item m="1" x="5"/>
        <item x="3"/>
        <item x="2"/>
        <item x="4"/>
        <item t="default"/>
      </items>
    </pivotField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</pivotFields>
  <rowFields count="1">
    <field x="48"/>
  </rowFields>
  <rowItems count="6">
    <i>
      <x/>
    </i>
    <i>
      <x v="1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- ESTRATO DEL HOGAR" fld="48" baseField="0" baseItem="0"/>
    <dataField name="Porcentaje - ESTRATO DEL HOGAR" fld="48" showDataAs="percentOfCol" baseField="41" baseItem="0" numFmtId="164"/>
  </dataFields>
  <formats count="12">
    <format dxfId="93">
      <pivotArea field="48" type="button" dataOnly="0" labelOnly="1" outline="0" axis="axisRow" fieldPosition="0"/>
    </format>
    <format dxfId="9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1">
      <pivotArea field="48" type="button" dataOnly="0" labelOnly="1" outline="0" axis="axisRow" fieldPosition="0"/>
    </format>
    <format dxfId="9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9">
      <pivotArea field="48" type="button" dataOnly="0" labelOnly="1" outline="0" axis="axisRow" fieldPosition="0"/>
    </format>
    <format dxfId="8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7">
      <pivotArea collapsedLevelsAreSubtotals="1" fieldPosition="0">
        <references count="1">
          <reference field="48" count="0"/>
        </references>
      </pivotArea>
    </format>
    <format dxfId="86">
      <pivotArea collapsedLevelsAreSubtotals="1" fieldPosition="0">
        <references count="1">
          <reference field="48" count="0"/>
        </references>
      </pivotArea>
    </format>
    <format dxfId="85">
      <pivotArea collapsedLevelsAreSubtotals="1" fieldPosition="0">
        <references count="1">
          <reference field="48" count="0"/>
        </references>
      </pivotArea>
    </format>
    <format dxfId="84">
      <pivotArea grandRow="1" outline="0" collapsedLevelsAreSubtotals="1" fieldPosition="0"/>
    </format>
    <format dxfId="83">
      <pivotArea grandRow="1" outline="0" collapsedLevelsAreSubtotals="1" fieldPosition="0"/>
    </format>
    <format dxfId="82">
      <pivotArea outline="0" fieldPosition="0">
        <references count="1">
          <reference field="4294967294" count="1"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48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48" count="1" selected="0">
            <x v="0"/>
          </reference>
        </references>
      </pivotArea>
    </chartFormat>
  </chartFormat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C000000}" name="Tabla dinámica7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2" rowHeaderCaption="TIPO DE BENEFICIARIO">
  <location ref="G22:I26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numFmtId="14" showAll="0"/>
    <pivotField numFmtId="1" showAll="0"/>
    <pivotField numFmtId="1" showAll="0"/>
    <pivotField numFmtId="1" showAll="0"/>
    <pivotField showAll="0"/>
    <pivotField axis="axisRow" dataField="1" showAll="0">
      <items count="8">
        <item x="0"/>
        <item x="1"/>
        <item x="2"/>
        <item m="1" x="3"/>
        <item m="1" x="6"/>
        <item m="1" x="4"/>
        <item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</pivotFields>
  <rowFields count="1">
    <field x="2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- TIPO DE BENEFICIARIO" fld="21" subtotal="count" baseField="0" baseItem="0"/>
    <dataField name="Porcentaje - TIPO DE BENEFICIARIO" fld="21" subtotal="count" showDataAs="percentOfCol" baseField="5" baseItem="0" numFmtId="164"/>
  </dataFields>
  <formats count="10">
    <format dxfId="103">
      <pivotArea field="21" type="button" dataOnly="0" labelOnly="1" outline="0" axis="axisRow" fieldPosition="0"/>
    </format>
    <format dxfId="10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1">
      <pivotArea field="21" type="button" dataOnly="0" labelOnly="1" outline="0" axis="axisRow" fieldPosition="0"/>
    </format>
    <format dxfId="10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9">
      <pivotArea field="21" type="button" dataOnly="0" labelOnly="1" outline="0" axis="axisRow" fieldPosition="0"/>
    </format>
    <format dxfId="9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7">
      <pivotArea outline="0" collapsedLevelsAreSubtotals="1" fieldPosition="0"/>
    </format>
    <format dxfId="96">
      <pivotArea outline="0" collapsedLevelsAreSubtotals="1" fieldPosition="0"/>
    </format>
    <format dxfId="95">
      <pivotArea outline="0" collapsedLevelsAreSubtotals="1" fieldPosition="0"/>
    </format>
    <format dxfId="94">
      <pivotArea outline="0" fieldPosition="0">
        <references count="1">
          <reference field="4294967294" count="1"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11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3" rowHeaderCaption="ZONA DE UBICACIÓN">
  <location ref="C109:E112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x="0"/>
        <item x="1"/>
        <item m="1" x="2"/>
        <item m="1" x="3"/>
        <item t="default"/>
      </items>
    </pivotField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</pivotFields>
  <rowFields count="1">
    <field x="4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- ZONA DE UBICACIÓN" fld="40" subtotal="count" baseField="0" baseItem="0"/>
    <dataField name="Porcentaje -  ZONA DE UBICACIÓN2" fld="40" subtotal="count" showDataAs="percentOfCol" baseField="34" baseItem="0" numFmtId="164"/>
  </dataFields>
  <formats count="10">
    <format dxfId="113">
      <pivotArea field="40" type="button" dataOnly="0" labelOnly="1" outline="0" axis="axisRow" fieldPosition="0"/>
    </format>
    <format dxfId="11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1">
      <pivotArea field="40" type="button" dataOnly="0" labelOnly="1" outline="0" axis="axisRow" fieldPosition="0"/>
    </format>
    <format dxfId="1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9">
      <pivotArea field="40" type="button" dataOnly="0" labelOnly="1" outline="0" axis="axisRow" fieldPosition="0"/>
    </format>
    <format dxfId="10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7">
      <pivotArea outline="0" fieldPosition="0">
        <references count="1">
          <reference field="4294967294" count="1">
            <x v="1"/>
          </reference>
        </references>
      </pivotArea>
    </format>
    <format dxfId="106">
      <pivotArea outline="0" collapsedLevelsAreSubtotals="1" fieldPosition="0"/>
    </format>
    <format dxfId="105">
      <pivotArea outline="0" collapsedLevelsAreSubtotals="1" fieldPosition="0"/>
    </format>
    <format dxfId="104">
      <pivotArea outline="0" collapsedLevelsAreSubtotals="1" fieldPosition="0"/>
    </format>
  </format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40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40" count="1" selected="0">
            <x v="1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40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6000000}" name="Tabla dinámica16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3">
  <location ref="K190:M214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axis="axisRow" dataField="1" showAll="0" defaultSubtotal="0">
      <items count="34">
        <item x="1"/>
        <item m="1" x="31"/>
        <item m="1" x="33"/>
        <item m="1" x="30"/>
        <item m="1" x="24"/>
        <item m="1" x="25"/>
        <item m="1" x="28"/>
        <item m="1" x="26"/>
        <item m="1" x="29"/>
        <item m="1" x="27"/>
        <item m="1" x="32"/>
        <item x="14"/>
        <item x="8"/>
        <item x="6"/>
        <item x="12"/>
        <item x="11"/>
        <item x="20"/>
        <item x="18"/>
        <item x="0"/>
        <item x="3"/>
        <item x="4"/>
        <item x="16"/>
        <item x="19"/>
        <item x="7"/>
        <item x="10"/>
        <item x="2"/>
        <item x="5"/>
        <item x="9"/>
        <item x="13"/>
        <item x="17"/>
        <item x="15"/>
        <item x="21"/>
        <item x="23"/>
        <item x="22"/>
      </items>
    </pivotField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</pivotFields>
  <rowFields count="1">
    <field x="51"/>
  </rowFields>
  <rowItems count="24">
    <i>
      <x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1"/>
    </i>
    <i>
      <x v="32"/>
    </i>
    <i>
      <x v="33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PUNTAJE SISBEN" fld="51" subtotal="count" baseField="0" baseItem="0"/>
    <dataField name="Porcentaje de PUNTAJE SISBEN" fld="51" subtotal="count" showDataAs="percentOfCol" baseField="45" baseItem="1" numFmtId="164"/>
  </dataFields>
  <formats count="13">
    <format dxfId="126">
      <pivotArea field="51" type="button" dataOnly="0" labelOnly="1" outline="0" axis="axisRow" fieldPosition="0"/>
    </format>
    <format dxfId="125">
      <pivotArea field="51" type="button" dataOnly="0" labelOnly="1" outline="0" axis="axisRow" fieldPosition="0"/>
    </format>
    <format dxfId="124">
      <pivotArea field="51" type="button" dataOnly="0" labelOnly="1" outline="0" axis="axisRow" fieldPosition="0"/>
    </format>
    <format dxfId="123">
      <pivotArea outline="0" collapsedLevelsAreSubtotals="1" fieldPosition="0"/>
    </format>
    <format dxfId="122">
      <pivotArea outline="0" collapsedLevelsAreSubtotals="1" fieldPosition="0"/>
    </format>
    <format dxfId="121">
      <pivotArea outline="0" collapsedLevelsAreSubtotals="1" fieldPosition="0"/>
    </format>
    <format dxfId="12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7">
      <pivotArea outline="0" fieldPosition="0">
        <references count="1">
          <reference field="4294967294" count="1">
            <x v="1"/>
          </reference>
        </references>
      </pivotArea>
    </format>
    <format dxfId="116">
      <pivotArea dataOnly="0" labelOnly="1" fieldPosition="0">
        <references count="1">
          <reference field="51" count="0"/>
        </references>
      </pivotArea>
    </format>
    <format dxfId="115">
      <pivotArea dataOnly="0" labelOnly="1" fieldPosition="0">
        <references count="1">
          <reference field="51" count="0"/>
        </references>
      </pivotArea>
    </format>
    <format dxfId="114">
      <pivotArea dataOnly="0" labelOnly="1" fieldPosition="0">
        <references count="1">
          <reference field="51" count="0"/>
        </references>
      </pivotArea>
    </format>
  </formats>
  <chartFormats count="2"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12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6" rowHeaderCaption="LOCALIDAD-COMUNA-RESTO">
  <location ref="G109:I113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defaultSubtotal="0">
      <items count="11">
        <item m="1" x="8"/>
        <item m="1" x="9"/>
        <item m="1" x="10"/>
        <item m="1" x="3"/>
        <item m="1" x="5"/>
        <item x="1"/>
        <item x="2"/>
        <item m="1" x="4"/>
        <item x="0"/>
        <item m="1" x="7"/>
        <item m="1" x="6"/>
      </items>
    </pivotField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</pivotFields>
  <rowFields count="1">
    <field x="42"/>
  </rowFields>
  <rowItems count="4">
    <i>
      <x v="5"/>
    </i>
    <i>
      <x v="6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NOMBRE LOCALIDAD/COMUNAS/NOMBRE DE ZONA RESTO" fld="42" subtotal="count" baseField="0" baseItem="0"/>
    <dataField name="Porcentaje NOMBRE LOCALIDAD/COMUNAS/NOMBRE DE ZONA RESTO2" fld="42" subtotal="count" showDataAs="percentOfCol" baseField="36" baseItem="0" numFmtId="164"/>
  </dataFields>
  <formats count="10">
    <format dxfId="136">
      <pivotArea outline="0" collapsedLevelsAreSubtotals="1" fieldPosition="0"/>
    </format>
    <format dxfId="135">
      <pivotArea outline="0" collapsedLevelsAreSubtotals="1" fieldPosition="0"/>
    </format>
    <format dxfId="134">
      <pivotArea outline="0" collapsedLevelsAreSubtotals="1" fieldPosition="0"/>
    </format>
    <format dxfId="133">
      <pivotArea field="42" type="button" dataOnly="0" labelOnly="1" outline="0" axis="axisRow" fieldPosition="0"/>
    </format>
    <format dxfId="1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1">
      <pivotArea field="42" type="button" dataOnly="0" labelOnly="1" outline="0" axis="axisRow" fieldPosition="0"/>
    </format>
    <format dxfId="13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9">
      <pivotArea field="42" type="button" dataOnly="0" labelOnly="1" outline="0" axis="axisRow" fieldPosition="0"/>
    </format>
    <format dxfId="12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7">
      <pivotArea outline="0" fieldPosition="0">
        <references count="1">
          <reference field="4294967294" count="1">
            <x v="1"/>
          </reference>
        </references>
      </pivotArea>
    </format>
  </formats>
  <chartFormats count="19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1"/>
          </reference>
          <reference field="42" count="1" selected="0">
            <x v="5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1"/>
          </reference>
          <reference field="42" count="1" selected="0">
            <x v="4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1"/>
          </reference>
          <reference field="42" count="1" selected="0">
            <x v="3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1"/>
          </reference>
          <reference field="42" count="1" selected="0">
            <x v="2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1"/>
          </reference>
          <reference field="42" count="1" selected="0">
            <x v="1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1"/>
          </reference>
          <reference field="42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42" count="1" selected="0">
            <x v="0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42" count="1" selected="0">
            <x v="1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42" count="1" selected="0">
            <x v="5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42" count="1" selected="0">
            <x v="4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42" count="1" selected="0">
            <x v="3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0"/>
          </reference>
          <reference field="42" count="1" selected="0">
            <x v="2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>
      <pivotArea type="data" outline="0" fieldPosition="0">
        <references count="2">
          <reference field="4294967294" count="1" selected="0">
            <x v="0"/>
          </reference>
          <reference field="42" count="1" selected="0">
            <x v="8"/>
          </reference>
        </references>
      </pivotArea>
    </chartFormat>
  </chartFormat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8000000}" name="Tabla dinámica3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2" rowHeaderCaption="GENERO">
  <location ref="C22:E25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numFmtId="14" showAll="0"/>
    <pivotField numFmtId="1" showAll="0"/>
    <pivotField numFmtId="1" showAll="0"/>
    <pivotField numFmtId="1" showAll="0"/>
    <pivotField showAll="0"/>
    <pivotField showAll="0"/>
    <pivotField axis="axisRow" dataField="1" showAll="0" defaultSubtotal="0">
      <items count="5">
        <item x="1"/>
        <item x="0"/>
        <item m="1" x="2"/>
        <item m="1" x="3"/>
        <item m="1" x="4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</pivotFields>
  <rowFields count="1">
    <field x="22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- GENERO" fld="22" subtotal="count" baseField="0" baseItem="0"/>
    <dataField name="Porcentaje - GENERO" fld="22" subtotal="count" showDataAs="percentOfCol" baseField="15" baseItem="0" numFmtId="164"/>
  </dataFields>
  <formats count="16">
    <format dxfId="15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1">
      <pivotArea field="22" type="button" dataOnly="0" labelOnly="1" outline="0" axis="axisRow" fieldPosition="0"/>
    </format>
    <format dxfId="15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9">
      <pivotArea field="22" type="button" dataOnly="0" labelOnly="1" outline="0" axis="axisRow" fieldPosition="0"/>
    </format>
    <format dxfId="14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7">
      <pivotArea field="22" type="button" dataOnly="0" labelOnly="1" outline="0" axis="axisRow" fieldPosition="0"/>
    </format>
    <format dxfId="14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5">
      <pivotArea collapsedLevelsAreSubtotals="1" fieldPosition="0">
        <references count="1">
          <reference field="22" count="0"/>
        </references>
      </pivotArea>
    </format>
    <format dxfId="144">
      <pivotArea dataOnly="0" labelOnly="1" fieldPosition="0">
        <references count="1">
          <reference field="22" count="0"/>
        </references>
      </pivotArea>
    </format>
    <format dxfId="143">
      <pivotArea collapsedLevelsAreSubtotals="1" fieldPosition="0">
        <references count="1">
          <reference field="22" count="0"/>
        </references>
      </pivotArea>
    </format>
    <format dxfId="142">
      <pivotArea dataOnly="0" labelOnly="1" fieldPosition="0">
        <references count="1">
          <reference field="22" count="0"/>
        </references>
      </pivotArea>
    </format>
    <format dxfId="141">
      <pivotArea collapsedLevelsAreSubtotals="1" fieldPosition="0">
        <references count="1">
          <reference field="22" count="0"/>
        </references>
      </pivotArea>
    </format>
    <format dxfId="140">
      <pivotArea dataOnly="0" labelOnly="1" fieldPosition="0">
        <references count="1">
          <reference field="22" count="0"/>
        </references>
      </pivotArea>
    </format>
    <format dxfId="139">
      <pivotArea outline="0" collapsedLevelsAreSubtotals="1" fieldPosition="0"/>
    </format>
    <format dxfId="138">
      <pivotArea outline="0" collapsedLevelsAreSubtotals="1" fieldPosition="0"/>
    </format>
    <format dxfId="137">
      <pivotArea outline="0" collapsedLevelsAreSubtotals="1" fieldPosition="0"/>
    </format>
  </format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E000000}" name="Tabla dinámica9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1" rowHeaderCaption="CARNET DE VACUNACION">
  <location ref="C81:E85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5">
        <item x="2"/>
        <item x="0"/>
        <item x="1"/>
        <item m="1" x="5"/>
        <item m="1" x="6"/>
        <item m="1" x="3"/>
        <item m="1" x="4"/>
        <item m="1" x="8"/>
        <item m="1" x="13"/>
        <item m="1" x="10"/>
        <item m="1" x="7"/>
        <item m="1" x="11"/>
        <item m="1" x="12"/>
        <item m="1" x="9"/>
        <item t="default"/>
      </items>
    </pivotField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</pivotFields>
  <rowFields count="1">
    <field x="9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-  BENEFICIARIO QUE CUENTAN CON EL CARNET DE VACUNACIÓN" fld="91" subtotal="count" baseField="0" baseItem="0"/>
    <dataField name="Porcentaje -  BENEFICIARIO QUE CUENTAN CON EL CARNET DE VACUNACIÓN" fld="91" subtotal="count" showDataAs="percentOfCol" baseField="75" baseItem="1" numFmtId="164"/>
  </dataFields>
  <formats count="10">
    <format dxfId="162">
      <pivotArea field="91" type="button" dataOnly="0" labelOnly="1" outline="0" axis="axisRow" fieldPosition="0"/>
    </format>
    <format dxfId="16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0">
      <pivotArea field="91" type="button" dataOnly="0" labelOnly="1" outline="0" axis="axisRow" fieldPosition="0"/>
    </format>
    <format dxfId="15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8">
      <pivotArea field="91" type="button" dataOnly="0" labelOnly="1" outline="0" axis="axisRow" fieldPosition="0"/>
    </format>
    <format dxfId="15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6">
      <pivotArea outline="0" collapsedLevelsAreSubtotals="1" fieldPosition="0"/>
    </format>
    <format dxfId="155">
      <pivotArea outline="0" collapsedLevelsAreSubtotals="1" fieldPosition="0"/>
    </format>
    <format dxfId="154">
      <pivotArea outline="0" collapsedLevelsAreSubtotals="1" fieldPosition="0"/>
    </format>
    <format dxfId="153">
      <pivotArea outline="0" fieldPosition="0">
        <references count="1">
          <reference field="4294967294" count="1"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91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91" count="1" selected="0">
            <x v="2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13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2" rowHeaderCaption="BARRIO">
  <location ref="K109:M172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Row" dataField="1" showAll="0" sortType="descending">
      <items count="219">
        <item m="1" x="111"/>
        <item m="1" x="99"/>
        <item m="1" x="194"/>
        <item m="1" x="88"/>
        <item m="1" x="90"/>
        <item m="1" x="102"/>
        <item m="1" x="98"/>
        <item m="1" x="216"/>
        <item m="1" x="145"/>
        <item x="17"/>
        <item m="1" x="185"/>
        <item m="1" x="173"/>
        <item m="1" x="97"/>
        <item m="1" x="212"/>
        <item m="1" x="135"/>
        <item m="1" x="151"/>
        <item m="1" x="193"/>
        <item m="1" x="156"/>
        <item x="39"/>
        <item m="1" x="208"/>
        <item m="1" x="95"/>
        <item m="1" x="163"/>
        <item m="1" x="149"/>
        <item m="1" x="210"/>
        <item m="1" x="177"/>
        <item m="1" x="152"/>
        <item m="1" x="143"/>
        <item m="1" x="91"/>
        <item m="1" x="170"/>
        <item x="69"/>
        <item m="1" x="172"/>
        <item m="1" x="191"/>
        <item m="1" x="209"/>
        <item x="12"/>
        <item m="1" x="188"/>
        <item m="1" x="134"/>
        <item m="1" x="114"/>
        <item m="1" x="207"/>
        <item m="1" x="94"/>
        <item m="1" x="160"/>
        <item m="1" x="131"/>
        <item m="1" x="183"/>
        <item m="1" x="120"/>
        <item x="80"/>
        <item x="60"/>
        <item x="16"/>
        <item x="26"/>
        <item x="42"/>
        <item x="22"/>
        <item x="20"/>
        <item x="59"/>
        <item x="52"/>
        <item x="85"/>
        <item m="1" x="192"/>
        <item m="1" x="126"/>
        <item x="30"/>
        <item x="37"/>
        <item x="5"/>
        <item x="4"/>
        <item x="82"/>
        <item x="19"/>
        <item m="1" x="133"/>
        <item x="72"/>
        <item x="2"/>
        <item x="0"/>
        <item m="1" x="181"/>
        <item x="61"/>
        <item x="31"/>
        <item m="1" x="144"/>
        <item m="1" x="125"/>
        <item x="53"/>
        <item x="14"/>
        <item x="7"/>
        <item m="1" x="205"/>
        <item x="62"/>
        <item x="46"/>
        <item m="1" x="148"/>
        <item x="55"/>
        <item m="1" x="139"/>
        <item m="1" x="115"/>
        <item x="74"/>
        <item x="25"/>
        <item m="1" x="159"/>
        <item x="9"/>
        <item m="1" x="109"/>
        <item x="10"/>
        <item m="1" x="104"/>
        <item m="1" x="119"/>
        <item m="1" x="132"/>
        <item m="1" x="146"/>
        <item x="6"/>
        <item m="1" x="153"/>
        <item m="1" x="213"/>
        <item m="1" x="137"/>
        <item x="24"/>
        <item m="1" x="122"/>
        <item m="1" x="130"/>
        <item m="1" x="162"/>
        <item m="1" x="113"/>
        <item m="1" x="176"/>
        <item m="1" x="215"/>
        <item m="1" x="110"/>
        <item m="1" x="100"/>
        <item m="1" x="180"/>
        <item m="1" x="105"/>
        <item m="1" x="124"/>
        <item m="1" x="167"/>
        <item m="1" x="93"/>
        <item m="1" x="198"/>
        <item m="1" x="197"/>
        <item m="1" x="165"/>
        <item m="1" x="187"/>
        <item m="1" x="128"/>
        <item m="1" x="150"/>
        <item m="1" x="204"/>
        <item m="1" x="186"/>
        <item m="1" x="202"/>
        <item m="1" x="101"/>
        <item x="84"/>
        <item m="1" x="161"/>
        <item m="1" x="136"/>
        <item m="1" x="103"/>
        <item m="1" x="141"/>
        <item m="1" x="138"/>
        <item m="1" x="117"/>
        <item m="1" x="189"/>
        <item m="1" x="184"/>
        <item x="44"/>
        <item m="1" x="127"/>
        <item m="1" x="123"/>
        <item m="1" x="89"/>
        <item m="1" x="195"/>
        <item x="71"/>
        <item m="1" x="116"/>
        <item m="1" x="129"/>
        <item m="1" x="155"/>
        <item m="1" x="206"/>
        <item m="1" x="164"/>
        <item m="1" x="199"/>
        <item m="1" x="179"/>
        <item m="1" x="211"/>
        <item m="1" x="96"/>
        <item m="1" x="201"/>
        <item x="23"/>
        <item m="1" x="112"/>
        <item m="1" x="200"/>
        <item m="1" x="174"/>
        <item x="1"/>
        <item m="1" x="217"/>
        <item m="1" x="118"/>
        <item m="1" x="108"/>
        <item m="1" x="142"/>
        <item m="1" x="171"/>
        <item m="1" x="158"/>
        <item m="1" x="106"/>
        <item m="1" x="121"/>
        <item m="1" x="190"/>
        <item m="1" x="92"/>
        <item m="1" x="107"/>
        <item m="1" x="157"/>
        <item m="1" x="87"/>
        <item m="1" x="175"/>
        <item m="1" x="168"/>
        <item m="1" x="140"/>
        <item m="1" x="154"/>
        <item m="1" x="166"/>
        <item m="1" x="169"/>
        <item m="1" x="203"/>
        <item m="1" x="86"/>
        <item m="1" x="182"/>
        <item m="1" x="147"/>
        <item x="3"/>
        <item x="8"/>
        <item x="11"/>
        <item x="13"/>
        <item x="15"/>
        <item x="18"/>
        <item x="27"/>
        <item x="28"/>
        <item x="32"/>
        <item x="33"/>
        <item x="34"/>
        <item x="35"/>
        <item x="36"/>
        <item x="38"/>
        <item x="41"/>
        <item x="43"/>
        <item x="45"/>
        <item x="47"/>
        <item x="50"/>
        <item x="54"/>
        <item x="57"/>
        <item x="49"/>
        <item x="58"/>
        <item x="64"/>
        <item x="65"/>
        <item x="66"/>
        <item m="1" x="196"/>
        <item x="68"/>
        <item x="67"/>
        <item x="48"/>
        <item x="56"/>
        <item x="70"/>
        <item m="1" x="178"/>
        <item m="1" x="214"/>
        <item x="73"/>
        <item x="51"/>
        <item x="40"/>
        <item x="63"/>
        <item x="75"/>
        <item x="77"/>
        <item x="78"/>
        <item x="81"/>
        <item x="21"/>
        <item x="79"/>
        <item x="29"/>
        <item x="83"/>
        <item x="76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</pivotFields>
  <rowFields count="1">
    <field x="43"/>
  </rowFields>
  <rowItems count="63">
    <i>
      <x v="57"/>
    </i>
    <i>
      <x v="207"/>
    </i>
    <i>
      <x v="64"/>
    </i>
    <i>
      <x v="45"/>
    </i>
    <i>
      <x v="80"/>
    </i>
    <i>
      <x v="48"/>
    </i>
    <i>
      <x v="63"/>
    </i>
    <i>
      <x v="188"/>
    </i>
    <i>
      <x v="83"/>
    </i>
    <i>
      <x v="208"/>
    </i>
    <i>
      <x v="72"/>
    </i>
    <i>
      <x v="71"/>
    </i>
    <i>
      <x v="55"/>
    </i>
    <i>
      <x v="49"/>
    </i>
    <i>
      <x v="74"/>
    </i>
    <i>
      <x v="176"/>
    </i>
    <i>
      <x v="173"/>
    </i>
    <i>
      <x v="178"/>
    </i>
    <i>
      <x v="212"/>
    </i>
    <i>
      <x v="70"/>
    </i>
    <i>
      <x v="81"/>
    </i>
    <i>
      <x v="213"/>
    </i>
    <i>
      <x v="174"/>
    </i>
    <i>
      <x v="206"/>
    </i>
    <i>
      <x v="56"/>
    </i>
    <i>
      <x v="210"/>
    </i>
    <i>
      <x v="90"/>
    </i>
    <i>
      <x v="67"/>
    </i>
    <i>
      <x v="127"/>
    </i>
    <i>
      <x v="143"/>
    </i>
    <i>
      <x v="194"/>
    </i>
    <i>
      <x v="209"/>
    </i>
    <i>
      <x v="202"/>
    </i>
    <i>
      <x v="147"/>
    </i>
    <i>
      <x v="214"/>
    </i>
    <i>
      <x v="172"/>
    </i>
    <i>
      <x v="200"/>
    </i>
    <i>
      <x v="59"/>
    </i>
    <i>
      <x v="18"/>
    </i>
    <i>
      <x v="52"/>
    </i>
    <i>
      <x v="58"/>
    </i>
    <i>
      <x v="175"/>
    </i>
    <i>
      <x v="216"/>
    </i>
    <i>
      <x v="75"/>
    </i>
    <i>
      <x v="196"/>
    </i>
    <i>
      <x v="177"/>
    </i>
    <i>
      <x v="201"/>
    </i>
    <i>
      <x v="47"/>
    </i>
    <i>
      <x v="29"/>
    </i>
    <i>
      <x v="179"/>
    </i>
    <i>
      <x v="94"/>
    </i>
    <i>
      <x v="181"/>
    </i>
    <i>
      <x v="118"/>
    </i>
    <i>
      <x v="185"/>
    </i>
    <i>
      <x v="132"/>
    </i>
    <i>
      <x v="66"/>
    </i>
    <i>
      <x v="215"/>
    </i>
    <i>
      <x v="190"/>
    </i>
    <i>
      <x v="217"/>
    </i>
    <i>
      <x v="191"/>
    </i>
    <i>
      <x v="192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-  BARRIO" fld="43" subtotal="count" baseField="0" baseItem="0"/>
    <dataField name="Porcentaje - BARRIO" fld="43" subtotal="count" showDataAs="percentOfCol" baseField="37" baseItem="0" numFmtId="164"/>
  </dataFields>
  <formats count="10">
    <format dxfId="172">
      <pivotArea outline="0" collapsedLevelsAreSubtotals="1" fieldPosition="0"/>
    </format>
    <format dxfId="171">
      <pivotArea outline="0" collapsedLevelsAreSubtotals="1" fieldPosition="0"/>
    </format>
    <format dxfId="170">
      <pivotArea outline="0" collapsedLevelsAreSubtotals="1" fieldPosition="0"/>
    </format>
    <format dxfId="169">
      <pivotArea field="43" type="button" dataOnly="0" labelOnly="1" outline="0" axis="axisRow" fieldPosition="0"/>
    </format>
    <format dxfId="16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7">
      <pivotArea field="43" type="button" dataOnly="0" labelOnly="1" outline="0" axis="axisRow" fieldPosition="0"/>
    </format>
    <format dxfId="16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5">
      <pivotArea field="43" type="button" dataOnly="0" labelOnly="1" outline="0" axis="axisRow" fieldPosition="0"/>
    </format>
    <format dxfId="16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3">
      <pivotArea outline="0" fieldPosition="0">
        <references count="1">
          <reference field="4294967294" count="1">
            <x v="1"/>
          </reference>
        </references>
      </pivotArea>
    </format>
  </formats>
  <chartFormats count="1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1"/>
          </reference>
          <reference field="43" count="1" selected="0">
            <x v="4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1"/>
          </reference>
          <reference field="43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1"/>
          </reference>
          <reference field="43" count="1" selected="0">
            <x v="7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1"/>
          </reference>
          <reference field="43" count="1" selected="0">
            <x v="5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1"/>
          </reference>
          <reference field="43" count="1" selected="0">
            <x v="6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1"/>
          </reference>
          <reference field="43" count="1" selected="0">
            <x v="0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1"/>
          </reference>
          <reference field="43" count="1" selected="0">
            <x v="2"/>
          </reference>
        </references>
      </pivotArea>
    </chartFormat>
  </chartFormat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D000000}" name="Tabla dinámica8" cacheId="0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 chartFormat="2" rowHeaderCaption="EPS">
  <location ref="K50:M83" firstHeaderRow="0" firstDataRow="1" firstDataCol="1"/>
  <pivotFields count="108">
    <pivotField showAll="0"/>
    <pivotField showAll="0">
      <items count="4">
        <item x="1"/>
        <item h="1" x="0"/>
        <item h="1" m="1" x="2"/>
        <item t="default"/>
      </items>
    </pivotField>
    <pivotField showAll="0"/>
    <pivotField showAll="0"/>
    <pivotField showAll="0"/>
    <pivotField showAll="0"/>
    <pivotField showAll="0"/>
    <pivotField showAll="0">
      <items count="20">
        <item m="1" x="9"/>
        <item m="1" x="17"/>
        <item m="1" x="13"/>
        <item m="1" x="16"/>
        <item m="1" x="7"/>
        <item m="1" x="12"/>
        <item x="0"/>
        <item m="1" x="18"/>
        <item m="1" x="14"/>
        <item m="1" x="8"/>
        <item m="1" x="2"/>
        <item m="1" x="3"/>
        <item m="1" x="6"/>
        <item m="1" x="10"/>
        <item m="1" x="11"/>
        <item m="1" x="4"/>
        <item m="1" x="5"/>
        <item m="1" x="15"/>
        <item m="1" x="1"/>
        <item t="default"/>
      </items>
    </pivotField>
    <pivotField showAll="0">
      <items count="116">
        <item m="1" x="15"/>
        <item m="1" x="108"/>
        <item m="1" x="93"/>
        <item m="1" x="77"/>
        <item m="1" x="59"/>
        <item m="1" x="40"/>
        <item m="1" x="110"/>
        <item m="1" x="53"/>
        <item m="1" x="68"/>
        <item m="1" x="25"/>
        <item m="1" x="29"/>
        <item m="1" x="106"/>
        <item m="1" x="46"/>
        <item m="1" x="58"/>
        <item m="1" x="114"/>
        <item m="1" x="94"/>
        <item m="1" x="75"/>
        <item m="1" x="78"/>
        <item m="1" x="33"/>
        <item m="1" x="97"/>
        <item m="1" x="82"/>
        <item m="1" x="64"/>
        <item m="1" x="45"/>
        <item m="1" x="30"/>
        <item m="1" x="14"/>
        <item m="1" x="90"/>
        <item m="1" x="42"/>
        <item m="1" x="104"/>
        <item m="1" x="98"/>
        <item m="1" x="20"/>
        <item m="1" x="47"/>
        <item m="1" x="87"/>
        <item m="1" x="41"/>
        <item m="1" x="101"/>
        <item m="1" x="107"/>
        <item m="1" x="35"/>
        <item m="1" x="74"/>
        <item m="1" x="22"/>
        <item m="1" x="105"/>
        <item m="1" x="26"/>
        <item m="1" x="43"/>
        <item m="1" x="103"/>
        <item m="1" x="39"/>
        <item m="1" x="28"/>
        <item m="1" x="71"/>
        <item m="1" x="109"/>
        <item m="1" x="31"/>
        <item m="1" x="63"/>
        <item m="1" x="80"/>
        <item m="1" x="56"/>
        <item m="1" x="70"/>
        <item m="1" x="50"/>
        <item m="1" x="32"/>
        <item m="1" x="17"/>
        <item m="1" x="111"/>
        <item m="1" x="96"/>
        <item m="1" x="52"/>
        <item m="1" x="49"/>
        <item m="1" x="37"/>
        <item m="1" x="44"/>
        <item m="1" x="73"/>
        <item m="1" x="112"/>
        <item m="1" x="100"/>
        <item m="1" x="27"/>
        <item m="1" x="57"/>
        <item x="0"/>
        <item m="1" x="51"/>
        <item m="1" x="36"/>
        <item m="1" x="18"/>
        <item m="1" x="62"/>
        <item m="1" x="95"/>
        <item m="1" x="69"/>
        <item m="1" x="113"/>
        <item m="1" x="76"/>
        <item m="1" x="34"/>
        <item m="1" x="21"/>
        <item m="1" x="61"/>
        <item m="1" x="83"/>
        <item m="1" x="92"/>
        <item m="1" x="38"/>
        <item m="1" x="66"/>
        <item m="1" x="81"/>
        <item m="1" x="54"/>
        <item m="1" x="86"/>
        <item m="1" x="85"/>
        <item m="1" x="91"/>
        <item m="1" x="12"/>
        <item m="1" x="88"/>
        <item m="1" x="65"/>
        <item m="1" x="19"/>
        <item m="1" x="72"/>
        <item m="1" x="23"/>
        <item m="1" x="24"/>
        <item m="1" x="89"/>
        <item m="1" x="60"/>
        <item m="1" x="79"/>
        <item m="1" x="11"/>
        <item x="7"/>
        <item m="1" x="13"/>
        <item m="1" x="102"/>
        <item m="1" x="55"/>
        <item m="1" x="9"/>
        <item x="2"/>
        <item x="8"/>
        <item m="1" x="99"/>
        <item x="4"/>
        <item m="1" x="84"/>
        <item x="3"/>
        <item m="1" x="67"/>
        <item x="5"/>
        <item m="1" x="48"/>
        <item x="1"/>
        <item x="6"/>
        <item m="1" x="16"/>
        <item m="1" x="10"/>
        <item t="default"/>
      </items>
    </pivotField>
    <pivotField showAll="0">
      <items count="100">
        <item m="1" x="16"/>
        <item m="1" x="50"/>
        <item m="1" x="70"/>
        <item m="1" x="52"/>
        <item m="1" x="14"/>
        <item m="1" x="82"/>
        <item m="1" x="53"/>
        <item m="1" x="59"/>
        <item m="1" x="21"/>
        <item m="1" x="37"/>
        <item m="1" x="26"/>
        <item m="1" x="88"/>
        <item m="1" x="51"/>
        <item m="1" x="17"/>
        <item m="1" x="79"/>
        <item m="1" x="49"/>
        <item m="1" x="98"/>
        <item m="1" x="91"/>
        <item x="7"/>
        <item m="1" x="10"/>
        <item m="1" x="29"/>
        <item m="1" x="63"/>
        <item x="1"/>
        <item m="1" x="11"/>
        <item m="1" x="97"/>
        <item m="1" x="30"/>
        <item m="1" x="23"/>
        <item m="1" x="71"/>
        <item m="1" x="85"/>
        <item m="1" x="80"/>
        <item m="1" x="34"/>
        <item m="1" x="18"/>
        <item m="1" x="74"/>
        <item m="1" x="39"/>
        <item m="1" x="65"/>
        <item m="1" x="87"/>
        <item m="1" x="83"/>
        <item m="1" x="94"/>
        <item m="1" x="24"/>
        <item m="1" x="41"/>
        <item m="1" x="84"/>
        <item m="1" x="38"/>
        <item m="1" x="35"/>
        <item m="1" x="96"/>
        <item m="1" x="76"/>
        <item m="1" x="47"/>
        <item x="3"/>
        <item m="1" x="15"/>
        <item m="1" x="89"/>
        <item m="1" x="93"/>
        <item m="1" x="33"/>
        <item m="1" x="36"/>
        <item m="1" x="42"/>
        <item m="1" x="12"/>
        <item x="5"/>
        <item m="1" x="45"/>
        <item m="1" x="27"/>
        <item m="1" x="55"/>
        <item x="2"/>
        <item m="1" x="22"/>
        <item m="1" x="46"/>
        <item m="1" x="25"/>
        <item m="1" x="72"/>
        <item m="1" x="67"/>
        <item m="1" x="73"/>
        <item m="1" x="92"/>
        <item m="1" x="75"/>
        <item m="1" x="60"/>
        <item m="1" x="57"/>
        <item m="1" x="43"/>
        <item m="1" x="62"/>
        <item m="1" x="90"/>
        <item m="1" x="32"/>
        <item m="1" x="31"/>
        <item x="8"/>
        <item m="1" x="19"/>
        <item m="1" x="68"/>
        <item m="1" x="40"/>
        <item m="1" x="64"/>
        <item m="1" x="86"/>
        <item m="1" x="58"/>
        <item x="4"/>
        <item m="1" x="56"/>
        <item m="1" x="13"/>
        <item x="0"/>
        <item m="1" x="54"/>
        <item m="1" x="81"/>
        <item m="1" x="44"/>
        <item m="1" x="77"/>
        <item m="1" x="20"/>
        <item m="1" x="28"/>
        <item m="1" x="78"/>
        <item m="1" x="66"/>
        <item m="1" x="69"/>
        <item m="1" x="48"/>
        <item m="1" x="61"/>
        <item m="1" x="95"/>
        <item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83">
        <item x="1"/>
        <item m="1" x="57"/>
        <item x="5"/>
        <item m="1" x="49"/>
        <item x="12"/>
        <item m="1" x="61"/>
        <item x="8"/>
        <item m="1" x="48"/>
        <item x="6"/>
        <item x="0"/>
        <item x="3"/>
        <item x="22"/>
        <item x="2"/>
        <item m="1" x="78"/>
        <item m="1" x="45"/>
        <item m="1" x="71"/>
        <item m="1" x="38"/>
        <item x="28"/>
        <item x="9"/>
        <item m="1" x="74"/>
        <item x="4"/>
        <item m="1" x="54"/>
        <item x="7"/>
        <item x="14"/>
        <item x="16"/>
        <item x="27"/>
        <item m="1" x="77"/>
        <item x="32"/>
        <item m="1" x="81"/>
        <item x="25"/>
        <item m="1" x="70"/>
        <item m="1" x="51"/>
        <item m="1" x="63"/>
        <item x="18"/>
        <item x="31"/>
        <item m="1" x="60"/>
        <item m="1" x="44"/>
        <item x="13"/>
        <item m="1" x="39"/>
        <item m="1" x="69"/>
        <item m="1" x="52"/>
        <item m="1" x="62"/>
        <item m="1" x="40"/>
        <item m="1" x="66"/>
        <item m="1" x="64"/>
        <item m="1" x="76"/>
        <item m="1" x="53"/>
        <item m="1" x="67"/>
        <item m="1" x="79"/>
        <item m="1" x="42"/>
        <item m="1" x="58"/>
        <item m="1" x="56"/>
        <item m="1" x="55"/>
        <item m="1" x="65"/>
        <item m="1" x="72"/>
        <item m="1" x="75"/>
        <item m="1" x="43"/>
        <item m="1" x="50"/>
        <item m="1" x="41"/>
        <item m="1" x="47"/>
        <item m="1" x="80"/>
        <item x="10"/>
        <item x="11"/>
        <item x="17"/>
        <item x="15"/>
        <item m="1" x="46"/>
        <item x="19"/>
        <item x="20"/>
        <item m="1" x="73"/>
        <item m="1" x="59"/>
        <item x="21"/>
        <item m="1" x="68"/>
        <item x="24"/>
        <item x="23"/>
        <item x="26"/>
        <item x="29"/>
        <item x="30"/>
        <item x="33"/>
        <item x="34"/>
        <item x="35"/>
        <item x="36"/>
        <item x="37"/>
        <item t="default"/>
      </items>
    </pivotField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</pivotFields>
  <rowFields count="1">
    <field x="90"/>
  </rowFields>
  <rowItems count="33">
    <i>
      <x/>
    </i>
    <i>
      <x v="2"/>
    </i>
    <i>
      <x v="4"/>
    </i>
    <i>
      <x v="6"/>
    </i>
    <i>
      <x v="8"/>
    </i>
    <i>
      <x v="9"/>
    </i>
    <i>
      <x v="10"/>
    </i>
    <i>
      <x v="11"/>
    </i>
    <i>
      <x v="12"/>
    </i>
    <i>
      <x v="17"/>
    </i>
    <i>
      <x v="18"/>
    </i>
    <i>
      <x v="20"/>
    </i>
    <i>
      <x v="22"/>
    </i>
    <i>
      <x v="23"/>
    </i>
    <i>
      <x v="24"/>
    </i>
    <i>
      <x v="25"/>
    </i>
    <i>
      <x v="27"/>
    </i>
    <i>
      <x v="29"/>
    </i>
    <i>
      <x v="33"/>
    </i>
    <i>
      <x v="34"/>
    </i>
    <i>
      <x v="37"/>
    </i>
    <i>
      <x v="61"/>
    </i>
    <i>
      <x v="62"/>
    </i>
    <i>
      <x v="64"/>
    </i>
    <i>
      <x v="66"/>
    </i>
    <i>
      <x v="67"/>
    </i>
    <i>
      <x v="70"/>
    </i>
    <i>
      <x v="73"/>
    </i>
    <i>
      <x v="78"/>
    </i>
    <i>
      <x v="79"/>
    </i>
    <i>
      <x v="80"/>
    </i>
    <i>
      <x v="81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- EPS" fld="90" subtotal="count" baseField="0" baseItem="0"/>
    <dataField name="Porcentaje - EPS" fld="90" subtotal="count" showDataAs="percentOfCol" baseField="74" baseItem="0" numFmtId="164"/>
  </dataFields>
  <formats count="10">
    <format dxfId="182">
      <pivotArea field="90" type="button" dataOnly="0" labelOnly="1" outline="0" axis="axisRow" fieldPosition="0"/>
    </format>
    <format dxfId="18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80">
      <pivotArea field="90" type="button" dataOnly="0" labelOnly="1" outline="0" axis="axisRow" fieldPosition="0"/>
    </format>
    <format dxfId="17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8">
      <pivotArea field="90" type="button" dataOnly="0" labelOnly="1" outline="0" axis="axisRow" fieldPosition="0"/>
    </format>
    <format dxfId="17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6">
      <pivotArea outline="0" collapsedLevelsAreSubtotals="1" fieldPosition="0"/>
    </format>
    <format dxfId="175">
      <pivotArea outline="0" collapsedLevelsAreSubtotals="1" fieldPosition="0"/>
    </format>
    <format dxfId="174">
      <pivotArea outline="0" collapsedLevelsAreSubtotals="1" fieldPosition="0"/>
    </format>
    <format dxfId="173">
      <pivotArea outline="0" fieldPosition="0">
        <references count="1">
          <reference field="4294967294" count="1">
            <x v="1"/>
          </reference>
        </references>
      </pivotArea>
    </format>
  </formats>
  <chartFormats count="1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1"/>
          </reference>
          <reference field="90" count="1" selected="0">
            <x v="4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1"/>
          </reference>
          <reference field="90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1"/>
          </reference>
          <reference field="90" count="1" selected="0">
            <x v="1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1"/>
          </reference>
          <reference field="90" count="1" selected="0">
            <x v="0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90" count="1" selected="0">
            <x v="0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90" count="1" selected="0">
            <x v="1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90" count="1" selected="0">
            <x v="2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90" count="1" selected="0">
            <x v="4"/>
          </reference>
        </references>
      </pivotArea>
    </chartFormat>
    <chartFormat chart="1" format="10">
      <pivotArea type="data" outline="0" fieldPosition="0">
        <references count="2">
          <reference field="4294967294" count="1" selected="0">
            <x v="1"/>
          </reference>
          <reference field="90" count="1" selected="0">
            <x v="8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fb t="e">#NAME?</fb>
    <v>4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¿ACTIVO_O_INACTIVO?" xr10:uid="{00000000-0013-0000-FFFF-FFFF01000000}" sourceName="¿ACTIVO O INACTIVO?">
  <pivotTables>
    <pivotTable tabId="5" name="Tabla dinámica1"/>
    <pivotTable tabId="5" name="Tabla dinámica2"/>
    <pivotTable tabId="5" name="Tabla dinámica3"/>
  </pivotTables>
  <data>
    <tabular pivotCacheId="1" showMissing="0">
      <items count="3">
        <i x="1" s="1"/>
        <i x="0"/>
        <i x="2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¿ACTIVO_O_INACTIVO?1" xr10:uid="{00000000-0013-0000-FFFF-FFFF02000000}" sourceName="¿ACTIVO O INACTIVO?">
  <pivotTables>
    <pivotTable tabId="6" name="Tabla dinámica5"/>
    <pivotTable tabId="6" name="Tabla dinámica1"/>
    <pivotTable tabId="6" name="Tabla dinámica2"/>
    <pivotTable tabId="6" name="Tabla dinámica3"/>
    <pivotTable tabId="6" name="Tabla dinámica7"/>
    <pivotTable tabId="6" name="Tabla dinámica10"/>
    <pivotTable tabId="6" name="Tabla dinámica11"/>
    <pivotTable tabId="6" name="Tabla dinámica12"/>
    <pivotTable tabId="6" name="Tabla dinámica13"/>
    <pivotTable tabId="6" name="Tabla dinámica15"/>
    <pivotTable tabId="6" name="Tabla dinámica16"/>
    <pivotTable tabId="6" name="Tabla dinámica4"/>
    <pivotTable tabId="6" name="Tabla dinámica6"/>
    <pivotTable tabId="6" name="Tabla dinámica8"/>
    <pivotTable tabId="6" name="Tabla dinámica9"/>
  </pivotTables>
  <data>
    <tabular pivotCacheId="1" showMissing="0">
      <items count="3">
        <i x="1" s="1"/>
        <i x="0"/>
        <i x="2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UNIDAD" xr10:uid="{00000000-0013-0000-FFFF-FFFF03000000}" sourceName="UNIDAD">
  <pivotTables>
    <pivotTable tabId="6" name="Tabla dinámica3"/>
    <pivotTable tabId="6" name="Tabla dinámica1"/>
    <pivotTable tabId="6" name="Tabla dinámica10"/>
    <pivotTable tabId="6" name="Tabla dinámica11"/>
    <pivotTable tabId="6" name="Tabla dinámica12"/>
    <pivotTable tabId="6" name="Tabla dinámica13"/>
    <pivotTable tabId="6" name="Tabla dinámica15"/>
    <pivotTable tabId="6" name="Tabla dinámica16"/>
    <pivotTable tabId="6" name="Tabla dinámica2"/>
    <pivotTable tabId="6" name="Tabla dinámica4"/>
    <pivotTable tabId="6" name="Tabla dinámica5"/>
    <pivotTable tabId="6" name="Tabla dinámica6"/>
    <pivotTable tabId="6" name="Tabla dinámica7"/>
    <pivotTable tabId="6" name="Tabla dinámica8"/>
    <pivotTable tabId="6" name="Tabla dinámica9"/>
  </pivotTables>
  <data>
    <tabular pivotCacheId="1" showMissing="0">
      <items count="19">
        <i x="0" s="1"/>
        <i x="9" s="1" nd="1"/>
        <i x="17" s="1" nd="1"/>
        <i x="13" s="1" nd="1"/>
        <i x="16" s="1" nd="1"/>
        <i x="7" s="1" nd="1"/>
        <i x="12" s="1" nd="1"/>
        <i x="18" s="1" nd="1"/>
        <i x="14" s="1" nd="1"/>
        <i x="8" s="1" nd="1"/>
        <i x="2" s="1" nd="1"/>
        <i x="3" s="1" nd="1"/>
        <i x="6" s="1" nd="1"/>
        <i x="10" s="1" nd="1"/>
        <i x="11" s="1" nd="1"/>
        <i x="4" s="1" nd="1"/>
        <i x="5" s="1" nd="1"/>
        <i x="15" s="1" nd="1"/>
        <i x="1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UPLA" xr10:uid="{00000000-0013-0000-FFFF-FFFF04000000}" sourceName="DUPLA">
  <pivotTables>
    <pivotTable tabId="6" name="Tabla dinámica3"/>
    <pivotTable tabId="6" name="Tabla dinámica1"/>
    <pivotTable tabId="6" name="Tabla dinámica10"/>
    <pivotTable tabId="6" name="Tabla dinámica11"/>
    <pivotTable tabId="6" name="Tabla dinámica12"/>
    <pivotTable tabId="6" name="Tabla dinámica13"/>
    <pivotTable tabId="6" name="Tabla dinámica15"/>
    <pivotTable tabId="6" name="Tabla dinámica16"/>
    <pivotTable tabId="6" name="Tabla dinámica2"/>
    <pivotTable tabId="6" name="Tabla dinámica4"/>
    <pivotTable tabId="6" name="Tabla dinámica5"/>
    <pivotTable tabId="6" name="Tabla dinámica6"/>
    <pivotTable tabId="6" name="Tabla dinámica7"/>
    <pivotTable tabId="6" name="Tabla dinámica8"/>
    <pivotTable tabId="6" name="Tabla dinámica9"/>
  </pivotTables>
  <data>
    <tabular pivotCacheId="1" showMissing="0">
      <items count="115">
        <i x="0" s="1"/>
        <i x="7" s="1"/>
        <i x="2" s="1"/>
        <i x="8" s="1"/>
        <i x="4" s="1"/>
        <i x="3" s="1"/>
        <i x="5" s="1"/>
        <i x="1" s="1"/>
        <i x="6" s="1" nd="1"/>
        <i x="15" s="1" nd="1"/>
        <i x="108" s="1" nd="1"/>
        <i x="93" s="1" nd="1"/>
        <i x="77" s="1" nd="1"/>
        <i x="59" s="1" nd="1"/>
        <i x="40" s="1" nd="1"/>
        <i x="110" s="1" nd="1"/>
        <i x="53" s="1" nd="1"/>
        <i x="68" s="1" nd="1"/>
        <i x="25" s="1" nd="1"/>
        <i x="29" s="1" nd="1"/>
        <i x="106" s="1" nd="1"/>
        <i x="46" s="1" nd="1"/>
        <i x="58" s="1" nd="1"/>
        <i x="114" s="1" nd="1"/>
        <i x="94" s="1" nd="1"/>
        <i x="75" s="1" nd="1"/>
        <i x="78" s="1" nd="1"/>
        <i x="33" s="1" nd="1"/>
        <i x="97" s="1" nd="1"/>
        <i x="82" s="1" nd="1"/>
        <i x="64" s="1" nd="1"/>
        <i x="45" s="1" nd="1"/>
        <i x="30" s="1" nd="1"/>
        <i x="14" s="1" nd="1"/>
        <i x="90" s="1" nd="1"/>
        <i x="42" s="1" nd="1"/>
        <i x="104" s="1" nd="1"/>
        <i x="98" s="1" nd="1"/>
        <i x="20" s="1" nd="1"/>
        <i x="47" s="1" nd="1"/>
        <i x="87" s="1" nd="1"/>
        <i x="41" s="1" nd="1"/>
        <i x="101" s="1" nd="1"/>
        <i x="107" s="1" nd="1"/>
        <i x="35" s="1" nd="1"/>
        <i x="74" s="1" nd="1"/>
        <i x="22" s="1" nd="1"/>
        <i x="105" s="1" nd="1"/>
        <i x="26" s="1" nd="1"/>
        <i x="43" s="1" nd="1"/>
        <i x="103" s="1" nd="1"/>
        <i x="39" s="1" nd="1"/>
        <i x="28" s="1" nd="1"/>
        <i x="71" s="1" nd="1"/>
        <i x="109" s="1" nd="1"/>
        <i x="31" s="1" nd="1"/>
        <i x="63" s="1" nd="1"/>
        <i x="80" s="1" nd="1"/>
        <i x="56" s="1" nd="1"/>
        <i x="70" s="1" nd="1"/>
        <i x="50" s="1" nd="1"/>
        <i x="32" s="1" nd="1"/>
        <i x="17" s="1" nd="1"/>
        <i x="111" s="1" nd="1"/>
        <i x="96" s="1" nd="1"/>
        <i x="52" s="1" nd="1"/>
        <i x="49" s="1" nd="1"/>
        <i x="37" s="1" nd="1"/>
        <i x="44" s="1" nd="1"/>
        <i x="73" s="1" nd="1"/>
        <i x="112" s="1" nd="1"/>
        <i x="100" s="1" nd="1"/>
        <i x="27" s="1" nd="1"/>
        <i x="57" s="1" nd="1"/>
        <i x="51" s="1" nd="1"/>
        <i x="36" s="1" nd="1"/>
        <i x="18" s="1" nd="1"/>
        <i x="62" s="1" nd="1"/>
        <i x="95" s="1" nd="1"/>
        <i x="69" s="1" nd="1"/>
        <i x="113" s="1" nd="1"/>
        <i x="76" s="1" nd="1"/>
        <i x="34" s="1" nd="1"/>
        <i x="21" s="1" nd="1"/>
        <i x="61" s="1" nd="1"/>
        <i x="83" s="1" nd="1"/>
        <i x="92" s="1" nd="1"/>
        <i x="38" s="1" nd="1"/>
        <i x="66" s="1" nd="1"/>
        <i x="81" s="1" nd="1"/>
        <i x="54" s="1" nd="1"/>
        <i x="86" s="1" nd="1"/>
        <i x="85" s="1" nd="1"/>
        <i x="91" s="1" nd="1"/>
        <i x="12" s="1" nd="1"/>
        <i x="88" s="1" nd="1"/>
        <i x="65" s="1" nd="1"/>
        <i x="19" s="1" nd="1"/>
        <i x="72" s="1" nd="1"/>
        <i x="23" s="1" nd="1"/>
        <i x="24" s="1" nd="1"/>
        <i x="89" s="1" nd="1"/>
        <i x="60" s="1" nd="1"/>
        <i x="79" s="1" nd="1"/>
        <i x="11" s="1" nd="1"/>
        <i x="13" s="1" nd="1"/>
        <i x="102" s="1" nd="1"/>
        <i x="55" s="1" nd="1"/>
        <i x="9" s="1" nd="1"/>
        <i x="99" s="1" nd="1"/>
        <i x="84" s="1" nd="1"/>
        <i x="67" s="1" nd="1"/>
        <i x="48" s="1" nd="1"/>
        <i x="16" s="1" nd="1"/>
        <i x="1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CENTE" xr10:uid="{00000000-0013-0000-FFFF-FFFF05000000}" sourceName="DOCENTE">
  <pivotTables>
    <pivotTable tabId="6" name="Tabla dinámica3"/>
    <pivotTable tabId="6" name="Tabla dinámica1"/>
    <pivotTable tabId="6" name="Tabla dinámica10"/>
    <pivotTable tabId="6" name="Tabla dinámica11"/>
    <pivotTable tabId="6" name="Tabla dinámica12"/>
    <pivotTable tabId="6" name="Tabla dinámica13"/>
    <pivotTable tabId="6" name="Tabla dinámica15"/>
    <pivotTable tabId="6" name="Tabla dinámica16"/>
    <pivotTable tabId="6" name="Tabla dinámica2"/>
    <pivotTable tabId="6" name="Tabla dinámica4"/>
    <pivotTable tabId="6" name="Tabla dinámica5"/>
    <pivotTable tabId="6" name="Tabla dinámica6"/>
    <pivotTable tabId="6" name="Tabla dinámica7"/>
    <pivotTable tabId="6" name="Tabla dinámica8"/>
    <pivotTable tabId="6" name="Tabla dinámica9"/>
  </pivotTables>
  <data>
    <tabular pivotCacheId="1" showMissing="0">
      <items count="99">
        <i x="7" s="1"/>
        <i x="1" s="1"/>
        <i x="3" s="1"/>
        <i x="5" s="1"/>
        <i x="2" s="1"/>
        <i x="8" s="1"/>
        <i x="4" s="1"/>
        <i x="0" s="1"/>
        <i x="6" s="1" nd="1"/>
        <i x="16" s="1" nd="1"/>
        <i x="50" s="1" nd="1"/>
        <i x="70" s="1" nd="1"/>
        <i x="52" s="1" nd="1"/>
        <i x="14" s="1" nd="1"/>
        <i x="82" s="1" nd="1"/>
        <i x="53" s="1" nd="1"/>
        <i x="59" s="1" nd="1"/>
        <i x="21" s="1" nd="1"/>
        <i x="37" s="1" nd="1"/>
        <i x="26" s="1" nd="1"/>
        <i x="88" s="1" nd="1"/>
        <i x="51" s="1" nd="1"/>
        <i x="17" s="1" nd="1"/>
        <i x="79" s="1" nd="1"/>
        <i x="49" s="1" nd="1"/>
        <i x="98" s="1" nd="1"/>
        <i x="91" s="1" nd="1"/>
        <i x="10" s="1" nd="1"/>
        <i x="29" s="1" nd="1"/>
        <i x="63" s="1" nd="1"/>
        <i x="11" s="1" nd="1"/>
        <i x="97" s="1" nd="1"/>
        <i x="30" s="1" nd="1"/>
        <i x="23" s="1" nd="1"/>
        <i x="71" s="1" nd="1"/>
        <i x="85" s="1" nd="1"/>
        <i x="80" s="1" nd="1"/>
        <i x="34" s="1" nd="1"/>
        <i x="18" s="1" nd="1"/>
        <i x="74" s="1" nd="1"/>
        <i x="39" s="1" nd="1"/>
        <i x="65" s="1" nd="1"/>
        <i x="87" s="1" nd="1"/>
        <i x="83" s="1" nd="1"/>
        <i x="94" s="1" nd="1"/>
        <i x="24" s="1" nd="1"/>
        <i x="41" s="1" nd="1"/>
        <i x="84" s="1" nd="1"/>
        <i x="38" s="1" nd="1"/>
        <i x="35" s="1" nd="1"/>
        <i x="96" s="1" nd="1"/>
        <i x="76" s="1" nd="1"/>
        <i x="47" s="1" nd="1"/>
        <i x="15" s="1" nd="1"/>
        <i x="89" s="1" nd="1"/>
        <i x="93" s="1" nd="1"/>
        <i x="33" s="1" nd="1"/>
        <i x="36" s="1" nd="1"/>
        <i x="42" s="1" nd="1"/>
        <i x="12" s="1" nd="1"/>
        <i x="45" s="1" nd="1"/>
        <i x="27" s="1" nd="1"/>
        <i x="55" s="1" nd="1"/>
        <i x="22" s="1" nd="1"/>
        <i x="46" s="1" nd="1"/>
        <i x="25" s="1" nd="1"/>
        <i x="72" s="1" nd="1"/>
        <i x="67" s="1" nd="1"/>
        <i x="73" s="1" nd="1"/>
        <i x="92" s="1" nd="1"/>
        <i x="75" s="1" nd="1"/>
        <i x="60" s="1" nd="1"/>
        <i x="57" s="1" nd="1"/>
        <i x="43" s="1" nd="1"/>
        <i x="62" s="1" nd="1"/>
        <i x="90" s="1" nd="1"/>
        <i x="32" s="1" nd="1"/>
        <i x="31" s="1" nd="1"/>
        <i x="19" s="1" nd="1"/>
        <i x="68" s="1" nd="1"/>
        <i x="40" s="1" nd="1"/>
        <i x="64" s="1" nd="1"/>
        <i x="86" s="1" nd="1"/>
        <i x="58" s="1" nd="1"/>
        <i x="56" s="1" nd="1"/>
        <i x="13" s="1" nd="1"/>
        <i x="54" s="1" nd="1"/>
        <i x="81" s="1" nd="1"/>
        <i x="44" s="1" nd="1"/>
        <i x="77" s="1" nd="1"/>
        <i x="20" s="1" nd="1"/>
        <i x="28" s="1" nd="1"/>
        <i x="78" s="1" nd="1"/>
        <i x="66" s="1" nd="1"/>
        <i x="69" s="1" nd="1"/>
        <i x="48" s="1" nd="1"/>
        <i x="61" s="1" nd="1"/>
        <i x="95" s="1" nd="1"/>
        <i x="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UNIDAD1" xr10:uid="{00000000-0013-0000-FFFF-FFFF06000000}" sourceName="UNIDAD">
  <pivotTables>
    <pivotTable tabId="5" name="Tabla dinámica1"/>
    <pivotTable tabId="5" name="Tabla dinámica2"/>
    <pivotTable tabId="5" name="Tabla dinámica3"/>
  </pivotTables>
  <data>
    <tabular pivotCacheId="1" showMissing="0">
      <items count="19">
        <i x="0" s="1"/>
        <i x="9" s="1" nd="1"/>
        <i x="17" s="1" nd="1"/>
        <i x="13" s="1" nd="1"/>
        <i x="16" s="1" nd="1"/>
        <i x="7" s="1" nd="1"/>
        <i x="12" s="1" nd="1"/>
        <i x="18" s="1" nd="1"/>
        <i x="14" s="1" nd="1"/>
        <i x="8" s="1" nd="1"/>
        <i x="2" s="1" nd="1"/>
        <i x="3" s="1" nd="1"/>
        <i x="6" s="1" nd="1"/>
        <i x="10" s="1" nd="1"/>
        <i x="11" s="1" nd="1"/>
        <i x="4" s="1" nd="1"/>
        <i x="5" s="1" nd="1"/>
        <i x="15" s="1" nd="1"/>
        <i x="1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UPLA1" xr10:uid="{00000000-0013-0000-FFFF-FFFF07000000}" sourceName="DUPLA">
  <pivotTables>
    <pivotTable tabId="5" name="Tabla dinámica1"/>
    <pivotTable tabId="5" name="Tabla dinámica2"/>
    <pivotTable tabId="5" name="Tabla dinámica3"/>
  </pivotTables>
  <data>
    <tabular pivotCacheId="1" showMissing="0">
      <items count="115">
        <i x="0" s="1"/>
        <i x="7" s="1"/>
        <i x="2" s="1"/>
        <i x="8" s="1"/>
        <i x="4" s="1"/>
        <i x="3" s="1"/>
        <i x="5" s="1"/>
        <i x="1" s="1"/>
        <i x="6" s="1" nd="1"/>
        <i x="15" s="1" nd="1"/>
        <i x="108" s="1" nd="1"/>
        <i x="93" s="1" nd="1"/>
        <i x="77" s="1" nd="1"/>
        <i x="59" s="1" nd="1"/>
        <i x="40" s="1" nd="1"/>
        <i x="110" s="1" nd="1"/>
        <i x="53" s="1" nd="1"/>
        <i x="68" s="1" nd="1"/>
        <i x="25" s="1" nd="1"/>
        <i x="29" s="1" nd="1"/>
        <i x="106" s="1" nd="1"/>
        <i x="46" s="1" nd="1"/>
        <i x="58" s="1" nd="1"/>
        <i x="114" s="1" nd="1"/>
        <i x="94" s="1" nd="1"/>
        <i x="75" s="1" nd="1"/>
        <i x="78" s="1" nd="1"/>
        <i x="33" s="1" nd="1"/>
        <i x="97" s="1" nd="1"/>
        <i x="82" s="1" nd="1"/>
        <i x="64" s="1" nd="1"/>
        <i x="45" s="1" nd="1"/>
        <i x="30" s="1" nd="1"/>
        <i x="14" s="1" nd="1"/>
        <i x="90" s="1" nd="1"/>
        <i x="42" s="1" nd="1"/>
        <i x="104" s="1" nd="1"/>
        <i x="98" s="1" nd="1"/>
        <i x="20" s="1" nd="1"/>
        <i x="47" s="1" nd="1"/>
        <i x="87" s="1" nd="1"/>
        <i x="41" s="1" nd="1"/>
        <i x="101" s="1" nd="1"/>
        <i x="107" s="1" nd="1"/>
        <i x="35" s="1" nd="1"/>
        <i x="74" s="1" nd="1"/>
        <i x="22" s="1" nd="1"/>
        <i x="105" s="1" nd="1"/>
        <i x="26" s="1" nd="1"/>
        <i x="43" s="1" nd="1"/>
        <i x="103" s="1" nd="1"/>
        <i x="39" s="1" nd="1"/>
        <i x="28" s="1" nd="1"/>
        <i x="71" s="1" nd="1"/>
        <i x="109" s="1" nd="1"/>
        <i x="31" s="1" nd="1"/>
        <i x="63" s="1" nd="1"/>
        <i x="80" s="1" nd="1"/>
        <i x="56" s="1" nd="1"/>
        <i x="70" s="1" nd="1"/>
        <i x="50" s="1" nd="1"/>
        <i x="32" s="1" nd="1"/>
        <i x="17" s="1" nd="1"/>
        <i x="111" s="1" nd="1"/>
        <i x="96" s="1" nd="1"/>
        <i x="52" s="1" nd="1"/>
        <i x="49" s="1" nd="1"/>
        <i x="37" s="1" nd="1"/>
        <i x="44" s="1" nd="1"/>
        <i x="73" s="1" nd="1"/>
        <i x="112" s="1" nd="1"/>
        <i x="100" s="1" nd="1"/>
        <i x="27" s="1" nd="1"/>
        <i x="57" s="1" nd="1"/>
        <i x="51" s="1" nd="1"/>
        <i x="36" s="1" nd="1"/>
        <i x="18" s="1" nd="1"/>
        <i x="62" s="1" nd="1"/>
        <i x="95" s="1" nd="1"/>
        <i x="69" s="1" nd="1"/>
        <i x="113" s="1" nd="1"/>
        <i x="76" s="1" nd="1"/>
        <i x="34" s="1" nd="1"/>
        <i x="21" s="1" nd="1"/>
        <i x="61" s="1" nd="1"/>
        <i x="83" s="1" nd="1"/>
        <i x="92" s="1" nd="1"/>
        <i x="38" s="1" nd="1"/>
        <i x="66" s="1" nd="1"/>
        <i x="81" s="1" nd="1"/>
        <i x="54" s="1" nd="1"/>
        <i x="86" s="1" nd="1"/>
        <i x="85" s="1" nd="1"/>
        <i x="91" s="1" nd="1"/>
        <i x="12" s="1" nd="1"/>
        <i x="88" s="1" nd="1"/>
        <i x="65" s="1" nd="1"/>
        <i x="19" s="1" nd="1"/>
        <i x="72" s="1" nd="1"/>
        <i x="23" s="1" nd="1"/>
        <i x="24" s="1" nd="1"/>
        <i x="89" s="1" nd="1"/>
        <i x="60" s="1" nd="1"/>
        <i x="79" s="1" nd="1"/>
        <i x="11" s="1" nd="1"/>
        <i x="13" s="1" nd="1"/>
        <i x="102" s="1" nd="1"/>
        <i x="55" s="1" nd="1"/>
        <i x="9" s="1" nd="1"/>
        <i x="99" s="1" nd="1"/>
        <i x="84" s="1" nd="1"/>
        <i x="67" s="1" nd="1"/>
        <i x="48" s="1" nd="1"/>
        <i x="16" s="1" nd="1"/>
        <i x="1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CENTE1" xr10:uid="{00000000-0013-0000-FFFF-FFFF08000000}" sourceName="DOCENTE">
  <pivotTables>
    <pivotTable tabId="5" name="Tabla dinámica1"/>
    <pivotTable tabId="5" name="Tabla dinámica2"/>
    <pivotTable tabId="5" name="Tabla dinámica3"/>
  </pivotTables>
  <data>
    <tabular pivotCacheId="1" showMissing="0">
      <items count="99">
        <i x="7" s="1"/>
        <i x="1" s="1"/>
        <i x="3" s="1"/>
        <i x="5" s="1"/>
        <i x="2" s="1"/>
        <i x="8" s="1"/>
        <i x="4" s="1"/>
        <i x="0" s="1"/>
        <i x="6" s="1" nd="1"/>
        <i x="16" s="1" nd="1"/>
        <i x="50" s="1" nd="1"/>
        <i x="70" s="1" nd="1"/>
        <i x="52" s="1" nd="1"/>
        <i x="14" s="1" nd="1"/>
        <i x="82" s="1" nd="1"/>
        <i x="53" s="1" nd="1"/>
        <i x="59" s="1" nd="1"/>
        <i x="21" s="1" nd="1"/>
        <i x="37" s="1" nd="1"/>
        <i x="26" s="1" nd="1"/>
        <i x="88" s="1" nd="1"/>
        <i x="51" s="1" nd="1"/>
        <i x="17" s="1" nd="1"/>
        <i x="79" s="1" nd="1"/>
        <i x="49" s="1" nd="1"/>
        <i x="98" s="1" nd="1"/>
        <i x="91" s="1" nd="1"/>
        <i x="10" s="1" nd="1"/>
        <i x="29" s="1" nd="1"/>
        <i x="63" s="1" nd="1"/>
        <i x="11" s="1" nd="1"/>
        <i x="97" s="1" nd="1"/>
        <i x="30" s="1" nd="1"/>
        <i x="23" s="1" nd="1"/>
        <i x="71" s="1" nd="1"/>
        <i x="85" s="1" nd="1"/>
        <i x="80" s="1" nd="1"/>
        <i x="34" s="1" nd="1"/>
        <i x="18" s="1" nd="1"/>
        <i x="74" s="1" nd="1"/>
        <i x="39" s="1" nd="1"/>
        <i x="65" s="1" nd="1"/>
        <i x="87" s="1" nd="1"/>
        <i x="83" s="1" nd="1"/>
        <i x="94" s="1" nd="1"/>
        <i x="24" s="1" nd="1"/>
        <i x="41" s="1" nd="1"/>
        <i x="84" s="1" nd="1"/>
        <i x="38" s="1" nd="1"/>
        <i x="35" s="1" nd="1"/>
        <i x="96" s="1" nd="1"/>
        <i x="76" s="1" nd="1"/>
        <i x="47" s="1" nd="1"/>
        <i x="15" s="1" nd="1"/>
        <i x="89" s="1" nd="1"/>
        <i x="93" s="1" nd="1"/>
        <i x="33" s="1" nd="1"/>
        <i x="36" s="1" nd="1"/>
        <i x="42" s="1" nd="1"/>
        <i x="12" s="1" nd="1"/>
        <i x="45" s="1" nd="1"/>
        <i x="27" s="1" nd="1"/>
        <i x="55" s="1" nd="1"/>
        <i x="22" s="1" nd="1"/>
        <i x="46" s="1" nd="1"/>
        <i x="25" s="1" nd="1"/>
        <i x="72" s="1" nd="1"/>
        <i x="67" s="1" nd="1"/>
        <i x="73" s="1" nd="1"/>
        <i x="92" s="1" nd="1"/>
        <i x="75" s="1" nd="1"/>
        <i x="60" s="1" nd="1"/>
        <i x="57" s="1" nd="1"/>
        <i x="43" s="1" nd="1"/>
        <i x="62" s="1" nd="1"/>
        <i x="90" s="1" nd="1"/>
        <i x="32" s="1" nd="1"/>
        <i x="31" s="1" nd="1"/>
        <i x="19" s="1" nd="1"/>
        <i x="68" s="1" nd="1"/>
        <i x="40" s="1" nd="1"/>
        <i x="64" s="1" nd="1"/>
        <i x="86" s="1" nd="1"/>
        <i x="58" s="1" nd="1"/>
        <i x="56" s="1" nd="1"/>
        <i x="13" s="1" nd="1"/>
        <i x="54" s="1" nd="1"/>
        <i x="81" s="1" nd="1"/>
        <i x="44" s="1" nd="1"/>
        <i x="77" s="1" nd="1"/>
        <i x="20" s="1" nd="1"/>
        <i x="28" s="1" nd="1"/>
        <i x="78" s="1" nd="1"/>
        <i x="66" s="1" nd="1"/>
        <i x="69" s="1" nd="1"/>
        <i x="48" s="1" nd="1"/>
        <i x="61" s="1" nd="1"/>
        <i x="95" s="1" nd="1"/>
        <i x="9" s="1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¿ACTIVO_O_INACTIVO?2" xr10:uid="{00000000-0013-0000-FFFF-FFFF09000000}" sourceName="¿ACTIVO O INACTIVO?">
  <pivotTables>
    <pivotTable tabId="9" name="Tabla dinámica1"/>
  </pivotTables>
  <data>
    <tabular pivotCacheId="1" showMissing="0">
      <items count="3">
        <i x="1" s="1"/>
        <i x="0"/>
        <i x="2" nd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1" xr10:uid="{1E2F3A3A-C8EE-6D47-8C30-2785EA26A05A}" sourceName="AÑOS">
  <pivotTables>
    <pivotTable tabId="5" name="Tabla dinámica3"/>
  </pivotTables>
  <data>
    <tabular pivotCacheId="1">
      <items count="33">
        <i x="1" s="1"/>
        <i x="3" s="1"/>
        <i x="2" s="1"/>
        <i x="10" s="1"/>
        <i x="8" s="1"/>
        <i x="9" s="1"/>
        <i x="30" s="1"/>
        <i x="29" s="1"/>
        <i x="16" s="1"/>
        <i x="4" s="1"/>
        <i x="15" s="1"/>
        <i x="24" s="1"/>
        <i x="22" s="1"/>
        <i x="26" s="1"/>
        <i x="20" s="1"/>
        <i x="5" s="1"/>
        <i x="19" s="1"/>
        <i x="13" s="1"/>
        <i x="25" s="1" nd="1"/>
        <i x="21" s="1" nd="1"/>
        <i x="23" s="1" nd="1"/>
        <i x="18" s="1" nd="1"/>
        <i x="17" s="1" nd="1"/>
        <i x="0" s="1" nd="1"/>
        <i x="12" s="1" nd="1"/>
        <i x="27" s="1" nd="1"/>
        <i x="11" s="1" nd="1"/>
        <i x="28" s="1" nd="1"/>
        <i x="31" s="1" nd="1"/>
        <i x="7" s="1" nd="1"/>
        <i x="32" s="1" nd="1"/>
        <i x="6" s="1" nd="1"/>
        <i x="14" s="1" nd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" xr10:uid="{53F82BBC-6D02-2A43-A267-378DF3A744D7}" sourceName="AÑOS">
  <extLst>
    <x:ext xmlns:x15="http://schemas.microsoft.com/office/spreadsheetml/2010/11/main" uri="{2F2917AC-EB37-4324-AD4E-5DD8C200BD13}">
      <x15:tableSlicerCache tableId="67" column="12"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B26A9909-CA83-CD45-A25E-19E9E91FD5E5}" sourceName="MESES">
  <extLst>
    <x:ext xmlns:x15="http://schemas.microsoft.com/office/spreadsheetml/2010/11/main" uri="{2F2917AC-EB37-4324-AD4E-5DD8C200BD13}">
      <x15:tableSlicerCache tableId="67" column="13"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IAS" xr10:uid="{629F931B-387F-A34A-AF55-1DD6248B28A1}" sourceName="DIAS">
  <extLst>
    <x:ext xmlns:x15="http://schemas.microsoft.com/office/spreadsheetml/2010/11/main" uri="{2F2917AC-EB37-4324-AD4E-5DD8C200BD13}">
      <x15:tableSlicerCache tableId="67" column="1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ÑOS" xr10:uid="{B28EF27A-433C-664B-8995-FC4AC5AD720D}" cache="SegmentaciónDeDatos_AÑOS" caption="AÑOS" columnCount="6" rowHeight="230716"/>
  <slicer name="MESES" xr10:uid="{C2DE565E-95EC-1D41-8CC8-008075D55C41}" cache="SegmentaciónDeDatos_MESES" caption="MESES" columnCount="4" rowHeight="230716"/>
  <slicer name="DIAS" xr10:uid="{F4EF7DD9-DCBD-3041-A982-16C795225256}" cache="SegmentaciónDeDatos_DIAS" caption="DIAS" columnCount="6" rowHeight="230716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¿ACTIVO O INACTIVO?" xr10:uid="{00000000-0014-0000-FFFF-FFFF01000000}" cache="SegmentaciónDeDatos_¿ACTIVO_O_INACTIVO?" caption="¿ACTIVO O INACTIVO?" style="SlicerStyleLight3" rowHeight="241300"/>
  <slicer name="UNIDAD 1" xr10:uid="{00000000-0014-0000-FFFF-FFFF02000000}" cache="SegmentaciónDeDatos_UNIDAD1" caption="UNIDAD" style="SlicerStyleLight3" rowHeight="241300"/>
  <slicer name="DUPLA 1" xr10:uid="{00000000-0014-0000-FFFF-FFFF03000000}" cache="SegmentaciónDeDatos_DUPLA1" caption="DUPLA" columnCount="2" style="SlicerStyleLight3" rowHeight="241300"/>
  <slicer name="DOCENTE 1" xr10:uid="{00000000-0014-0000-FFFF-FFFF04000000}" cache="SegmentaciónDeDatos_DOCENTE1" caption="DOCENTE" columnCount="2" style="SlicerStyleLight3" rowHeight="241300"/>
  <slicer name="AÑOS 1" xr10:uid="{93309909-8BDA-BE45-9229-D814A7646BDB}" cache="SegmentaciónDeDatos_AÑOS1" caption="AÑOS" columnCount="5" rowHeight="230716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¿ACTIVO O INACTIVO? 2" xr10:uid="{00000000-0014-0000-FFFF-FFFF05000000}" cache="SegmentaciónDeDatos_¿ACTIVO_O_INACTIVO?2" caption="¿ACTIVO O INACTIVO?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¿ACTIVO O INACTIVO? 1" xr10:uid="{00000000-0014-0000-FFFF-FFFF06000000}" cache="SegmentaciónDeDatos_¿ACTIVO_O_INACTIVO?1" caption="¿ACTIVO O INACTIVO?" style="SlicerStyleLight3" lockedPosition="1" rowHeight="241300"/>
  <slicer name="UNIDAD" xr10:uid="{00000000-0014-0000-FFFF-FFFF07000000}" cache="SegmentaciónDeDatos_UNIDAD" caption="UNIDAD" style="SlicerStyleLight3" lockedPosition="1" rowHeight="241300"/>
  <slicer name="DUPLA" xr10:uid="{00000000-0014-0000-FFFF-FFFF08000000}" cache="SegmentaciónDeDatos_DUPLA" caption="DUPLA" columnCount="2" style="SlicerStyleLight3" lockedPosition="1" rowHeight="241300"/>
  <slicer name="DOCENTE" xr10:uid="{00000000-0014-0000-FFFF-FFFF09000000}" cache="SegmentaciónDeDatos_DOCENTE" caption="DOCENTE" columnCount="2" style="SlicerStyleLight3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IPODEDOCUMENTO" displayName="TIPODEDOCUMENTO" ref="D2:D10" totalsRowShown="0" headerRowDxfId="867" dataDxfId="866">
  <autoFilter ref="D2:D10" xr:uid="{00000000-0009-0000-0100-000001000000}"/>
  <sortState xmlns:xlrd2="http://schemas.microsoft.com/office/spreadsheetml/2017/richdata2" ref="D3:D9">
    <sortCondition ref="D2:D9"/>
  </sortState>
  <tableColumns count="1">
    <tableColumn id="1" xr3:uid="{00000000-0010-0000-0000-000001000000}" name="TIPO DE DOCUMENTO" dataDxfId="86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PAIS" displayName="PAIS" ref="F2:F8" totalsRowShown="0" headerRowDxfId="864" dataDxfId="863">
  <autoFilter ref="F2:F8" xr:uid="{00000000-0009-0000-0100-000002000000}"/>
  <tableColumns count="1">
    <tableColumn id="1" xr3:uid="{00000000-0010-0000-0100-000001000000}" name="PAIS" dataDxfId="86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COLOMBIA" displayName="COLOMBIA" ref="H2:H36" totalsRowShown="0" headerRowDxfId="861" dataDxfId="859" headerRowBorderDxfId="860" tableBorderDxfId="858">
  <autoFilter ref="H2:H36" xr:uid="{00000000-0009-0000-0100-000003000000}"/>
  <sortState xmlns:xlrd2="http://schemas.microsoft.com/office/spreadsheetml/2017/richdata2" ref="H3:H36">
    <sortCondition ref="H2:H36"/>
  </sortState>
  <tableColumns count="1">
    <tableColumn id="1" xr3:uid="{00000000-0010-0000-0200-000001000000}" name="COLOMBIA" dataDxfId="85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VENEZUELA" displayName="VENEZUELA" ref="F10:F11" totalsRowShown="0" headerRowDxfId="856" dataDxfId="854" headerRowBorderDxfId="855" tableBorderDxfId="853">
  <autoFilter ref="F10:F11" xr:uid="{00000000-0009-0000-0100-000004000000}"/>
  <tableColumns count="1">
    <tableColumn id="1" xr3:uid="{00000000-0010-0000-0300-000001000000}" name="VENEZUELA" dataDxfId="85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ERU" displayName="PERU" ref="F13:F14" totalsRowShown="0" headerRowDxfId="851" dataDxfId="849" headerRowBorderDxfId="850" tableBorderDxfId="848">
  <autoFilter ref="F13:F14" xr:uid="{00000000-0009-0000-0100-000005000000}"/>
  <tableColumns count="1">
    <tableColumn id="1" xr3:uid="{00000000-0010-0000-0400-000001000000}" name="PERU" dataDxfId="84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ECUADOR" displayName="ECUADOR" ref="F16:F17" totalsRowShown="0" headerRowDxfId="846" dataDxfId="844" headerRowBorderDxfId="845" tableBorderDxfId="843">
  <autoFilter ref="F16:F17" xr:uid="{00000000-0009-0000-0100-000006000000}"/>
  <tableColumns count="1">
    <tableColumn id="1" xr3:uid="{00000000-0010-0000-0500-000001000000}" name="ECUADOR" dataDxfId="84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PANAMA" displayName="PANAMA" ref="F19:F20" totalsRowShown="0" headerRowDxfId="841" dataDxfId="839" headerRowBorderDxfId="840" tableBorderDxfId="838">
  <autoFilter ref="F19:F20" xr:uid="{00000000-0009-0000-0100-000007000000}"/>
  <tableColumns count="1">
    <tableColumn id="1" xr3:uid="{00000000-0010-0000-0600-000001000000}" name="PANAMA" dataDxfId="83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BRASIL" displayName="BRASIL" ref="F22:F23" totalsRowShown="0" headerRowDxfId="836" dataDxfId="834" headerRowBorderDxfId="835" tableBorderDxfId="833">
  <autoFilter ref="F22:F23" xr:uid="{00000000-0009-0000-0100-000008000000}"/>
  <tableColumns count="1">
    <tableColumn id="1" xr3:uid="{00000000-0010-0000-0700-000001000000}" name="BRASIL" dataDxfId="83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8000000}" name="AMAZONAS" displayName="AMAZONAS" ref="H38:H49" totalsRowShown="0" headerRowDxfId="831" dataDxfId="829" headerRowBorderDxfId="830" tableBorderDxfId="828">
  <autoFilter ref="H38:H49" xr:uid="{00000000-0009-0000-0100-00000A000000}"/>
  <sortState xmlns:xlrd2="http://schemas.microsoft.com/office/spreadsheetml/2017/richdata2" ref="H39:H49">
    <sortCondition ref="H38:H49"/>
  </sortState>
  <tableColumns count="1">
    <tableColumn id="1" xr3:uid="{00000000-0010-0000-0800-000001000000}" name="AMAZONAS" dataDxfId="82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ANTIOQUIA" displayName="ANTIOQUIA" ref="H51:H175" totalsRowShown="0" headerRowDxfId="826" dataDxfId="824" headerRowBorderDxfId="825" tableBorderDxfId="823">
  <autoFilter ref="H51:H175" xr:uid="{00000000-0009-0000-0100-00000B000000}"/>
  <sortState xmlns:xlrd2="http://schemas.microsoft.com/office/spreadsheetml/2017/richdata2" ref="H52:H174">
    <sortCondition ref="H51:H174"/>
  </sortState>
  <tableColumns count="1">
    <tableColumn id="1" xr3:uid="{00000000-0010-0000-0900-000001000000}" name="ANTIOQUIA" dataDxfId="82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ARAUCA" displayName="ARAUCA" ref="H177:H183" totalsRowShown="0" headerRowDxfId="821" dataDxfId="819" headerRowBorderDxfId="820" tableBorderDxfId="818">
  <autoFilter ref="H177:H183" xr:uid="{00000000-0009-0000-0100-00000C000000}"/>
  <tableColumns count="1">
    <tableColumn id="1" xr3:uid="{00000000-0010-0000-0A00-000001000000}" name="ARAUCA" dataDxfId="81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B000000}" name="ATLÁNTICO" displayName="ATLÁNTICO" ref="H185:H208" totalsRowShown="0" headerRowDxfId="816" dataDxfId="814" headerRowBorderDxfId="815" tableBorderDxfId="813">
  <autoFilter ref="H185:H208" xr:uid="{00000000-0009-0000-0100-00000D000000}"/>
  <sortState xmlns:xlrd2="http://schemas.microsoft.com/office/spreadsheetml/2017/richdata2" ref="H186:H208">
    <sortCondition ref="H185:H208"/>
  </sortState>
  <tableColumns count="1">
    <tableColumn id="1" xr3:uid="{00000000-0010-0000-0B00-000001000000}" name="ATLÁNTICO" dataDxfId="81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C000000}" name="BOLÍVAR" displayName="BOLÍVAR" ref="H210:H255" totalsRowShown="0" headerRowDxfId="811" dataDxfId="809" headerRowBorderDxfId="810" tableBorderDxfId="808">
  <autoFilter ref="H210:H255" xr:uid="{00000000-0009-0000-0100-00000E000000}"/>
  <sortState xmlns:xlrd2="http://schemas.microsoft.com/office/spreadsheetml/2017/richdata2" ref="H211:H255">
    <sortCondition ref="H210:H255"/>
  </sortState>
  <tableColumns count="1">
    <tableColumn id="1" xr3:uid="{00000000-0010-0000-0C00-000001000000}" name="BOLÍVAR" dataDxfId="80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D000000}" name="BOYACÁ" displayName="BOYACÁ" ref="H257:H378" totalsRowShown="0" headerRowDxfId="806" dataDxfId="804" headerRowBorderDxfId="805" tableBorderDxfId="803">
  <autoFilter ref="H257:H378" xr:uid="{00000000-0009-0000-0100-00000F000000}"/>
  <sortState xmlns:xlrd2="http://schemas.microsoft.com/office/spreadsheetml/2017/richdata2" ref="H258:H378">
    <sortCondition ref="H257:H378"/>
  </sortState>
  <tableColumns count="1">
    <tableColumn id="1" xr3:uid="{00000000-0010-0000-0D00-000001000000}" name="BOYACÁ" dataDxfId="80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E000000}" name="GUAINÍA" displayName="GUAINÍA" ref="H380:H389" totalsRowShown="0" headerRowDxfId="801" dataDxfId="799" headerRowBorderDxfId="800" tableBorderDxfId="798">
  <autoFilter ref="H380:H389" xr:uid="{00000000-0009-0000-0100-000010000000}"/>
  <sortState xmlns:xlrd2="http://schemas.microsoft.com/office/spreadsheetml/2017/richdata2" ref="H381:H389">
    <sortCondition ref="H380:H389"/>
  </sortState>
  <tableColumns count="1">
    <tableColumn id="1" xr3:uid="{00000000-0010-0000-0E00-000001000000}" name="GUAINÍA" dataDxfId="79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F000000}" name="VAUPÉS" displayName="VAUPÉS" ref="H398:H404" totalsRowShown="0" headerRowDxfId="796" dataDxfId="795">
  <autoFilter ref="H398:H404" xr:uid="{00000000-0009-0000-0100-000011000000}"/>
  <sortState xmlns:xlrd2="http://schemas.microsoft.com/office/spreadsheetml/2017/richdata2" ref="H399:H404">
    <sortCondition ref="H398:H404"/>
  </sortState>
  <tableColumns count="1">
    <tableColumn id="1" xr3:uid="{00000000-0010-0000-0F00-000001000000}" name="VAUPÉS" dataDxfId="794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0000000}" name="VICHADA" displayName="VICHADA" ref="H391:H395" totalsRowShown="0" headerRowDxfId="793" dataDxfId="791" headerRowBorderDxfId="792" tableBorderDxfId="790">
  <autoFilter ref="H391:H395" xr:uid="{00000000-0009-0000-0100-000012000000}"/>
  <sortState xmlns:xlrd2="http://schemas.microsoft.com/office/spreadsheetml/2017/richdata2" ref="H392:H395">
    <sortCondition ref="H391:H395"/>
  </sortState>
  <tableColumns count="1">
    <tableColumn id="1" xr3:uid="{00000000-0010-0000-1000-000001000000}" name="VICHADA" dataDxfId="789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1000000}" name="VALLE_DEL_CAUCA" displayName="VALLE_DEL_CAUCA" ref="H406:H447" totalsRowShown="0" headerRowDxfId="788" dataDxfId="787">
  <autoFilter ref="H406:H447" xr:uid="{00000000-0009-0000-0100-000013000000}"/>
  <sortState xmlns:xlrd2="http://schemas.microsoft.com/office/spreadsheetml/2017/richdata2" ref="H407:H447">
    <sortCondition ref="H406:H447"/>
  </sortState>
  <tableColumns count="1">
    <tableColumn id="1" xr3:uid="{00000000-0010-0000-1100-000001000000}" name="VALLE DEL CAUCA" dataDxfId="786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2000000}" name="TOLIMA" displayName="TOLIMA" ref="H449:H496" totalsRowShown="0" headerRowDxfId="785" dataDxfId="784">
  <autoFilter ref="H449:H496" xr:uid="{00000000-0009-0000-0100-000014000000}"/>
  <sortState xmlns:xlrd2="http://schemas.microsoft.com/office/spreadsheetml/2017/richdata2" ref="H450:H496">
    <sortCondition ref="H449:H496"/>
  </sortState>
  <tableColumns count="1">
    <tableColumn id="1" xr3:uid="{00000000-0010-0000-1200-000001000000}" name="TOLIMA" dataDxfId="78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3000000}" name="SUCRE" displayName="SUCRE" ref="H498:H523" totalsRowShown="0" headerRowDxfId="782" dataDxfId="781">
  <autoFilter ref="H498:H523" xr:uid="{00000000-0009-0000-0100-000015000000}"/>
  <sortState xmlns:xlrd2="http://schemas.microsoft.com/office/spreadsheetml/2017/richdata2" ref="H499:H523">
    <sortCondition ref="H498:H523"/>
  </sortState>
  <tableColumns count="1">
    <tableColumn id="1" xr3:uid="{00000000-0010-0000-1300-000001000000}" name="SUCRE" dataDxfId="780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SANTANDER" displayName="SANTANDER" ref="H525:H650" totalsRowShown="0" headerRowDxfId="779" dataDxfId="778">
  <autoFilter ref="H525:H650" xr:uid="{00000000-0009-0000-0100-000016000000}"/>
  <sortState xmlns:xlrd2="http://schemas.microsoft.com/office/spreadsheetml/2017/richdata2" ref="H525:H649">
    <sortCondition ref="H532"/>
  </sortState>
  <tableColumns count="1">
    <tableColumn id="1" xr3:uid="{00000000-0010-0000-1400-000001000000}" name="SANTANDER" dataDxfId="777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PROVIDENCIA" displayName="PROVIDENCIA" ref="H652:H654" totalsRowShown="0" headerRowDxfId="776" dataDxfId="775">
  <autoFilter ref="H652:H654" xr:uid="{00000000-0009-0000-0100-000017000000}"/>
  <tableColumns count="1">
    <tableColumn id="1" xr3:uid="{00000000-0010-0000-1500-000001000000}" name="PROVIDENCIA" dataDxfId="774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6000000}" name="RISARALDA" displayName="RISARALDA" ref="H656:H670" totalsRowShown="0" headerRowDxfId="773" dataDxfId="772">
  <autoFilter ref="H656:H670" xr:uid="{00000000-0009-0000-0100-000018000000}"/>
  <sortState xmlns:xlrd2="http://schemas.microsoft.com/office/spreadsheetml/2017/richdata2" ref="H657:H670">
    <sortCondition ref="H656:H670"/>
  </sortState>
  <tableColumns count="1">
    <tableColumn id="1" xr3:uid="{00000000-0010-0000-1600-000001000000}" name="RISARALDA" dataDxfId="771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7000000}" name="QUINDÍO" displayName="QUINDÍO" ref="H672:H683" totalsRowShown="0" headerRowDxfId="770" dataDxfId="769">
  <autoFilter ref="H672:H683" xr:uid="{00000000-0009-0000-0100-000019000000}"/>
  <sortState xmlns:xlrd2="http://schemas.microsoft.com/office/spreadsheetml/2017/richdata2" ref="H673:H683">
    <sortCondition ref="H672:H683"/>
  </sortState>
  <tableColumns count="1">
    <tableColumn id="1" xr3:uid="{00000000-0010-0000-1700-000001000000}" name="QUINDÍO" dataDxfId="768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8000000}" name="PUTUMAYO" displayName="PUTUMAYO" ref="H685:H698" totalsRowShown="0" headerRowDxfId="767" dataDxfId="766">
  <autoFilter ref="H685:H698" xr:uid="{00000000-0009-0000-0100-00001A000000}"/>
  <sortState xmlns:xlrd2="http://schemas.microsoft.com/office/spreadsheetml/2017/richdata2" ref="H686:H698">
    <sortCondition ref="H685:H698"/>
  </sortState>
  <tableColumns count="1">
    <tableColumn id="1" xr3:uid="{00000000-0010-0000-1800-000001000000}" name="PUTUMAYO" dataDxfId="765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9000000}" name="NARIÑO" displayName="NARIÑO" ref="H741:H804" totalsRowShown="0" headerRowDxfId="764" dataDxfId="763">
  <autoFilter ref="H741:H804" xr:uid="{00000000-0009-0000-0100-00001B000000}"/>
  <sortState xmlns:xlrd2="http://schemas.microsoft.com/office/spreadsheetml/2017/richdata2" ref="H742:H804">
    <sortCondition ref="H741:H804"/>
  </sortState>
  <tableColumns count="1">
    <tableColumn id="1" xr3:uid="{00000000-0010-0000-1900-000001000000}" name="NARIÑO" dataDxfId="762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A000000}" name="META" displayName="META" ref="H806:H835" totalsRowShown="0" headerRowDxfId="761" dataDxfId="760">
  <autoFilter ref="H806:H835" xr:uid="{00000000-0009-0000-0100-00001C000000}"/>
  <sortState xmlns:xlrd2="http://schemas.microsoft.com/office/spreadsheetml/2017/richdata2" ref="H807:H835">
    <sortCondition ref="H806:H835"/>
  </sortState>
  <tableColumns count="1">
    <tableColumn id="1" xr3:uid="{00000000-0010-0000-1A00-000001000000}" name="META" dataDxfId="759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B000000}" name="MAGDALENA" displayName="MAGDALENA" ref="H837:H868" totalsRowShown="0" headerRowDxfId="758" dataDxfId="757">
  <autoFilter ref="H837:H868" xr:uid="{00000000-0009-0000-0100-00001D000000}"/>
  <sortState xmlns:xlrd2="http://schemas.microsoft.com/office/spreadsheetml/2017/richdata2" ref="H838:H868">
    <sortCondition ref="H837:H868"/>
  </sortState>
  <tableColumns count="1">
    <tableColumn id="1" xr3:uid="{00000000-0010-0000-1B00-000001000000}" name="MAGDALENA" dataDxfId="756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C000000}" name="LA_GUAJIRA" displayName="LA_GUAJIRA" ref="H870:H885" totalsRowShown="0" headerRowDxfId="755" dataDxfId="754">
  <autoFilter ref="H870:H885" xr:uid="{00000000-0009-0000-0100-00001E000000}"/>
  <sortState xmlns:xlrd2="http://schemas.microsoft.com/office/spreadsheetml/2017/richdata2" ref="H871:H885">
    <sortCondition ref="H870:H885"/>
  </sortState>
  <tableColumns count="1">
    <tableColumn id="1" xr3:uid="{00000000-0010-0000-1C00-000001000000}" name="LA GUAJIRA" dataDxfId="753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D000000}" name="HUILA" displayName="HUILA" ref="H887:H924" totalsRowShown="0" headerRowDxfId="752" dataDxfId="751">
  <autoFilter ref="H887:H924" xr:uid="{00000000-0009-0000-0100-00001F000000}"/>
  <sortState xmlns:xlrd2="http://schemas.microsoft.com/office/spreadsheetml/2017/richdata2" ref="H888:H924">
    <sortCondition ref="H887:H924"/>
  </sortState>
  <tableColumns count="1">
    <tableColumn id="1" xr3:uid="{00000000-0010-0000-1D00-000001000000}" name="HUILA" dataDxfId="750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E000000}" name="GUAVIARE" displayName="GUAVIARE" ref="H926:H939" totalsRowShown="0" headerRowDxfId="749" dataDxfId="748">
  <autoFilter ref="H926:H939" xr:uid="{00000000-0009-0000-0100-000020000000}"/>
  <sortState xmlns:xlrd2="http://schemas.microsoft.com/office/spreadsheetml/2017/richdata2" ref="H927:H939">
    <sortCondition ref="H926:H939"/>
  </sortState>
  <tableColumns count="1">
    <tableColumn id="1" xr3:uid="{00000000-0010-0000-1E00-000001000000}" name="GUAVIARE" dataDxfId="747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F000000}" name="ESPECIALES" displayName="ESPECIALES" ref="H941:H942" totalsRowShown="0" headerRowDxfId="746" dataDxfId="745">
  <autoFilter ref="H941:H942" xr:uid="{00000000-0009-0000-0100-000021000000}"/>
  <tableColumns count="1">
    <tableColumn id="1" xr3:uid="{00000000-0010-0000-1F00-000001000000}" name="ESPECIALES" dataDxfId="744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0000000}" name="CUNDINAMARCA" displayName="CUNDINAMARCA" ref="H944:H1059" totalsRowShown="0" headerRowDxfId="743" dataDxfId="742">
  <autoFilter ref="H944:H1059" xr:uid="{00000000-0009-0000-0100-000022000000}"/>
  <sortState xmlns:xlrd2="http://schemas.microsoft.com/office/spreadsheetml/2017/richdata2" ref="H945:H1059">
    <sortCondition ref="H944:H1059"/>
  </sortState>
  <tableColumns count="1">
    <tableColumn id="1" xr3:uid="{00000000-0010-0000-2000-000001000000}" name="CUNDINAMARCA" dataDxfId="741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1000000}" name="NORTE_DE_SANTANDER" displayName="NORTE_DE_SANTANDER" ref="H700:H739" totalsRowShown="0" headerRowDxfId="740" dataDxfId="739">
  <autoFilter ref="H700:H739" xr:uid="{00000000-0009-0000-0100-000023000000}"/>
  <sortState xmlns:xlrd2="http://schemas.microsoft.com/office/spreadsheetml/2017/richdata2" ref="H701:H739">
    <sortCondition ref="H700:H739"/>
  </sortState>
  <tableColumns count="1">
    <tableColumn id="1" xr3:uid="{00000000-0010-0000-2100-000001000000}" name="NORTE_DE_SANTANDER" dataDxfId="738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2000000}" name="BOGOTÁ" displayName="BOGOTÁ" ref="H1062:H1063" totalsRowShown="0" headerRowDxfId="737" dataDxfId="735" headerRowBorderDxfId="736" tableBorderDxfId="734" totalsRowBorderDxfId="733">
  <autoFilter ref="H1062:H1063" xr:uid="{00000000-0009-0000-0100-000024000000}"/>
  <tableColumns count="1">
    <tableColumn id="1" xr3:uid="{00000000-0010-0000-2200-000001000000}" name="BOGOTÁ" dataDxfId="732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3000000}" name="CALDAS" displayName="CALDAS" ref="H1065:H1091" totalsRowShown="0" headerRowDxfId="731" dataDxfId="729" headerRowBorderDxfId="730" tableBorderDxfId="728">
  <autoFilter ref="H1065:H1091" xr:uid="{00000000-0009-0000-0100-000025000000}"/>
  <sortState xmlns:xlrd2="http://schemas.microsoft.com/office/spreadsheetml/2017/richdata2" ref="H1066:H1091">
    <sortCondition ref="H1065:H1091"/>
  </sortState>
  <tableColumns count="1">
    <tableColumn id="1" xr3:uid="{00000000-0010-0000-2300-000001000000}" name="CALDAS" dataDxfId="727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4000000}" name="CAQUETÁ" displayName="CAQUETÁ" ref="H1093:H1109" totalsRowShown="0" headerRowDxfId="726" dataDxfId="725" tableBorderDxfId="724">
  <autoFilter ref="H1093:H1109" xr:uid="{00000000-0009-0000-0100-000026000000}"/>
  <sortState xmlns:xlrd2="http://schemas.microsoft.com/office/spreadsheetml/2017/richdata2" ref="H1094:H1109">
    <sortCondition ref="H1093:H1109"/>
  </sortState>
  <tableColumns count="1">
    <tableColumn id="1" xr3:uid="{00000000-0010-0000-2400-000001000000}" name="CAQUETÁ" dataDxfId="723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5000000}" name="CASANARE" displayName="CASANARE" ref="H1111:H1130" totalsRowShown="0" headerRowDxfId="722" dataDxfId="721" tableBorderDxfId="720">
  <autoFilter ref="H1111:H1130" xr:uid="{00000000-0009-0000-0100-000027000000}"/>
  <sortState xmlns:xlrd2="http://schemas.microsoft.com/office/spreadsheetml/2017/richdata2" ref="H1112:H1130">
    <sortCondition ref="H1111:H1130"/>
  </sortState>
  <tableColumns count="1">
    <tableColumn id="1" xr3:uid="{00000000-0010-0000-2500-000001000000}" name="CASANARE" dataDxfId="719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6000000}" name="CAUCA" displayName="CAUCA" ref="H1132:H1213" totalsRowShown="0" headerRowDxfId="718" dataDxfId="717" tableBorderDxfId="716">
  <autoFilter ref="H1132:H1213" xr:uid="{00000000-0009-0000-0100-000028000000}"/>
  <sortState xmlns:xlrd2="http://schemas.microsoft.com/office/spreadsheetml/2017/richdata2" ref="H1133:H1213">
    <sortCondition ref="H1132:H1213"/>
  </sortState>
  <tableColumns count="1">
    <tableColumn id="1" xr3:uid="{00000000-0010-0000-2600-000001000000}" name="CAUCA" dataDxfId="715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7000000}" name="CESAR" displayName="CESAR" ref="H1215:H1240" totalsRowShown="0" headerRowDxfId="714" dataDxfId="713">
  <autoFilter ref="H1215:H1240" xr:uid="{00000000-0009-0000-0100-000029000000}"/>
  <tableColumns count="1">
    <tableColumn id="1" xr3:uid="{00000000-0010-0000-2700-000001000000}" name="CESAR" dataDxfId="712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8000000}" name="GENERO" displayName="GENERO" ref="J2:J4" totalsRowShown="0" headerRowDxfId="711" dataDxfId="710">
  <autoFilter ref="J2:J4" xr:uid="{00000000-0009-0000-0100-00002A000000}"/>
  <tableColumns count="1">
    <tableColumn id="1" xr3:uid="{00000000-0010-0000-2800-000001000000}" name="GENERO" dataDxfId="709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9000000}" name="GRUPO_ÉTNICO" displayName="GRUPO_ÉTNICO" ref="L2:L6" totalsRowShown="0" headerRowDxfId="708" dataDxfId="707">
  <autoFilter ref="L2:L6" xr:uid="{00000000-0009-0000-0100-00002B000000}"/>
  <tableColumns count="1">
    <tableColumn id="1" xr3:uid="{00000000-0010-0000-2900-000001000000}" name="GRUPO_ÉTNICO" dataDxfId="706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A000000}" name="SI_NO" displayName="SI_NO" ref="P2:P4" totalsRowShown="0" headerRowDxfId="705" dataDxfId="704">
  <autoFilter ref="P2:P4" xr:uid="{00000000-0009-0000-0100-00002C000000}"/>
  <tableColumns count="1">
    <tableColumn id="1" xr3:uid="{00000000-0010-0000-2A00-000001000000}" name="SI/NO" dataDxfId="703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B000000}" name="PAIS_RESIDENCIA" displayName="PAIS_RESIDENCIA" ref="P14:P15" totalsRowShown="0" headerRowDxfId="702" dataDxfId="701">
  <autoFilter ref="P14:P15" xr:uid="{00000000-0009-0000-0100-00002D000000}"/>
  <tableColumns count="1">
    <tableColumn id="1" xr3:uid="{00000000-0010-0000-2B00-000001000000}" name="PAIS_RESIDENCIA" dataDxfId="700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C000000}" name="ZONA_UBICACION" displayName="ZONA_UBICACION" ref="P17:P19" totalsRowShown="0">
  <autoFilter ref="P17:P19" xr:uid="{00000000-0009-0000-0100-00002E000000}"/>
  <tableColumns count="1">
    <tableColumn id="1" xr3:uid="{00000000-0010-0000-2C00-000001000000}" name="ZONA_UBICACION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D000000}" name="ESTRAT0" displayName="ESTRAT0" ref="R2:R5" totalsRowShown="0" headerRowDxfId="699" dataDxfId="698">
  <autoFilter ref="R2:R5" xr:uid="{00000000-0009-0000-0100-00002F000000}"/>
  <tableColumns count="1">
    <tableColumn id="1" xr3:uid="{00000000-0010-0000-2D00-000001000000}" name="ESTRAT0" dataDxfId="697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E000000}" name="LOCALIDAD" displayName="LOCALIDAD" ref="V2:V22" totalsRowShown="0" headerRowDxfId="696" dataDxfId="695">
  <autoFilter ref="V2:V22" xr:uid="{00000000-0009-0000-0100-000030000000}"/>
  <tableColumns count="1">
    <tableColumn id="1" xr3:uid="{00000000-0010-0000-2E00-000001000000}" name="LOCALIDAD" dataDxfId="694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2F000000}" name="USAQUEN" displayName="USAQUEN" ref="X2:X136" totalsRowShown="0" headerRowDxfId="693" headerRowBorderDxfId="692" tableBorderDxfId="691">
  <autoFilter ref="X2:X136" xr:uid="{00000000-0009-0000-0100-000009000000}"/>
  <sortState xmlns:xlrd2="http://schemas.microsoft.com/office/spreadsheetml/2017/richdata2" ref="X3:X136">
    <sortCondition ref="X61"/>
  </sortState>
  <tableColumns count="1">
    <tableColumn id="1" xr3:uid="{00000000-0010-0000-2F00-000001000000}" name="USAQUEN"/>
  </tableColumns>
  <tableStyleInfo name="TableStyleMedium9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30000000}" name="CHAPINERO" displayName="CHAPINERO" ref="X138:X188" totalsRowShown="0" headerRowDxfId="690" headerRowBorderDxfId="689" tableBorderDxfId="688" totalsRowBorderDxfId="687">
  <autoFilter ref="X138:X188" xr:uid="{00000000-0009-0000-0100-000031000000}"/>
  <sortState xmlns:xlrd2="http://schemas.microsoft.com/office/spreadsheetml/2017/richdata2" ref="X139:X188">
    <sortCondition ref="X140"/>
  </sortState>
  <tableColumns count="1">
    <tableColumn id="1" xr3:uid="{00000000-0010-0000-3000-000001000000}" name="CHAPINERO"/>
  </tableColumns>
  <tableStyleInfo name="TableStyleMedium9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1000000}" name="SANTA_FE" displayName="SANTA_FE" ref="X190:X228" totalsRowShown="0" headerRowDxfId="686" headerRowBorderDxfId="685" tableBorderDxfId="684" totalsRowBorderDxfId="683">
  <autoFilter ref="X190:X228" xr:uid="{00000000-0009-0000-0100-000032000000}"/>
  <sortState xmlns:xlrd2="http://schemas.microsoft.com/office/spreadsheetml/2017/richdata2" ref="X191:X228">
    <sortCondition ref="X190:X228"/>
  </sortState>
  <tableColumns count="1">
    <tableColumn id="1" xr3:uid="{00000000-0010-0000-3100-000001000000}" name="SANTA_FE"/>
  </tableColumns>
  <tableStyleInfo name="TableStyleMedium9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2000000}" name="SAN_CRISTOBAL" displayName="SAN_CRISTOBAL" ref="X230:X433" totalsRowShown="0" headerRowDxfId="682" headerRowBorderDxfId="681" tableBorderDxfId="680">
  <autoFilter ref="X230:X433" xr:uid="{00000000-0009-0000-0100-000033000000}"/>
  <sortState xmlns:xlrd2="http://schemas.microsoft.com/office/spreadsheetml/2017/richdata2" ref="X231:X433">
    <sortCondition ref="X230:X433"/>
  </sortState>
  <tableColumns count="1">
    <tableColumn id="1" xr3:uid="{00000000-0010-0000-3200-000001000000}" name="SAN_CRISTOBAL"/>
  </tableColumns>
  <tableStyleInfo name="TableStyleMedium9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3000000}" name="USME" displayName="USME" ref="X435:X657" totalsRowShown="0" headerRowDxfId="679" dataDxfId="677" headerRowBorderDxfId="678" tableBorderDxfId="676" totalsRowBorderDxfId="675">
  <autoFilter ref="X435:X657" xr:uid="{00000000-0009-0000-0100-000034000000}"/>
  <sortState xmlns:xlrd2="http://schemas.microsoft.com/office/spreadsheetml/2017/richdata2" ref="X436:X657">
    <sortCondition ref="X546"/>
  </sortState>
  <tableColumns count="1">
    <tableColumn id="1" xr3:uid="{00000000-0010-0000-3300-000001000000}" name="USME" dataDxfId="674"/>
  </tableColumns>
  <tableStyleInfo name="TableStyleMedium9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4000000}" name="TUNJUELITO" displayName="TUNJUELITO" ref="X659:X687" totalsRowShown="0" headerRowDxfId="673" headerRowBorderDxfId="672" tableBorderDxfId="671" totalsRowBorderDxfId="670">
  <autoFilter ref="X659:X687" xr:uid="{00000000-0009-0000-0100-000035000000}"/>
  <sortState xmlns:xlrd2="http://schemas.microsoft.com/office/spreadsheetml/2017/richdata2" ref="X660:X687">
    <sortCondition ref="X659:X687"/>
  </sortState>
  <tableColumns count="1">
    <tableColumn id="1" xr3:uid="{00000000-0010-0000-3400-000001000000}" name="TUNJUELITO"/>
  </tableColumns>
  <tableStyleInfo name="TableStyleMedium9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5000000}" name="BOSA" displayName="BOSA" ref="X689:X1011" totalsRowShown="0" headerRowDxfId="669" dataDxfId="667" headerRowBorderDxfId="668" tableBorderDxfId="666" totalsRowBorderDxfId="665">
  <autoFilter ref="X689:X1011" xr:uid="{00000000-0009-0000-0100-000036000000}"/>
  <sortState xmlns:xlrd2="http://schemas.microsoft.com/office/spreadsheetml/2017/richdata2" ref="X690:X1011">
    <sortCondition ref="X689:X1011"/>
  </sortState>
  <tableColumns count="1">
    <tableColumn id="1" xr3:uid="{00000000-0010-0000-3500-000001000000}" name="BOSA" dataDxfId="664"/>
  </tableColumns>
  <tableStyleInfo name="TableStyleMedium9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36000000}" name="KENNEDY" displayName="KENNEDY" ref="X1013:X1326" totalsRowShown="0" headerRowDxfId="663" dataDxfId="661" headerRowBorderDxfId="662" tableBorderDxfId="660" totalsRowBorderDxfId="659">
  <autoFilter ref="X1013:X1326" xr:uid="{00000000-0009-0000-0100-000037000000}"/>
  <sortState xmlns:xlrd2="http://schemas.microsoft.com/office/spreadsheetml/2017/richdata2" ref="X1014:X1326">
    <sortCondition ref="X1013:X1326"/>
  </sortState>
  <tableColumns count="1">
    <tableColumn id="1" xr3:uid="{00000000-0010-0000-3600-000001000000}" name="KENNEDY" dataDxfId="658"/>
  </tableColumns>
  <tableStyleInfo name="TableStyleMedium9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37000000}" name="FONTIBON" displayName="FONTIBON" ref="Z2:Z82" totalsRowShown="0" headerRowDxfId="657" dataDxfId="655" headerRowBorderDxfId="656" tableBorderDxfId="654" totalsRowBorderDxfId="653">
  <autoFilter ref="Z2:Z82" xr:uid="{00000000-0009-0000-0100-000038000000}"/>
  <sortState xmlns:xlrd2="http://schemas.microsoft.com/office/spreadsheetml/2017/richdata2" ref="Z3:Z82">
    <sortCondition ref="Z79"/>
  </sortState>
  <tableColumns count="1">
    <tableColumn id="1" xr3:uid="{00000000-0010-0000-3700-000001000000}" name="FONTIBON" dataDxfId="652"/>
  </tableColumns>
  <tableStyleInfo name="TableStyleMedium9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38000000}" name="ENGATIVA" displayName="ENGATIVA" ref="Z84:Z210" totalsRowShown="0" headerRowDxfId="651" headerRowBorderDxfId="650" tableBorderDxfId="649">
  <autoFilter ref="Z84:Z210" xr:uid="{00000000-0009-0000-0100-000039000000}"/>
  <sortState xmlns:xlrd2="http://schemas.microsoft.com/office/spreadsheetml/2017/richdata2" ref="Z85:Z210">
    <sortCondition ref="Z87"/>
  </sortState>
  <tableColumns count="1">
    <tableColumn id="1" xr3:uid="{00000000-0010-0000-3800-000001000000}" name="ENGATIVA"/>
  </tableColumns>
  <tableStyleInfo name="TableStyleMedium9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39000000}" name="SUBA" displayName="SUBA" ref="Z212:Z468" totalsRowShown="0" headerRowDxfId="648" headerRowBorderDxfId="647" tableBorderDxfId="646">
  <autoFilter ref="Z212:Z468" xr:uid="{00000000-0009-0000-0100-00003A000000}"/>
  <sortState xmlns:xlrd2="http://schemas.microsoft.com/office/spreadsheetml/2017/richdata2" ref="Z213:Z468">
    <sortCondition ref="Z212:Z468"/>
  </sortState>
  <tableColumns count="1">
    <tableColumn id="1" xr3:uid="{00000000-0010-0000-3900-000001000000}" name="SUBA"/>
  </tableColumns>
  <tableStyleInfo name="TableStyleMedium9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3A000000}" name="BARRIOS_UNIDOS" displayName="BARRIOS_UNIDOS" ref="Z470:Z514" totalsRowShown="0" headerRowDxfId="645" headerRowBorderDxfId="644" tableBorderDxfId="643" totalsRowBorderDxfId="642">
  <autoFilter ref="Z470:Z514" xr:uid="{00000000-0009-0000-0100-00003B000000}"/>
  <sortState xmlns:xlrd2="http://schemas.microsoft.com/office/spreadsheetml/2017/richdata2" ref="Z471:Z514">
    <sortCondition ref="Z470:Z514"/>
  </sortState>
  <tableColumns count="1">
    <tableColumn id="1" xr3:uid="{00000000-0010-0000-3A00-000001000000}" name="BARRIOS_UNIDOS"/>
  </tableColumns>
  <tableStyleInfo name="TableStyleMedium9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3B000000}" name="TEUSAQUILLO" displayName="TEUSAQUILLO" ref="Z516:Z547" totalsRowShown="0" headerRowDxfId="641" headerRowBorderDxfId="640" tableBorderDxfId="639" totalsRowBorderDxfId="638">
  <autoFilter ref="Z516:Z547" xr:uid="{00000000-0009-0000-0100-00003C000000}"/>
  <sortState xmlns:xlrd2="http://schemas.microsoft.com/office/spreadsheetml/2017/richdata2" ref="Z517:Z547">
    <sortCondition ref="Z516:Z547"/>
  </sortState>
  <tableColumns count="1">
    <tableColumn id="1" xr3:uid="{00000000-0010-0000-3B00-000001000000}" name="TEUSAQUILLO"/>
  </tableColumns>
  <tableStyleInfo name="TableStyleMedium9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3C000000}" name="LOSMARTIRES" displayName="LOSMARTIRES" ref="Z549:Z570" totalsRowShown="0" headerRowDxfId="637" headerRowBorderDxfId="636" tableBorderDxfId="635" totalsRowBorderDxfId="634">
  <autoFilter ref="Z549:Z570" xr:uid="{00000000-0009-0000-0100-00003D000000}"/>
  <sortState xmlns:xlrd2="http://schemas.microsoft.com/office/spreadsheetml/2017/richdata2" ref="Z550:Z570">
    <sortCondition ref="Z549:Z570"/>
  </sortState>
  <tableColumns count="1">
    <tableColumn id="1" xr3:uid="{00000000-0010-0000-3C00-000001000000}" name="LOS MARTIRES"/>
  </tableColumns>
  <tableStyleInfo name="TableStyleMedium9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3D000000}" name="ANTONIO_NARIÑO" displayName="ANTONIO_NARIÑO" ref="Z572:Z590" totalsRowShown="0" headerRowDxfId="633" dataDxfId="631" headerRowBorderDxfId="632" tableBorderDxfId="630" totalsRowBorderDxfId="629">
  <autoFilter ref="Z572:Z590" xr:uid="{00000000-0009-0000-0100-00003E000000}"/>
  <sortState xmlns:xlrd2="http://schemas.microsoft.com/office/spreadsheetml/2017/richdata2" ref="Z573:Z590">
    <sortCondition ref="Z572:Z590"/>
  </sortState>
  <tableColumns count="1">
    <tableColumn id="1" xr3:uid="{00000000-0010-0000-3D00-000001000000}" name="ANTONIO_NARIÑO" dataDxfId="628"/>
  </tableColumns>
  <tableStyleInfo name="TableStyleMedium9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3E000000}" name="PUENTE_ARANDA" displayName="PUENTE_ARANDA" ref="Z592:Z647" totalsRowShown="0" headerRowDxfId="627" dataDxfId="625" headerRowBorderDxfId="626" tableBorderDxfId="624" totalsRowBorderDxfId="623">
  <autoFilter ref="Z592:Z647" xr:uid="{00000000-0009-0000-0100-00003F000000}"/>
  <sortState xmlns:xlrd2="http://schemas.microsoft.com/office/spreadsheetml/2017/richdata2" ref="Z593:Z647">
    <sortCondition ref="Z641"/>
  </sortState>
  <tableColumns count="1">
    <tableColumn id="1" xr3:uid="{00000000-0010-0000-3E00-000001000000}" name="PUENTE_ARANDA" dataDxfId="622"/>
  </tableColumns>
  <tableStyleInfo name="TableStyleMedium9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3F000000}" name="LA_CANDELARIA" displayName="LA_CANDELARIA" ref="Z649:Z657" totalsRowShown="0" headerRowDxfId="621" dataDxfId="619" headerRowBorderDxfId="620" tableBorderDxfId="618" totalsRowBorderDxfId="617">
  <autoFilter ref="Z649:Z657" xr:uid="{00000000-0009-0000-0100-000040000000}"/>
  <sortState xmlns:xlrd2="http://schemas.microsoft.com/office/spreadsheetml/2017/richdata2" ref="Z650:Z657">
    <sortCondition ref="Z651"/>
  </sortState>
  <tableColumns count="1">
    <tableColumn id="1" xr3:uid="{00000000-0010-0000-3F00-000001000000}" name="LA_CANDELARIA" dataDxfId="616"/>
  </tableColumns>
  <tableStyleInfo name="TableStyleMedium9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40000000}" name="RAFAEL_URIBE" displayName="RAFAEL_URIBE" ref="Z659:Z763" totalsRowShown="0" headerRowDxfId="615" dataDxfId="613" headerRowBorderDxfId="614" tableBorderDxfId="612" totalsRowBorderDxfId="611">
  <autoFilter ref="Z659:Z763" xr:uid="{00000000-0009-0000-0100-000041000000}"/>
  <sortState xmlns:xlrd2="http://schemas.microsoft.com/office/spreadsheetml/2017/richdata2" ref="Z660:Z763">
    <sortCondition ref="Z659:Z763"/>
  </sortState>
  <tableColumns count="1">
    <tableColumn id="1" xr3:uid="{00000000-0010-0000-4000-000001000000}" name="RAFAEL_URIBE" dataDxfId="610"/>
  </tableColumns>
  <tableStyleInfo name="TableStyleMedium9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000000-000C-0000-FFFF-FFFF41000000}" name="CIUDAD_BOLIVAR" displayName="CIUDAD_BOLIVAR" ref="Z765:Z1013" totalsRowShown="0" headerRowDxfId="609" dataDxfId="607" headerRowBorderDxfId="608" tableBorderDxfId="606" totalsRowBorderDxfId="605">
  <autoFilter ref="Z765:Z1013" xr:uid="{00000000-0009-0000-0100-000042000000}"/>
  <sortState xmlns:xlrd2="http://schemas.microsoft.com/office/spreadsheetml/2017/richdata2" ref="Z766:Z1013">
    <sortCondition ref="Z765:Z1013"/>
  </sortState>
  <tableColumns count="1">
    <tableColumn id="1" xr3:uid="{00000000-0010-0000-4100-000001000000}" name="CIUDAD_BOLIVAR" dataDxfId="604"/>
  </tableColumns>
  <tableStyleInfo name="TableStyleMedium9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0000000-000C-0000-FFFF-FFFF42000000}" name="ACTIVO_INACTIVO" displayName="ACTIVO_INACTIVO" ref="B2:B4" totalsRowShown="0">
  <autoFilter ref="B2:B4" xr:uid="{00000000-0009-0000-0100-000044000000}"/>
  <tableColumns count="1">
    <tableColumn id="1" xr3:uid="{00000000-0010-0000-4200-000001000000}" name="ACTIVO/INACTIVO"/>
  </tableColumns>
  <tableStyleInfo name="TableStyleMedium2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0000000-000C-0000-FFFF-FFFF43000000}" name="NO_" displayName="NO_" ref="P6:P7" totalsRowShown="0">
  <autoFilter ref="P6:P7" xr:uid="{00000000-0009-0000-0100-000045000000}"/>
  <tableColumns count="1">
    <tableColumn id="1" xr3:uid="{00000000-0010-0000-4300-000001000000}" name="NO_"/>
  </tableColumns>
  <tableStyleInfo name="TableStyleMedium2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00000000-000C-0000-FFFF-FFFF44000000}" name="SI_" displayName="SI_" ref="P9:P11" totalsRowShown="0">
  <autoFilter ref="P9:P11" xr:uid="{00000000-0009-0000-0100-000046000000}"/>
  <tableColumns count="1">
    <tableColumn id="1" xr3:uid="{00000000-0010-0000-4400-000001000000}" name="SI_"/>
  </tableColumns>
  <tableStyleInfo name="TableStyleMedium2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45000000}" name="CABECERA" displayName="CABECERA" ref="T2:T5" totalsRowShown="0" headerRowDxfId="603" dataDxfId="602">
  <autoFilter ref="T2:T5" xr:uid="{00000000-0009-0000-0100-000047000000}"/>
  <tableColumns count="1">
    <tableColumn id="1" xr3:uid="{00000000-0010-0000-4500-000001000000}" name="TIPO_DE_CABECERA" dataDxfId="601"/>
  </tableColumns>
  <tableStyleInfo name="TableStyleMedium2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00000000-000C-0000-FFFF-FFFF46000000}" name="FAMILIA" displayName="FAMILIA" ref="AB2:AB12" totalsRowShown="0" headerRowDxfId="600" dataDxfId="599">
  <autoFilter ref="AB2:AB12" xr:uid="{00000000-0009-0000-0100-000048000000}"/>
  <tableColumns count="1">
    <tableColumn id="1" xr3:uid="{00000000-0010-0000-4600-000001000000}" name="FAMILIA" dataDxfId="598"/>
  </tableColumns>
  <tableStyleInfo name="TableStyleMedium2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00000000-000C-0000-FFFF-FFFF47000000}" name="TIPODEDOCUMENTOADULTO" displayName="TIPODEDOCUMENTOADULTO" ref="AD2:AD7" totalsRowShown="0" headerRowDxfId="597" dataDxfId="596">
  <autoFilter ref="AD2:AD7" xr:uid="{00000000-0009-0000-0100-000049000000}"/>
  <sortState xmlns:xlrd2="http://schemas.microsoft.com/office/spreadsheetml/2017/richdata2" ref="AD3:AD9">
    <sortCondition ref="AD2:AD9"/>
  </sortState>
  <tableColumns count="1">
    <tableColumn id="1" xr3:uid="{00000000-0010-0000-4700-000001000000}" name="TIPO DE DOCUMENTO" dataDxfId="595"/>
  </tableColumns>
  <tableStyleInfo name="TableStyleMedium2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00000000-000C-0000-FFFF-FFFF48000000}" name="REGIMEN" displayName="REGIMEN" ref="AF2:AF6" totalsRowShown="0" headerRowDxfId="594" dataDxfId="593">
  <autoFilter ref="AF2:AF6" xr:uid="{00000000-0009-0000-0100-00004A000000}"/>
  <tableColumns count="1">
    <tableColumn id="1" xr3:uid="{00000000-0010-0000-4800-000001000000}" name="REGIMEN" dataDxfId="592"/>
  </tableColumns>
  <tableStyleInfo name="TableStyleMedium2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0000000-000C-0000-FFFF-FFFF49000000}" name="SUBSIDIADO" displayName="SUBSIDIADO" ref="AF8:AF41" totalsRowShown="0" headerRowDxfId="591" dataDxfId="590">
  <autoFilter ref="AF8:AF41" xr:uid="{00000000-0009-0000-0100-00004B000000}"/>
  <sortState xmlns:xlrd2="http://schemas.microsoft.com/office/spreadsheetml/2017/richdata2" ref="AF9:AF41">
    <sortCondition ref="AF8:AF41"/>
  </sortState>
  <tableColumns count="1">
    <tableColumn id="1" xr3:uid="{00000000-0010-0000-4900-000001000000}" name="SUBSIDIADO" dataDxfId="589"/>
  </tableColumns>
  <tableStyleInfo name="TableStyleMedium2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00000000-000C-0000-FFFF-FFFF4A000000}" name="CONTRIBUTIVO" displayName="CONTRIBUTIVO" ref="AF43:AF80" totalsRowShown="0" headerRowDxfId="588" dataDxfId="587">
  <autoFilter ref="AF43:AF80" xr:uid="{00000000-0009-0000-0100-00004C000000}"/>
  <sortState xmlns:xlrd2="http://schemas.microsoft.com/office/spreadsheetml/2017/richdata2" ref="AF44:AF80">
    <sortCondition ref="AF43:AF80"/>
  </sortState>
  <tableColumns count="1">
    <tableColumn id="1" xr3:uid="{00000000-0010-0000-4A00-000001000000}" name="CONTRIBUTIVO" dataDxfId="586"/>
  </tableColumns>
  <tableStyleInfo name="TableStyleMedium2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00000000-000C-0000-FFFF-FFFF4B000000}" name="ESPECIAL" displayName="ESPECIAL" ref="AF82:AF87" totalsRowShown="0" headerRowDxfId="585" dataDxfId="584">
  <autoFilter ref="AF82:AF87" xr:uid="{00000000-0009-0000-0100-00004D000000}"/>
  <tableColumns count="1">
    <tableColumn id="1" xr3:uid="{00000000-0010-0000-4B00-000001000000}" name="ESPECIAL" dataDxfId="583"/>
  </tableColumns>
  <tableStyleInfo name="TableStyleMedium2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00000000-000C-0000-FFFF-FFFF4C000000}" name="NO_SE_ENCUENTRA_AFILIADO" displayName="NO_SE_ENCUENTRA_AFILIADO" ref="AF89:AF90" totalsRowShown="0" headerRowDxfId="582" dataDxfId="580" headerRowBorderDxfId="581" tableBorderDxfId="579" totalsRowBorderDxfId="578">
  <autoFilter ref="AF89:AF90" xr:uid="{00000000-0009-0000-0100-00004E000000}"/>
  <tableColumns count="1">
    <tableColumn id="1" xr3:uid="{00000000-0010-0000-4C00-000001000000}" name="NO SE ENCUENTRA AFILIADO" dataDxfId="577"/>
  </tableColumns>
  <tableStyleInfo name="TableStyleMedium2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00000000-000C-0000-FFFF-FFFF4D000000}" name="TIPO_COMPLEMENTO" displayName="TIPO_COMPLEMENTO" ref="AH2:AH6" totalsRowShown="0" headerRowDxfId="576" dataDxfId="575">
  <autoFilter ref="AH2:AH6" xr:uid="{00000000-0009-0000-0100-00004F000000}"/>
  <tableColumns count="1">
    <tableColumn id="1" xr3:uid="{00000000-0010-0000-4D00-000001000000}" name="TIPO COMPLEMENTO" dataDxfId="574"/>
  </tableColumns>
  <tableStyleInfo name="TableStyleMedium2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00000000-000C-0000-FFFF-FFFF4E000000}" name="TIPO_DE_BENEFICIARIO" displayName="TIPO_DE_BENEFICIARIO" ref="AJ2:AJ5" totalsRowShown="0">
  <autoFilter ref="AJ2:AJ5" xr:uid="{00000000-0009-0000-0100-000051000000}"/>
  <tableColumns count="1">
    <tableColumn id="1" xr3:uid="{00000000-0010-0000-4E00-000001000000}" name="TIPO DE BENEFICIARIO"/>
  </tableColumns>
  <tableStyleInfo name="TableStyleMedium2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00000000-000C-0000-FFFF-FFFF4F000000}" name="UNIDAD" displayName="UNIDAD" ref="AL2:AN39" totalsRowShown="0" headerRowDxfId="573" dataDxfId="571" headerRowBorderDxfId="572" tableBorderDxfId="570" totalsRowBorderDxfId="569">
  <autoFilter ref="AL2:AN39" xr:uid="{00000000-0009-0000-0100-000050000000}"/>
  <tableColumns count="3">
    <tableColumn id="1" xr3:uid="{00000000-0010-0000-4F00-000001000000}" name="UNIDAD" dataDxfId="568"/>
    <tableColumn id="2" xr3:uid="{D2D7435F-7F7A-4E51-BB38-298C02CA38B7}" name="ABREVIATURA" dataDxfId="567"/>
    <tableColumn id="3" xr3:uid="{C47660CC-BCA5-41DA-816D-D3C96994D469}" name="CODIGO DE UNIDAD" dataDxfId="566"/>
  </tableColumns>
  <tableStyleInfo name="TableStyleMedium2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00000000-000C-0000-FFFF-FFFF50000000}" name="TIPOS_DE_DISCAPACIDAD" displayName="TIPOS_DE_DISCAPACIDAD" ref="N2:N14" totalsRowShown="0" headerRowDxfId="565" dataDxfId="564">
  <autoFilter ref="N2:N14" xr:uid="{00000000-0009-0000-0100-000052000000}"/>
  <tableColumns count="1">
    <tableColumn id="1" xr3:uid="{00000000-0010-0000-5000-000001000000}" name="TIPOS_DE_DISCAPACIDAD" dataDxfId="563"/>
  </tableColumns>
  <tableStyleInfo name="TableStyleMedium2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51000000}" name="EXTERIOR" displayName="EXTERIOR" ref="F25:F26" totalsRowShown="0" headerRowDxfId="562" dataDxfId="561">
  <autoFilter ref="F25:F26" xr:uid="{00000000-0009-0000-0100-000053000000}"/>
  <tableColumns count="1">
    <tableColumn id="1" xr3:uid="{00000000-0010-0000-5100-000001000000}" name="EXTERIOR" dataDxfId="560"/>
  </tableColumns>
  <tableStyleInfo name="TableStyleMedium2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00000000-000C-0000-FFFF-FFFF52000000}" name="RESTO" displayName="RESTO" ref="T7:T8" totalsRowShown="0" headerRowDxfId="559" dataDxfId="558">
  <autoFilter ref="T7:T8" xr:uid="{00000000-0009-0000-0100-000054000000}"/>
  <tableColumns count="1">
    <tableColumn id="1" xr3:uid="{00000000-0010-0000-5200-000001000000}" name="RESTO" dataDxfId="557"/>
  </tableColumns>
  <tableStyleInfo name="TableStyleMedium2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00000000-000C-0000-FFFF-FFFF53000000}" name="N_A" displayName="N_A" ref="T10:T11" totalsRowShown="0" headerRowDxfId="556" dataDxfId="555">
  <autoFilter ref="T10:T11" xr:uid="{00000000-0009-0000-0100-000055000000}"/>
  <tableColumns count="1">
    <tableColumn id="1" xr3:uid="{00000000-0010-0000-5300-000001000000}" name="NO_APLICA" dataDxfId="554"/>
  </tableColumns>
  <tableStyleInfo name="TableStyleMedium2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00000000-000C-0000-FFFF-FFFF54000000}" name="CÓRDOBA" displayName="CÓRDOBA" ref="H1244:H1274" totalsRowShown="0" headerRowDxfId="553">
  <autoFilter ref="H1244:H1274" xr:uid="{00000000-0009-0000-0100-000056000000}"/>
  <tableColumns count="1">
    <tableColumn id="1" xr3:uid="{00000000-0010-0000-5400-000001000000}" name="CÓRDOBA"/>
  </tableColumns>
  <tableStyleInfo name="TableStyleMedium2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00000000-000C-0000-FFFF-FFFF55000000}" name="CHOCÓ" displayName="CHOCÓ" ref="H1276:H1305" totalsRowShown="0" headerRowDxfId="552">
  <autoFilter ref="H1276:H1305" xr:uid="{00000000-0009-0000-0100-000057000000}"/>
  <tableColumns count="1">
    <tableColumn id="1" xr3:uid="{00000000-0010-0000-5500-000001000000}" name="CHOCÓ"/>
  </tableColumns>
  <tableStyleInfo name="TableStyleMedium2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0000000-000C-0000-FFFF-FFFF56000000}" name="CRITERIOS_DE_FOCALIZACION" displayName="CRITERIOS_DE_FOCALIZACION" ref="AP2:AP17" totalsRowShown="0" headerRowDxfId="551" dataDxfId="550">
  <autoFilter ref="AP2:AP17" xr:uid="{00000000-0009-0000-0100-000058000000}"/>
  <tableColumns count="1">
    <tableColumn id="1" xr3:uid="{00000000-0010-0000-5600-000001000000}" name="CRITERIOS_DE_FOCALIZACION" dataDxfId="549"/>
  </tableColumns>
  <tableStyleInfo name="TableStyleMedium2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8E2E6ABF-754A-40E5-BBC2-125D7C0794AA}" name="SISBEN" displayName="SISBEN" ref="AR2:AR21" totalsRowShown="0" headerRowDxfId="548" dataDxfId="547">
  <autoFilter ref="AR2:AR21" xr:uid="{8E2E6ABF-754A-40E5-BBC2-125D7C0794AA}"/>
  <tableColumns count="1">
    <tableColumn id="1" xr3:uid="{D8FB1A76-D20B-4EDC-8F9A-0595310479E9}" name="SISBEN" dataDxfId="546"/>
  </tableColumns>
  <tableStyleInfo name="TableStyleMedium2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AD16B666-70FE-6649-A087-5863F47B86CC}" name="DUPLAS" displayName="DUPLAS" ref="AT2:AU10" totalsRowShown="0" headerRowDxfId="545" dataDxfId="544">
  <autoFilter ref="AT2:AU10" xr:uid="{AD16B666-70FE-6649-A087-5863F47B86CC}"/>
  <sortState xmlns:xlrd2="http://schemas.microsoft.com/office/spreadsheetml/2017/richdata2" ref="AT3:AU10">
    <sortCondition ref="AT2:AT10"/>
  </sortState>
  <tableColumns count="2">
    <tableColumn id="1" xr3:uid="{3600C4AD-3BC2-BB40-BBC7-78DCE326CB4D}" name="DUPLA" dataDxfId="543"/>
    <tableColumn id="2" xr3:uid="{13B94E9D-DBFD-F945-A1C7-56CE44531B61}" name="DOCENTE" dataDxfId="542"/>
  </tableColumns>
  <tableStyleInfo name="TableStyleMedium2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0000000-000C-0000-FFFF-FFFF57000000}" name="MATRIZ_PRINCIPAL_USUARIOS" displayName="MATRIZ_PRINCIPAL_USUARIOS" ref="A7:DD12" totalsRowShown="0" headerRowDxfId="541" dataDxfId="539" headerRowBorderDxfId="540" tableBorderDxfId="538" totalsRowBorderDxfId="537">
  <autoFilter ref="A7:DD12" xr:uid="{00000000-0009-0000-0100-000043000000}"/>
  <tableColumns count="108">
    <tableColumn id="1" xr3:uid="{00000000-0010-0000-5700-000001000000}" name="NUMERO DE DOCUMENTO" dataDxfId="536"/>
    <tableColumn id="2" xr3:uid="{00000000-0010-0000-5700-000002000000}" name="¿ACTIVO O INACTIVO?" dataDxfId="535"/>
    <tableColumn id="3" xr3:uid="{00000000-0010-0000-5700-000003000000}" name="FECHA DE INGRESO" dataDxfId="534"/>
    <tableColumn id="4" xr3:uid="{00000000-0010-0000-5700-000004000000}" name="FECHA DE EGRESO" dataDxfId="533"/>
    <tableColumn id="110" xr3:uid="{D650CDFF-E851-4D4E-8510-8F3C4B86445E}" name="INGRESA POR:" dataDxfId="532"/>
    <tableColumn id="104" xr3:uid="{ECF55256-7FEF-A146-BD7A-292430B29484}" name="MOTIVO DE EGRESO" dataDxfId="531"/>
    <tableColumn id="84" xr3:uid="{F217F7F1-BB21-DF4C-BC95-FFD98DC1D5C8}" name="SI EL MOTIVO DE EGRESO ES &quot;OTRO&quot;, INDIQUE EL POR QUÉ" dataDxfId="530"/>
    <tableColumn id="56" xr3:uid="{00000000-0010-0000-5700-000038000000}" name="UNIDAD" dataDxfId="529"/>
    <tableColumn id="63" xr3:uid="{00000000-0010-0000-5700-00003F000000}" name="DUPLA" dataDxfId="528"/>
    <tableColumn id="91" xr3:uid="{00000000-0010-0000-5700-00005B000000}" name="DOCENTE" dataDxfId="527"/>
    <tableColumn id="5" xr3:uid="{00000000-0010-0000-5700-000005000000}" name="TIPO DE DOCUMENTO" dataDxfId="526"/>
    <tableColumn id="9" xr3:uid="{00000000-0010-0000-5700-000009000000}" name="PRIMER NOMBRE" dataDxfId="525"/>
    <tableColumn id="10" xr3:uid="{00000000-0010-0000-5700-00000A000000}" name="SEGUNDO NOMBRE" dataDxfId="524"/>
    <tableColumn id="7" xr3:uid="{00000000-0010-0000-5700-000007000000}" name="PRIMER APELLIDO" dataDxfId="523"/>
    <tableColumn id="8" xr3:uid="{00000000-0010-0000-5700-000008000000}" name="SEGUNDO APELLIDO" dataDxfId="522"/>
    <tableColumn id="28" xr3:uid="{00000000-0010-0000-5700-00001C000000}" name="NOMBRE COMPLETO" dataDxfId="521"/>
    <tableColumn id="11" xr3:uid="{00000000-0010-0000-5700-00000B000000}" name="FECHA DE NACIMIENTO" dataDxfId="520"/>
    <tableColumn id="12" xr3:uid="{00000000-0010-0000-5700-00000C000000}" name="AÑOS" dataDxfId="519"/>
    <tableColumn id="13" xr3:uid="{00000000-0010-0000-5700-00000D000000}" name="MESES" dataDxfId="518"/>
    <tableColumn id="14" xr3:uid="{00000000-0010-0000-5700-00000E000000}" name="DIAS" dataDxfId="517"/>
    <tableColumn id="15" xr3:uid="{00000000-0010-0000-5700-00000F000000}" name="EDAD" dataDxfId="516"/>
    <tableColumn id="6" xr3:uid="{00000000-0010-0000-5700-000006000000}" name="TIPO DE BENEFICIARIO" dataDxfId="515"/>
    <tableColumn id="93" xr3:uid="{00000000-0010-0000-5700-00005D000000}" name="GENERO" dataDxfId="514"/>
    <tableColumn id="16" xr3:uid="{00000000-0010-0000-5700-000010000000}" name="PAIS DE NACIMIENTO" dataDxfId="513"/>
    <tableColumn id="17" xr3:uid="{00000000-0010-0000-5700-000011000000}" name="DEPARTAMENTO DE NACIMIENTO" dataDxfId="512"/>
    <tableColumn id="18" xr3:uid="{00000000-0010-0000-5700-000012000000}" name="MUNICIPIO DE NACIMIENTO" dataDxfId="511"/>
    <tableColumn id="20" xr3:uid="{00000000-0010-0000-5700-000014000000}" name="DISCAPACIDAD" dataDxfId="510"/>
    <tableColumn id="21" xr3:uid="{00000000-0010-0000-5700-000015000000}" name="DISCAPACIDAD CERTIFICADA" dataDxfId="509"/>
    <tableColumn id="22" xr3:uid="{00000000-0010-0000-5700-000016000000}" name="ENTIDAD QUE CERTIFICA LA DISCAPACIDAD" dataDxfId="508"/>
    <tableColumn id="23" xr3:uid="{00000000-0010-0000-5700-000017000000}" name="CATEGORIA DE LA DISCAPACIDAD" dataDxfId="507"/>
    <tableColumn id="96" xr3:uid="{00000000-0010-0000-5700-000060000000}" name="ESPECIFICAR LA DISCAPACIDAD" dataDxfId="506"/>
    <tableColumn id="24" xr3:uid="{00000000-0010-0000-5700-000018000000}" name="¿ESTÁ INSCRITO EN EL REGISTRO PARA LA LOCALIZACIÓN Y CARACTERIZACIÓN DE PERSONAS CON DISCAPACIDAD ?" dataDxfId="505"/>
    <tableColumn id="25" xr3:uid="{00000000-0010-0000-5700-000019000000}" name="¿REQUIERE LA AYUDA DE OTRA PERSONA ?" dataDxfId="504"/>
    <tableColumn id="26" xr3:uid="{00000000-0010-0000-5700-00001A000000}" name="¿REQUIERE AYUDA TÉCNICA / PRODUCTO  DE APOYO ?" dataDxfId="503"/>
    <tableColumn id="27" xr3:uid="{00000000-0010-0000-5700-00001B000000}" name="¿CUENTA CON LA AYUDA TÉCNICA / PRODUCTO  DE APOYO ?" dataDxfId="502"/>
    <tableColumn id="29" xr3:uid="{00000000-0010-0000-5700-00001D000000}" name="¿REQUIERE TERAPIA Y/O REHABILITACIÓN ?" dataDxfId="501"/>
    <tableColumn id="30" xr3:uid="{00000000-0010-0000-5700-00001E000000}" name="RECIBE ATENCIÓN EN TERAPIA Y/O REHABILITACIÓN ?" dataDxfId="500"/>
    <tableColumn id="31" xr3:uid="{00000000-0010-0000-5700-00001F000000}" name="TIENE PROCESO DE INTERDICCIÓN ?" dataDxfId="499"/>
    <tableColumn id="36" xr3:uid="{00000000-0010-0000-5700-000024000000}" name="PAIS DE RESIDENCIA" dataDxfId="498"/>
    <tableColumn id="37" xr3:uid="{00000000-0010-0000-5700-000025000000}" name="DEPARTAMENTO DE RESIDENCIA" dataDxfId="497"/>
    <tableColumn id="38" xr3:uid="{00000000-0010-0000-5700-000026000000}" name="ZONA DE UBICACIÓN" dataDxfId="496"/>
    <tableColumn id="40" xr3:uid="{00000000-0010-0000-5700-000028000000}" name="TIPO DE CABECERA" dataDxfId="495"/>
    <tableColumn id="41" xr3:uid="{00000000-0010-0000-5700-000029000000}" name="NOMBRE LOCALIDAD/COMUNAS/NOMBRE DE ZONA RESTO" dataDxfId="494"/>
    <tableColumn id="92" xr3:uid="{00000000-0010-0000-5700-00005C000000}" name="BARRIO" dataDxfId="493"/>
    <tableColumn id="32" xr3:uid="{00000000-0010-0000-5700-000020000000}" name="NOMBRE DE LA ZONA RESTO" dataDxfId="492"/>
    <tableColumn id="42" xr3:uid="{00000000-0010-0000-5700-00002A000000}" name="DIRECCION" dataDxfId="491"/>
    <tableColumn id="43" xr3:uid="{00000000-0010-0000-5700-00002B000000}" name="TELEFONO PRINCIPAL" dataDxfId="490"/>
    <tableColumn id="44" xr3:uid="{00000000-0010-0000-5700-00002C000000}" name="TELEFONO SECUNDARIO" dataDxfId="489"/>
    <tableColumn id="39" xr3:uid="{00000000-0010-0000-5700-000027000000}" name="ESTRATO DEL HOGAR" dataDxfId="488"/>
    <tableColumn id="19" xr3:uid="{00000000-0010-0000-5700-000013000000}" name="GRUPO ETNICO" dataDxfId="487"/>
    <tableColumn id="33" xr3:uid="{00000000-0010-0000-5700-000021000000}" name="BENEFICIARIO SISBENIZADO" dataDxfId="486"/>
    <tableColumn id="34" xr3:uid="{00000000-0010-0000-5700-000022000000}" name="PUNTAJE SISBEN" dataDxfId="485"/>
    <tableColumn id="35" xr3:uid="{00000000-0010-0000-5700-000023000000}" name="PERTENECE A FAMILIAS EN ACCION" dataDxfId="484"/>
    <tableColumn id="52" xr3:uid="{00000000-0010-0000-5700-000034000000}" name="EL BENEFICIARIO HA SIDO VICTIMA DIRECTA CONFLICTO ARMADO" dataDxfId="483"/>
    <tableColumn id="86" xr3:uid="{00000000-0010-0000-5700-000056000000}" name="CRITERIOS DE FOCALIZACION" dataDxfId="482"/>
    <tableColumn id="85" xr3:uid="{00000000-0010-0000-5700-000055000000}" name="SI NO CUMPLE CON NINGUN CRITERIO, CUENTA CON EL ACTA DONDE JUSTIFICA QUE EL BENEFICIARIO REQUIERE LA ATENCION" dataDxfId="481"/>
    <tableColumn id="45" xr3:uid="{00000000-0010-0000-5700-00002D000000}" name="TIPO DE RESPONSABLE" dataDxfId="480"/>
    <tableColumn id="46" xr3:uid="{00000000-0010-0000-5700-00002E000000}" name="TIPO DE DOCUMENTO ACUDIENTE" dataDxfId="479"/>
    <tableColumn id="97" xr3:uid="{00000000-0010-0000-5700-000061000000}" name="NUMERO DE DOCUMENTO DEL ACUDIENTE" dataDxfId="478"/>
    <tableColumn id="47" xr3:uid="{00000000-0010-0000-5700-00002F000000}" name="PRIMER NOMBRE ACUDIENTE" dataDxfId="477"/>
    <tableColumn id="48" xr3:uid="{00000000-0010-0000-5700-000030000000}" name="SEGUNDO NOMBRE ACUDIENTE" dataDxfId="476"/>
    <tableColumn id="49" xr3:uid="{00000000-0010-0000-5700-000031000000}" name="PRIMER APELLIDO ACUDIENTE" dataDxfId="475"/>
    <tableColumn id="50" xr3:uid="{00000000-0010-0000-5700-000032000000}" name="SEGUNDO APELLIDO ACUDIENTE" dataDxfId="474"/>
    <tableColumn id="51" xr3:uid="{00000000-0010-0000-5700-000033000000}" name="FECHA DE NACIMIENTO ACUDIENTE" dataDxfId="473"/>
    <tableColumn id="53" xr3:uid="{00000000-0010-0000-5700-000035000000}" name="PAIS DE NACIMIENTO ACUDIENTE" dataDxfId="472"/>
    <tableColumn id="54" xr3:uid="{00000000-0010-0000-5700-000036000000}" name="DEPARTAMENTO DE NACIMIENTO ACUDIENTE" dataDxfId="471"/>
    <tableColumn id="55" xr3:uid="{00000000-0010-0000-5700-000037000000}" name="MUNICIPIO DE NACIMIENTO ACUDIENTE" dataDxfId="470"/>
    <tableColumn id="57" xr3:uid="{00000000-0010-0000-5700-000039000000}" name="TIPO DE DOCUMENTO PAPÁ" dataDxfId="469"/>
    <tableColumn id="98" xr3:uid="{00000000-0010-0000-5700-000062000000}" name="NUMERO DE DOCUMENTO DEL PAPÁ" dataDxfId="468"/>
    <tableColumn id="58" xr3:uid="{00000000-0010-0000-5700-00003A000000}" name="PRIMER NOMBRE PAPÁ" dataDxfId="467"/>
    <tableColumn id="59" xr3:uid="{00000000-0010-0000-5700-00003B000000}" name="SEGUNDO NOMBRE PAPÁ" dataDxfId="466"/>
    <tableColumn id="60" xr3:uid="{00000000-0010-0000-5700-00003C000000}" name="PRIMER APELLIDO PAPÁ" dataDxfId="465"/>
    <tableColumn id="61" xr3:uid="{00000000-0010-0000-5700-00003D000000}" name="SEGUNDO APELLIDO PAPÁ" dataDxfId="464"/>
    <tableColumn id="62" xr3:uid="{00000000-0010-0000-5700-00003E000000}" name="FECHA DE NACIMIENTO PAPÁ" dataDxfId="463"/>
    <tableColumn id="99" xr3:uid="{00000000-0010-0000-5700-000063000000}" name="EDAD PAPÁ (AÑOS)" dataDxfId="25">
      <calculatedColumnFormula>+IF(BV8&gt;0,DATEDIF(BV8,$B$1,"y"),"")</calculatedColumnFormula>
    </tableColumn>
    <tableColumn id="113" xr3:uid="{271FDC33-5DFC-4F5A-945A-A501A63F9789}" name="PAIS DE NACIMIENTO PAPÁ" dataDxfId="462"/>
    <tableColumn id="112" xr3:uid="{91FC8E4C-9212-4BA2-A3AC-FC97A52D9547}" name="DEPARTAMENTO DE NACIMIENTO PAPÁ" dataDxfId="461"/>
    <tableColumn id="111" xr3:uid="{435DE910-C1C0-40D7-A9B1-7DF5E934F699}" name="MUNICIPIO DE NACIMIENTO PAPÁ" dataDxfId="460"/>
    <tableColumn id="64" xr3:uid="{00000000-0010-0000-5700-000040000000}" name="TIPO DE DOCUMENTO MAMÁ" dataDxfId="459"/>
    <tableColumn id="100" xr3:uid="{00000000-0010-0000-5700-000064000000}" name="NUMERO DE DOCUMENTO DE LA MAMÁ" dataDxfId="458"/>
    <tableColumn id="65" xr3:uid="{00000000-0010-0000-5700-000041000000}" name="PRIMER NOMBRE MAMÁ" dataDxfId="457"/>
    <tableColumn id="66" xr3:uid="{00000000-0010-0000-5700-000042000000}" name="SEGUNDO NOMBRE MAMÁ" dataDxfId="456"/>
    <tableColumn id="67" xr3:uid="{00000000-0010-0000-5700-000043000000}" name="PRIMER APELLIDO MAMÁ" dataDxfId="455"/>
    <tableColumn id="68" xr3:uid="{00000000-0010-0000-5700-000044000000}" name="SEGUNDO APELLIDO MAMÁ" dataDxfId="454"/>
    <tableColumn id="69" xr3:uid="{00000000-0010-0000-5700-000045000000}" name="FECHA DE NACIMIENTO MAMÁ" dataDxfId="453"/>
    <tableColumn id="101" xr3:uid="{00000000-0010-0000-5700-000065000000}" name="EDAD MAMÁ" dataDxfId="24">
      <calculatedColumnFormula>+IF(CG8&gt;0,DATEDIF(CG8,$B$1,"y"),"")</calculatedColumnFormula>
    </tableColumn>
    <tableColumn id="116" xr3:uid="{DF23D44F-E7C1-45D1-9241-86631095270C}" name="PAIS DE NACIMIENTO MAMÁ" dataDxfId="452"/>
    <tableColumn id="115" xr3:uid="{A3ABEB7C-7AB7-452E-A6F3-E195CF4E2C7F}" name="DEPARTAMENTO DE NACIMIENTO MAMÁ" dataDxfId="451"/>
    <tableColumn id="114" xr3:uid="{DA53252E-A505-4854-B0DA-7550DAECADA3}" name="MUNICIPIO DE NACIMIENTO MAMÁ" dataDxfId="450"/>
    <tableColumn id="70" xr3:uid="{00000000-0010-0000-5700-000046000000}" name="REGIMEN" dataDxfId="449"/>
    <tableColumn id="71" xr3:uid="{00000000-0010-0000-5700-000047000000}" name="EPS" dataDxfId="448"/>
    <tableColumn id="72" xr3:uid="{00000000-0010-0000-5700-000048000000}" name="¿EL BENEFICIARIO CUENTA CON EL CARNET DE VACUNACIÓN? * " dataDxfId="447"/>
    <tableColumn id="73" xr3:uid="{00000000-0010-0000-5700-000049000000}" name=" FECHA DE VERIFICACIÓN DEL ESQUEMA DE VACUNACIÓN" dataDxfId="446"/>
    <tableColumn id="74" xr3:uid="{00000000-0010-0000-5700-00004A000000}" name="¿EL CARNET DE VACUNACIÓN SE ENCUENTRA AL DÍA EN LAS VACUNAS Y DOSIS QUE CORRESPONDEN A LA EDAD DEL NIÑO O NIÑA? * " dataDxfId="445"/>
    <tableColumn id="75" xr3:uid="{00000000-0010-0000-5700-00004B000000}" name="¿EL BENEFICIARIO PRESENTA CARNET DE CRECIMIENTO Y DESARROLLO? * " dataDxfId="444"/>
    <tableColumn id="76" xr3:uid="{00000000-0010-0000-5700-00004C000000}" name="SI EL NIÑO CUENTA CON EL CARNET, VERIFIQUE ¿CUÁNTOS CONTROLES DE CRECIMIENTO Y DESARROLLO HA RECIBIDO EL NIÑO, EN LOS ÚLTIMOS 6 MESES? " dataDxfId="443"/>
    <tableColumn id="77" xr3:uid="{00000000-0010-0000-5700-00004D000000}" name="ANTECEDENTE DE PREMATUREZ * " dataDxfId="442"/>
    <tableColumn id="78" xr3:uid="{00000000-0010-0000-5700-00004E000000}" name="A LA FECHA DE VALORACIÓN EL BENEFICIARIO TIENE MENOS DE 40 SEMANAS " dataDxfId="441"/>
    <tableColumn id="79" xr3:uid="{00000000-0010-0000-5700-00004F000000}" name="PERIMETRO CEFÁLICO" dataDxfId="440"/>
    <tableColumn id="80" xr3:uid="{00000000-0010-0000-5700-000050000000}" name="EDAD GESTACIONAL AL NACER * " dataDxfId="439"/>
    <tableColumn id="103" xr3:uid="{00000000-0010-0000-5700-000067000000}" name="PESO AL NACER (EN KILOGRAMOS) *" dataDxfId="438"/>
    <tableColumn id="95" xr3:uid="{00000000-0010-0000-5700-00005F000000}" name="TALLA AL NACER (EN CENTÍMETROS) *" dataDxfId="437"/>
    <tableColumn id="87" xr3:uid="{00000000-0010-0000-5700-000057000000}" name="SI EL NIÑO O NIÑA ES MENOR DE 6 MESES, ¿ESTÁ SIENDO ALIMENTADO CON LECHE MATERNA DE FORMA EXCLUSIVA?" dataDxfId="436"/>
    <tableColumn id="88" xr3:uid="{00000000-0010-0000-5700-000058000000}" name="DURACIÓN LACTANCIA MATERNA EXCLUSIVA (MESES)" dataDxfId="435"/>
    <tableColumn id="89" xr3:uid="{00000000-0010-0000-5700-000059000000}" name="DURACIÓN LACTANCIA MATERNA TOTAL (MESES)" dataDxfId="434"/>
    <tableColumn id="90" xr3:uid="{00000000-0010-0000-5700-00005A000000}" name="X" dataDxfId="433"/>
    <tableColumn id="94" xr3:uid="{00000000-0010-0000-5700-00005E000000}" name="TIPO COMPLEMENTO" dataDxfId="23"/>
    <tableColumn id="102" xr3:uid="{00000000-0010-0000-5700-000066000000}" name="SI EL BENEFICIARIO TIENE TICKET, INDIQUE EL NÚMERO DE TICKET" dataDxfId="43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table" Target="../tables/table25.xml"/><Relationship Id="rId21" Type="http://schemas.openxmlformats.org/officeDocument/2006/relationships/table" Target="../tables/table20.xml"/><Relationship Id="rId42" Type="http://schemas.openxmlformats.org/officeDocument/2006/relationships/table" Target="../tables/table41.xml"/><Relationship Id="rId47" Type="http://schemas.openxmlformats.org/officeDocument/2006/relationships/table" Target="../tables/table46.xml"/><Relationship Id="rId63" Type="http://schemas.openxmlformats.org/officeDocument/2006/relationships/table" Target="../tables/table62.xml"/><Relationship Id="rId68" Type="http://schemas.openxmlformats.org/officeDocument/2006/relationships/table" Target="../tables/table67.xml"/><Relationship Id="rId84" Type="http://schemas.openxmlformats.org/officeDocument/2006/relationships/table" Target="../tables/table83.xml"/><Relationship Id="rId89" Type="http://schemas.openxmlformats.org/officeDocument/2006/relationships/table" Target="../tables/table88.xml"/><Relationship Id="rId16" Type="http://schemas.openxmlformats.org/officeDocument/2006/relationships/table" Target="../tables/table15.xml"/><Relationship Id="rId11" Type="http://schemas.openxmlformats.org/officeDocument/2006/relationships/table" Target="../tables/table10.xml"/><Relationship Id="rId32" Type="http://schemas.openxmlformats.org/officeDocument/2006/relationships/table" Target="../tables/table31.xml"/><Relationship Id="rId37" Type="http://schemas.openxmlformats.org/officeDocument/2006/relationships/table" Target="../tables/table36.xml"/><Relationship Id="rId53" Type="http://schemas.openxmlformats.org/officeDocument/2006/relationships/table" Target="../tables/table52.xml"/><Relationship Id="rId58" Type="http://schemas.openxmlformats.org/officeDocument/2006/relationships/table" Target="../tables/table57.xml"/><Relationship Id="rId74" Type="http://schemas.openxmlformats.org/officeDocument/2006/relationships/table" Target="../tables/table73.xml"/><Relationship Id="rId79" Type="http://schemas.openxmlformats.org/officeDocument/2006/relationships/table" Target="../tables/table78.xml"/><Relationship Id="rId5" Type="http://schemas.openxmlformats.org/officeDocument/2006/relationships/table" Target="../tables/table4.xml"/><Relationship Id="rId90" Type="http://schemas.openxmlformats.org/officeDocument/2006/relationships/table" Target="../tables/table89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Relationship Id="rId27" Type="http://schemas.openxmlformats.org/officeDocument/2006/relationships/table" Target="../tables/table26.xml"/><Relationship Id="rId30" Type="http://schemas.openxmlformats.org/officeDocument/2006/relationships/table" Target="../tables/table29.xml"/><Relationship Id="rId35" Type="http://schemas.openxmlformats.org/officeDocument/2006/relationships/table" Target="../tables/table34.xml"/><Relationship Id="rId43" Type="http://schemas.openxmlformats.org/officeDocument/2006/relationships/table" Target="../tables/table42.xml"/><Relationship Id="rId48" Type="http://schemas.openxmlformats.org/officeDocument/2006/relationships/table" Target="../tables/table47.xml"/><Relationship Id="rId56" Type="http://schemas.openxmlformats.org/officeDocument/2006/relationships/table" Target="../tables/table55.xml"/><Relationship Id="rId64" Type="http://schemas.openxmlformats.org/officeDocument/2006/relationships/table" Target="../tables/table63.xml"/><Relationship Id="rId69" Type="http://schemas.openxmlformats.org/officeDocument/2006/relationships/table" Target="../tables/table68.xml"/><Relationship Id="rId77" Type="http://schemas.openxmlformats.org/officeDocument/2006/relationships/table" Target="../tables/table76.xml"/><Relationship Id="rId8" Type="http://schemas.openxmlformats.org/officeDocument/2006/relationships/table" Target="../tables/table7.xml"/><Relationship Id="rId51" Type="http://schemas.openxmlformats.org/officeDocument/2006/relationships/table" Target="../tables/table50.xml"/><Relationship Id="rId72" Type="http://schemas.openxmlformats.org/officeDocument/2006/relationships/table" Target="../tables/table71.xml"/><Relationship Id="rId80" Type="http://schemas.openxmlformats.org/officeDocument/2006/relationships/table" Target="../tables/table79.xml"/><Relationship Id="rId85" Type="http://schemas.openxmlformats.org/officeDocument/2006/relationships/table" Target="../tables/table84.xml"/><Relationship Id="rId3" Type="http://schemas.openxmlformats.org/officeDocument/2006/relationships/table" Target="../tables/table2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5" Type="http://schemas.openxmlformats.org/officeDocument/2006/relationships/table" Target="../tables/table24.xml"/><Relationship Id="rId33" Type="http://schemas.openxmlformats.org/officeDocument/2006/relationships/table" Target="../tables/table32.xml"/><Relationship Id="rId38" Type="http://schemas.openxmlformats.org/officeDocument/2006/relationships/table" Target="../tables/table37.xml"/><Relationship Id="rId46" Type="http://schemas.openxmlformats.org/officeDocument/2006/relationships/table" Target="../tables/table45.xml"/><Relationship Id="rId59" Type="http://schemas.openxmlformats.org/officeDocument/2006/relationships/table" Target="../tables/table58.xml"/><Relationship Id="rId67" Type="http://schemas.openxmlformats.org/officeDocument/2006/relationships/table" Target="../tables/table66.xml"/><Relationship Id="rId20" Type="http://schemas.openxmlformats.org/officeDocument/2006/relationships/table" Target="../tables/table19.xml"/><Relationship Id="rId41" Type="http://schemas.openxmlformats.org/officeDocument/2006/relationships/table" Target="../tables/table40.xml"/><Relationship Id="rId54" Type="http://schemas.openxmlformats.org/officeDocument/2006/relationships/table" Target="../tables/table53.xml"/><Relationship Id="rId62" Type="http://schemas.openxmlformats.org/officeDocument/2006/relationships/table" Target="../tables/table61.xml"/><Relationship Id="rId70" Type="http://schemas.openxmlformats.org/officeDocument/2006/relationships/table" Target="../tables/table69.xml"/><Relationship Id="rId75" Type="http://schemas.openxmlformats.org/officeDocument/2006/relationships/table" Target="../tables/table74.xml"/><Relationship Id="rId83" Type="http://schemas.openxmlformats.org/officeDocument/2006/relationships/table" Target="../tables/table82.xml"/><Relationship Id="rId88" Type="http://schemas.openxmlformats.org/officeDocument/2006/relationships/table" Target="../tables/table87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28" Type="http://schemas.openxmlformats.org/officeDocument/2006/relationships/table" Target="../tables/table27.xml"/><Relationship Id="rId36" Type="http://schemas.openxmlformats.org/officeDocument/2006/relationships/table" Target="../tables/table35.xml"/><Relationship Id="rId49" Type="http://schemas.openxmlformats.org/officeDocument/2006/relationships/table" Target="../tables/table48.xml"/><Relationship Id="rId57" Type="http://schemas.openxmlformats.org/officeDocument/2006/relationships/table" Target="../tables/table56.xml"/><Relationship Id="rId10" Type="http://schemas.openxmlformats.org/officeDocument/2006/relationships/table" Target="../tables/table9.xml"/><Relationship Id="rId31" Type="http://schemas.openxmlformats.org/officeDocument/2006/relationships/table" Target="../tables/table30.xml"/><Relationship Id="rId44" Type="http://schemas.openxmlformats.org/officeDocument/2006/relationships/table" Target="../tables/table43.xml"/><Relationship Id="rId52" Type="http://schemas.openxmlformats.org/officeDocument/2006/relationships/table" Target="../tables/table51.xml"/><Relationship Id="rId60" Type="http://schemas.openxmlformats.org/officeDocument/2006/relationships/table" Target="../tables/table59.xml"/><Relationship Id="rId65" Type="http://schemas.openxmlformats.org/officeDocument/2006/relationships/table" Target="../tables/table64.xml"/><Relationship Id="rId73" Type="http://schemas.openxmlformats.org/officeDocument/2006/relationships/table" Target="../tables/table72.xml"/><Relationship Id="rId78" Type="http://schemas.openxmlformats.org/officeDocument/2006/relationships/table" Target="../tables/table77.xml"/><Relationship Id="rId81" Type="http://schemas.openxmlformats.org/officeDocument/2006/relationships/table" Target="../tables/table80.xml"/><Relationship Id="rId86" Type="http://schemas.openxmlformats.org/officeDocument/2006/relationships/table" Target="../tables/table85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9" Type="http://schemas.openxmlformats.org/officeDocument/2006/relationships/table" Target="../tables/table38.xml"/><Relationship Id="rId34" Type="http://schemas.openxmlformats.org/officeDocument/2006/relationships/table" Target="../tables/table33.xml"/><Relationship Id="rId50" Type="http://schemas.openxmlformats.org/officeDocument/2006/relationships/table" Target="../tables/table49.xml"/><Relationship Id="rId55" Type="http://schemas.openxmlformats.org/officeDocument/2006/relationships/table" Target="../tables/table54.xml"/><Relationship Id="rId76" Type="http://schemas.openxmlformats.org/officeDocument/2006/relationships/table" Target="../tables/table75.xml"/><Relationship Id="rId7" Type="http://schemas.openxmlformats.org/officeDocument/2006/relationships/table" Target="../tables/table6.xml"/><Relationship Id="rId71" Type="http://schemas.openxmlformats.org/officeDocument/2006/relationships/table" Target="../tables/table70.xml"/><Relationship Id="rId2" Type="http://schemas.openxmlformats.org/officeDocument/2006/relationships/table" Target="../tables/table1.xml"/><Relationship Id="rId29" Type="http://schemas.openxmlformats.org/officeDocument/2006/relationships/table" Target="../tables/table28.xml"/><Relationship Id="rId24" Type="http://schemas.openxmlformats.org/officeDocument/2006/relationships/table" Target="../tables/table23.xml"/><Relationship Id="rId40" Type="http://schemas.openxmlformats.org/officeDocument/2006/relationships/table" Target="../tables/table39.xml"/><Relationship Id="rId45" Type="http://schemas.openxmlformats.org/officeDocument/2006/relationships/table" Target="../tables/table44.xml"/><Relationship Id="rId66" Type="http://schemas.openxmlformats.org/officeDocument/2006/relationships/table" Target="../tables/table65.xml"/><Relationship Id="rId87" Type="http://schemas.openxmlformats.org/officeDocument/2006/relationships/table" Target="../tables/table86.xml"/><Relationship Id="rId61" Type="http://schemas.openxmlformats.org/officeDocument/2006/relationships/table" Target="../tables/table60.xml"/><Relationship Id="rId82" Type="http://schemas.openxmlformats.org/officeDocument/2006/relationships/table" Target="../tables/table81.xml"/><Relationship Id="rId19" Type="http://schemas.openxmlformats.org/officeDocument/2006/relationships/table" Target="../tables/table1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2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microsoft.com/office/2007/relationships/slicer" Target="../slicers/slicer3.xm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3.xml"/><Relationship Id="rId13" Type="http://schemas.openxmlformats.org/officeDocument/2006/relationships/pivotTable" Target="../pivotTables/pivotTable18.xml"/><Relationship Id="rId18" Type="http://schemas.microsoft.com/office/2007/relationships/slicer" Target="../slicers/slicer4.xml"/><Relationship Id="rId3" Type="http://schemas.openxmlformats.org/officeDocument/2006/relationships/pivotTable" Target="../pivotTables/pivotTable8.xml"/><Relationship Id="rId7" Type="http://schemas.openxmlformats.org/officeDocument/2006/relationships/pivotTable" Target="../pivotTables/pivotTable12.xml"/><Relationship Id="rId12" Type="http://schemas.openxmlformats.org/officeDocument/2006/relationships/pivotTable" Target="../pivotTables/pivotTable17.xml"/><Relationship Id="rId17" Type="http://schemas.openxmlformats.org/officeDocument/2006/relationships/drawing" Target="../drawings/drawing4.xml"/><Relationship Id="rId2" Type="http://schemas.openxmlformats.org/officeDocument/2006/relationships/pivotTable" Target="../pivotTables/pivotTable7.xml"/><Relationship Id="rId16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6.xml"/><Relationship Id="rId6" Type="http://schemas.openxmlformats.org/officeDocument/2006/relationships/pivotTable" Target="../pivotTables/pivotTable11.xml"/><Relationship Id="rId11" Type="http://schemas.openxmlformats.org/officeDocument/2006/relationships/pivotTable" Target="../pivotTables/pivotTable16.xml"/><Relationship Id="rId5" Type="http://schemas.openxmlformats.org/officeDocument/2006/relationships/pivotTable" Target="../pivotTables/pivotTable10.xml"/><Relationship Id="rId15" Type="http://schemas.openxmlformats.org/officeDocument/2006/relationships/pivotTable" Target="../pivotTables/pivotTable20.xml"/><Relationship Id="rId10" Type="http://schemas.openxmlformats.org/officeDocument/2006/relationships/pivotTable" Target="../pivotTables/pivotTable15.xml"/><Relationship Id="rId4" Type="http://schemas.openxmlformats.org/officeDocument/2006/relationships/pivotTable" Target="../pivotTables/pivotTable9.xml"/><Relationship Id="rId9" Type="http://schemas.openxmlformats.org/officeDocument/2006/relationships/pivotTable" Target="../pivotTables/pivotTable14.xml"/><Relationship Id="rId14" Type="http://schemas.openxmlformats.org/officeDocument/2006/relationships/pivotTable" Target="../pivotTables/pivot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AY1326"/>
  <sheetViews>
    <sheetView topLeftCell="L1" zoomScale="85" zoomScaleNormal="85" workbookViewId="0">
      <selection activeCell="AU6" sqref="AU6"/>
    </sheetView>
  </sheetViews>
  <sheetFormatPr baseColWidth="10" defaultRowHeight="14.4" x14ac:dyDescent="0.3"/>
  <cols>
    <col min="1" max="1" width="1.6640625" customWidth="1"/>
    <col min="2" max="2" width="11.44140625" customWidth="1"/>
    <col min="3" max="3" width="1.6640625" customWidth="1"/>
    <col min="4" max="4" width="22.44140625" customWidth="1"/>
    <col min="5" max="5" width="1.6640625" customWidth="1"/>
    <col min="6" max="6" width="15.77734375" bestFit="1" customWidth="1"/>
    <col min="7" max="7" width="1.6640625" customWidth="1"/>
    <col min="8" max="8" width="21.33203125" style="2" bestFit="1" customWidth="1"/>
    <col min="9" max="9" width="1.6640625" customWidth="1"/>
    <col min="11" max="11" width="1.6640625" customWidth="1"/>
    <col min="12" max="12" width="41" customWidth="1"/>
    <col min="13" max="13" width="1.6640625" customWidth="1"/>
    <col min="14" max="14" width="13" customWidth="1"/>
    <col min="15" max="15" width="1.6640625" customWidth="1"/>
    <col min="17" max="17" width="1.6640625" customWidth="1"/>
    <col min="18" max="18" width="13.44140625" customWidth="1"/>
    <col min="19" max="19" width="1.6640625" customWidth="1"/>
    <col min="20" max="20" width="19.44140625" customWidth="1"/>
    <col min="21" max="21" width="1.6640625" customWidth="1"/>
    <col min="22" max="22" width="19.77734375" customWidth="1"/>
    <col min="23" max="23" width="1.6640625" customWidth="1"/>
    <col min="25" max="25" width="1.6640625" customWidth="1"/>
    <col min="26" max="26" width="18.77734375" bestFit="1" customWidth="1"/>
    <col min="27" max="27" width="1.6640625" customWidth="1"/>
    <col min="29" max="29" width="1.6640625" customWidth="1"/>
    <col min="31" max="31" width="1.6640625" customWidth="1"/>
    <col min="32" max="32" width="13.109375" style="2" customWidth="1"/>
    <col min="33" max="33" width="1.6640625" customWidth="1"/>
    <col min="34" max="34" width="19" customWidth="1"/>
    <col min="35" max="35" width="1.6640625" customWidth="1"/>
    <col min="36" max="36" width="22.6640625" customWidth="1"/>
    <col min="38" max="38" width="13.77734375" customWidth="1"/>
    <col min="40" max="40" width="15" bestFit="1" customWidth="1"/>
    <col min="42" max="42" width="74.109375" customWidth="1"/>
    <col min="44" max="44" width="11.44140625" style="1"/>
  </cols>
  <sheetData>
    <row r="2" spans="2:51" ht="43.2" x14ac:dyDescent="0.3">
      <c r="B2" t="s">
        <v>2426</v>
      </c>
      <c r="D2" s="2" t="s">
        <v>0</v>
      </c>
      <c r="F2" s="2" t="s">
        <v>7</v>
      </c>
      <c r="H2" s="2" t="s">
        <v>8</v>
      </c>
      <c r="I2" s="2"/>
      <c r="J2" s="2" t="s">
        <v>128</v>
      </c>
      <c r="K2" s="2"/>
      <c r="L2" s="2" t="s">
        <v>2675</v>
      </c>
      <c r="M2" s="2"/>
      <c r="N2" s="2" t="s">
        <v>2506</v>
      </c>
      <c r="O2" s="2"/>
      <c r="P2" s="2" t="s">
        <v>137</v>
      </c>
      <c r="Q2" s="2"/>
      <c r="R2" s="2" t="s">
        <v>142</v>
      </c>
      <c r="S2" s="2"/>
      <c r="T2" s="2" t="s">
        <v>2431</v>
      </c>
      <c r="U2" s="2"/>
      <c r="V2" s="2" t="s">
        <v>143</v>
      </c>
      <c r="X2" s="2" t="s">
        <v>163</v>
      </c>
      <c r="Z2" s="2" t="s">
        <v>160</v>
      </c>
      <c r="AB2" s="28" t="s">
        <v>2432</v>
      </c>
      <c r="AD2" s="2" t="s">
        <v>0</v>
      </c>
      <c r="AF2" s="2" t="s">
        <v>2442</v>
      </c>
      <c r="AH2" s="2" t="s">
        <v>2500</v>
      </c>
      <c r="AJ2" t="s">
        <v>2382</v>
      </c>
      <c r="AL2" s="70" t="s">
        <v>2491</v>
      </c>
      <c r="AM2" s="67" t="s">
        <v>3630</v>
      </c>
      <c r="AN2" s="63" t="s">
        <v>3693</v>
      </c>
      <c r="AP2" s="2" t="s">
        <v>3622</v>
      </c>
      <c r="AR2" s="1" t="s">
        <v>3651</v>
      </c>
      <c r="AT2" s="2" t="s">
        <v>2492</v>
      </c>
      <c r="AU2" s="2" t="s">
        <v>2493</v>
      </c>
    </row>
    <row r="3" spans="2:51" ht="43.2" x14ac:dyDescent="0.3">
      <c r="B3" t="s">
        <v>2427</v>
      </c>
      <c r="D3" s="2" t="s">
        <v>1</v>
      </c>
      <c r="F3" s="2" t="s">
        <v>8</v>
      </c>
      <c r="H3" s="2" t="s">
        <v>14</v>
      </c>
      <c r="J3" s="2" t="s">
        <v>129</v>
      </c>
      <c r="L3" s="2" t="s">
        <v>133</v>
      </c>
      <c r="M3" s="2"/>
      <c r="N3" s="2" t="s">
        <v>2507</v>
      </c>
      <c r="P3" s="2" t="s">
        <v>2495</v>
      </c>
      <c r="R3" s="2">
        <v>1</v>
      </c>
      <c r="S3" s="2"/>
      <c r="T3" s="2" t="s">
        <v>143</v>
      </c>
      <c r="V3" s="2" t="s">
        <v>152</v>
      </c>
      <c r="X3" s="13" t="s">
        <v>233</v>
      </c>
      <c r="Z3" s="23" t="s">
        <v>1452</v>
      </c>
      <c r="AB3" s="2" t="s">
        <v>2433</v>
      </c>
      <c r="AD3" s="2" t="s">
        <v>2</v>
      </c>
      <c r="AF3" s="2" t="s">
        <v>2443</v>
      </c>
      <c r="AH3" s="2" t="s">
        <v>2494</v>
      </c>
      <c r="AJ3" t="s">
        <v>2497</v>
      </c>
      <c r="AL3" s="71" t="s">
        <v>2536</v>
      </c>
      <c r="AM3" s="68" t="s">
        <v>3629</v>
      </c>
      <c r="AN3" s="32">
        <v>110011138464</v>
      </c>
      <c r="AP3" s="2" t="s">
        <v>3607</v>
      </c>
      <c r="AR3" s="1" t="s">
        <v>3652</v>
      </c>
      <c r="AT3" s="2" t="s">
        <v>4029</v>
      </c>
      <c r="AU3" s="2" t="s">
        <v>3697</v>
      </c>
      <c r="AY3" s="116"/>
    </row>
    <row r="4" spans="2:51" ht="43.2" x14ac:dyDescent="0.3">
      <c r="B4" t="s">
        <v>2428</v>
      </c>
      <c r="D4" s="2" t="s">
        <v>2</v>
      </c>
      <c r="F4" s="2" t="s">
        <v>9</v>
      </c>
      <c r="H4" s="2" t="s">
        <v>15</v>
      </c>
      <c r="J4" s="2" t="s">
        <v>130</v>
      </c>
      <c r="L4" s="2" t="s">
        <v>134</v>
      </c>
      <c r="M4" s="2"/>
      <c r="N4" s="2" t="s">
        <v>2508</v>
      </c>
      <c r="P4" s="2" t="s">
        <v>2496</v>
      </c>
      <c r="R4" s="2">
        <v>2</v>
      </c>
      <c r="S4" s="2"/>
      <c r="T4" s="2" t="s">
        <v>2430</v>
      </c>
      <c r="V4" s="2" t="s">
        <v>153</v>
      </c>
      <c r="X4" s="14" t="s">
        <v>200</v>
      </c>
      <c r="Z4" s="23" t="s">
        <v>1417</v>
      </c>
      <c r="AB4" s="2" t="s">
        <v>2434</v>
      </c>
      <c r="AD4" s="2" t="s">
        <v>3</v>
      </c>
      <c r="AF4" s="2" t="s">
        <v>2444</v>
      </c>
      <c r="AH4" s="2" t="s">
        <v>3626</v>
      </c>
      <c r="AJ4" t="s">
        <v>2498</v>
      </c>
      <c r="AL4" s="71" t="s">
        <v>2537</v>
      </c>
      <c r="AM4" s="68" t="s">
        <v>3632</v>
      </c>
      <c r="AN4" s="32">
        <v>110011138478</v>
      </c>
      <c r="AP4" s="2" t="s">
        <v>3608</v>
      </c>
      <c r="AR4" s="1" t="s">
        <v>3593</v>
      </c>
      <c r="AT4" s="2" t="s">
        <v>4046</v>
      </c>
      <c r="AU4" s="2" t="s">
        <v>4048</v>
      </c>
      <c r="AY4" s="116"/>
    </row>
    <row r="5" spans="2:51" ht="43.2" x14ac:dyDescent="0.3">
      <c r="D5" s="2" t="s">
        <v>3</v>
      </c>
      <c r="F5" s="2" t="s">
        <v>10</v>
      </c>
      <c r="H5" s="2" t="s">
        <v>16</v>
      </c>
      <c r="L5" s="2" t="s">
        <v>135</v>
      </c>
      <c r="M5" s="2"/>
      <c r="N5" s="2" t="s">
        <v>2509</v>
      </c>
      <c r="R5" s="2">
        <v>3</v>
      </c>
      <c r="S5" s="2"/>
      <c r="T5" s="2" t="s">
        <v>2604</v>
      </c>
      <c r="V5" s="2" t="s">
        <v>144</v>
      </c>
      <c r="X5" s="14" t="s">
        <v>201</v>
      </c>
      <c r="Z5" s="23" t="s">
        <v>1418</v>
      </c>
      <c r="AB5" s="2" t="s">
        <v>2438</v>
      </c>
      <c r="AD5" s="2" t="s">
        <v>4</v>
      </c>
      <c r="AF5" s="2" t="s">
        <v>2445</v>
      </c>
      <c r="AH5" s="2" t="s">
        <v>3627</v>
      </c>
      <c r="AJ5" t="s">
        <v>2499</v>
      </c>
      <c r="AL5" s="71" t="s">
        <v>2538</v>
      </c>
      <c r="AM5" s="68" t="s">
        <v>3631</v>
      </c>
      <c r="AN5" s="32">
        <v>110011138630</v>
      </c>
      <c r="AP5" s="2" t="s">
        <v>3609</v>
      </c>
      <c r="AR5" s="1" t="s">
        <v>3601</v>
      </c>
      <c r="AT5" s="2" t="s">
        <v>4077</v>
      </c>
      <c r="AU5" s="2" t="s">
        <v>4407</v>
      </c>
      <c r="AY5" s="116"/>
    </row>
    <row r="6" spans="2:51" ht="57.6" x14ac:dyDescent="0.3">
      <c r="D6" s="2" t="s">
        <v>4</v>
      </c>
      <c r="F6" s="2" t="s">
        <v>11</v>
      </c>
      <c r="H6" s="2" t="s">
        <v>17</v>
      </c>
      <c r="L6" s="2" t="s">
        <v>136</v>
      </c>
      <c r="M6" s="2"/>
      <c r="N6" s="2" t="s">
        <v>2510</v>
      </c>
      <c r="P6" t="s">
        <v>2496</v>
      </c>
      <c r="V6" s="2" t="s">
        <v>145</v>
      </c>
      <c r="X6" s="14" t="s">
        <v>167</v>
      </c>
      <c r="Z6" s="23" t="s">
        <v>1419</v>
      </c>
      <c r="AB6" s="2" t="s">
        <v>2439</v>
      </c>
      <c r="AD6" s="2" t="s">
        <v>6</v>
      </c>
      <c r="AF6" s="2" t="s">
        <v>2490</v>
      </c>
      <c r="AH6" s="2" t="s">
        <v>4030</v>
      </c>
      <c r="AL6" s="71" t="s">
        <v>2539</v>
      </c>
      <c r="AM6" s="68" t="s">
        <v>3633</v>
      </c>
      <c r="AN6" s="32">
        <v>110011138489</v>
      </c>
      <c r="AP6" s="2" t="s">
        <v>3610</v>
      </c>
      <c r="AR6" s="1" t="s">
        <v>3592</v>
      </c>
      <c r="AT6" s="2" t="s">
        <v>4406</v>
      </c>
      <c r="AU6" s="2" t="s">
        <v>3703</v>
      </c>
      <c r="AY6" s="116"/>
    </row>
    <row r="7" spans="2:51" ht="57.6" x14ac:dyDescent="0.3">
      <c r="D7" s="2" t="s">
        <v>6</v>
      </c>
      <c r="F7" s="2" t="s">
        <v>12</v>
      </c>
      <c r="H7" s="2" t="s">
        <v>116</v>
      </c>
      <c r="N7" s="2" t="s">
        <v>2511</v>
      </c>
      <c r="P7" t="s">
        <v>2496</v>
      </c>
      <c r="T7" s="1" t="s">
        <v>141</v>
      </c>
      <c r="V7" s="2" t="s">
        <v>158</v>
      </c>
      <c r="X7" s="14" t="s">
        <v>234</v>
      </c>
      <c r="Z7" s="23" t="s">
        <v>1481</v>
      </c>
      <c r="AB7" s="2" t="s">
        <v>2440</v>
      </c>
      <c r="AD7" s="2" t="s">
        <v>5</v>
      </c>
      <c r="AL7" s="71" t="s">
        <v>3679</v>
      </c>
      <c r="AM7" s="68" t="s">
        <v>3634</v>
      </c>
      <c r="AN7" s="32">
        <v>1100100133506</v>
      </c>
      <c r="AP7" s="2" t="s">
        <v>3611</v>
      </c>
      <c r="AR7" s="1" t="s">
        <v>3606</v>
      </c>
      <c r="AT7" s="2" t="s">
        <v>4072</v>
      </c>
      <c r="AU7" s="2" t="s">
        <v>4073</v>
      </c>
      <c r="AY7" s="116"/>
    </row>
    <row r="8" spans="2:51" ht="86.4" x14ac:dyDescent="0.3">
      <c r="D8" s="2" t="s">
        <v>5</v>
      </c>
      <c r="F8" s="2" t="s">
        <v>13</v>
      </c>
      <c r="H8" s="2" t="s">
        <v>18</v>
      </c>
      <c r="N8" s="2" t="s">
        <v>2512</v>
      </c>
      <c r="T8" s="1" t="s">
        <v>2608</v>
      </c>
      <c r="V8" s="2" t="s">
        <v>159</v>
      </c>
      <c r="X8" s="14" t="s">
        <v>219</v>
      </c>
      <c r="Z8" s="23" t="s">
        <v>1420</v>
      </c>
      <c r="AB8" s="2" t="s">
        <v>2435</v>
      </c>
      <c r="AF8" s="2" t="s">
        <v>2443</v>
      </c>
      <c r="AL8" s="71" t="s">
        <v>3680</v>
      </c>
      <c r="AM8" s="68" t="s">
        <v>3635</v>
      </c>
      <c r="AN8" s="32">
        <v>1100100133300</v>
      </c>
      <c r="AP8" s="2" t="s">
        <v>3612</v>
      </c>
      <c r="AR8" s="1" t="s">
        <v>3594</v>
      </c>
      <c r="AT8" s="2" t="s">
        <v>4074</v>
      </c>
      <c r="AU8" s="2" t="s">
        <v>4039</v>
      </c>
      <c r="AY8" s="116"/>
    </row>
    <row r="9" spans="2:51" ht="43.2" x14ac:dyDescent="0.3">
      <c r="D9" s="2" t="s">
        <v>4036</v>
      </c>
      <c r="H9" s="2" t="s">
        <v>19</v>
      </c>
      <c r="L9" s="2"/>
      <c r="N9" s="2" t="s">
        <v>2513</v>
      </c>
      <c r="P9" t="s">
        <v>2495</v>
      </c>
      <c r="V9" s="2" t="s">
        <v>160</v>
      </c>
      <c r="X9" s="14" t="s">
        <v>168</v>
      </c>
      <c r="Z9" s="23" t="s">
        <v>1421</v>
      </c>
      <c r="AB9" s="2" t="s">
        <v>2436</v>
      </c>
      <c r="AF9" s="2" t="s">
        <v>2447</v>
      </c>
      <c r="AL9" s="37" t="s">
        <v>2541</v>
      </c>
      <c r="AM9" s="68" t="s">
        <v>3636</v>
      </c>
      <c r="AN9" s="32">
        <v>110011143202</v>
      </c>
      <c r="AP9" s="2" t="s">
        <v>3613</v>
      </c>
      <c r="AR9" s="1" t="s">
        <v>3602</v>
      </c>
      <c r="AT9" s="2" t="s">
        <v>4075</v>
      </c>
      <c r="AU9" s="2" t="s">
        <v>4040</v>
      </c>
    </row>
    <row r="10" spans="2:51" ht="86.4" x14ac:dyDescent="0.3">
      <c r="D10" s="2" t="s">
        <v>4065</v>
      </c>
      <c r="F10" s="3" t="s">
        <v>9</v>
      </c>
      <c r="H10" s="2" t="s">
        <v>20</v>
      </c>
      <c r="N10" s="2" t="s">
        <v>2514</v>
      </c>
      <c r="P10" t="s">
        <v>2495</v>
      </c>
      <c r="T10" s="1" t="s">
        <v>2607</v>
      </c>
      <c r="V10" s="2" t="s">
        <v>146</v>
      </c>
      <c r="X10" s="14" t="s">
        <v>169</v>
      </c>
      <c r="Z10" s="23" t="s">
        <v>1422</v>
      </c>
      <c r="AB10" s="2" t="s">
        <v>2437</v>
      </c>
      <c r="AF10" s="2" t="s">
        <v>2448</v>
      </c>
      <c r="AL10" s="78" t="s">
        <v>2540</v>
      </c>
      <c r="AM10" s="68" t="s">
        <v>3637</v>
      </c>
      <c r="AN10" s="32">
        <v>110011143206</v>
      </c>
      <c r="AP10" s="2" t="s">
        <v>3614</v>
      </c>
      <c r="AR10" s="1" t="s">
        <v>3591</v>
      </c>
      <c r="AT10" s="2" t="s">
        <v>4076</v>
      </c>
      <c r="AU10" s="2" t="s">
        <v>4047</v>
      </c>
    </row>
    <row r="11" spans="2:51" ht="43.2" x14ac:dyDescent="0.3">
      <c r="F11" s="1" t="s">
        <v>45</v>
      </c>
      <c r="H11" s="2" t="s">
        <v>21</v>
      </c>
      <c r="N11" s="2" t="s">
        <v>2515</v>
      </c>
      <c r="P11" t="s">
        <v>2496</v>
      </c>
      <c r="T11" s="1" t="s">
        <v>2606</v>
      </c>
      <c r="V11" s="2" t="s">
        <v>154</v>
      </c>
      <c r="X11" s="14" t="s">
        <v>202</v>
      </c>
      <c r="Z11" s="23" t="s">
        <v>1453</v>
      </c>
      <c r="AB11" s="2" t="s">
        <v>2615</v>
      </c>
      <c r="AF11" s="2" t="s">
        <v>2449</v>
      </c>
      <c r="AL11" s="71" t="s">
        <v>2542</v>
      </c>
      <c r="AM11" s="68" t="s">
        <v>3638</v>
      </c>
      <c r="AN11" s="32">
        <v>110011114624</v>
      </c>
      <c r="AP11" s="2" t="s">
        <v>3615</v>
      </c>
      <c r="AR11" s="1" t="s">
        <v>3595</v>
      </c>
    </row>
    <row r="12" spans="2:51" ht="28.8" x14ac:dyDescent="0.3">
      <c r="F12" s="1"/>
      <c r="H12" s="2" t="s">
        <v>22</v>
      </c>
      <c r="N12" s="2" t="s">
        <v>2516</v>
      </c>
      <c r="V12" s="2" t="s">
        <v>161</v>
      </c>
      <c r="X12" s="14" t="s">
        <v>256</v>
      </c>
      <c r="Z12" s="23" t="s">
        <v>1480</v>
      </c>
      <c r="AB12" s="2" t="s">
        <v>2606</v>
      </c>
      <c r="AF12" s="2" t="s">
        <v>2451</v>
      </c>
      <c r="AL12" s="71" t="s">
        <v>2543</v>
      </c>
      <c r="AM12" s="68" t="s">
        <v>3639</v>
      </c>
      <c r="AN12" s="32">
        <v>110011114525</v>
      </c>
      <c r="AP12" s="2" t="s">
        <v>3616</v>
      </c>
      <c r="AR12" s="1" t="s">
        <v>3653</v>
      </c>
    </row>
    <row r="13" spans="2:51" ht="57.6" x14ac:dyDescent="0.3">
      <c r="F13" s="4" t="s">
        <v>10</v>
      </c>
      <c r="H13" s="2" t="s">
        <v>23</v>
      </c>
      <c r="N13" s="2" t="s">
        <v>2517</v>
      </c>
      <c r="V13" s="2" t="s">
        <v>155</v>
      </c>
      <c r="X13" s="14" t="s">
        <v>257</v>
      </c>
      <c r="Z13" s="23" t="s">
        <v>1482</v>
      </c>
      <c r="AF13" s="2" t="s">
        <v>2453</v>
      </c>
      <c r="AL13" s="71" t="s">
        <v>2544</v>
      </c>
      <c r="AM13" s="68" t="s">
        <v>3640</v>
      </c>
      <c r="AN13" s="32">
        <v>110011138495</v>
      </c>
      <c r="AP13" s="2" t="s">
        <v>3617</v>
      </c>
      <c r="AR13" s="1" t="s">
        <v>3600</v>
      </c>
    </row>
    <row r="14" spans="2:51" ht="28.8" x14ac:dyDescent="0.3">
      <c r="F14" s="1" t="s">
        <v>45</v>
      </c>
      <c r="H14" s="2" t="s">
        <v>24</v>
      </c>
      <c r="N14" s="2" t="s">
        <v>2518</v>
      </c>
      <c r="P14" s="1" t="s">
        <v>138</v>
      </c>
      <c r="V14" s="2" t="s">
        <v>156</v>
      </c>
      <c r="X14" s="14" t="s">
        <v>235</v>
      </c>
      <c r="Z14" s="23" t="s">
        <v>1471</v>
      </c>
      <c r="AF14" s="2" t="s">
        <v>2455</v>
      </c>
      <c r="AL14" s="71" t="s">
        <v>2545</v>
      </c>
      <c r="AM14" s="68" t="s">
        <v>3641</v>
      </c>
      <c r="AN14" s="32">
        <v>1100100133329</v>
      </c>
      <c r="AP14" s="2" t="s">
        <v>3618</v>
      </c>
      <c r="AR14" s="1" t="s">
        <v>3605</v>
      </c>
    </row>
    <row r="15" spans="2:51" ht="43.2" x14ac:dyDescent="0.3">
      <c r="F15" s="1"/>
      <c r="H15" s="2" t="s">
        <v>25</v>
      </c>
      <c r="P15" s="1" t="s">
        <v>8</v>
      </c>
      <c r="V15" s="2" t="s">
        <v>162</v>
      </c>
      <c r="X15" s="14" t="s">
        <v>236</v>
      </c>
      <c r="Z15" s="23" t="s">
        <v>1423</v>
      </c>
      <c r="AF15" s="2" t="s">
        <v>2457</v>
      </c>
      <c r="AL15" s="71" t="s">
        <v>2546</v>
      </c>
      <c r="AM15" s="68" t="s">
        <v>3642</v>
      </c>
      <c r="AN15" s="32">
        <v>110011138502</v>
      </c>
      <c r="AP15" s="2" t="s">
        <v>3619</v>
      </c>
      <c r="AR15" s="1" t="s">
        <v>3590</v>
      </c>
    </row>
    <row r="16" spans="2:51" ht="43.2" x14ac:dyDescent="0.3">
      <c r="F16" s="4" t="s">
        <v>11</v>
      </c>
      <c r="H16" s="2" t="s">
        <v>2642</v>
      </c>
      <c r="V16" s="2" t="s">
        <v>157</v>
      </c>
      <c r="X16" s="14" t="s">
        <v>190</v>
      </c>
      <c r="Z16" s="23" t="s">
        <v>1424</v>
      </c>
      <c r="AF16" s="2" t="s">
        <v>2459</v>
      </c>
      <c r="AL16" s="71" t="s">
        <v>2547</v>
      </c>
      <c r="AM16" s="68" t="s">
        <v>3643</v>
      </c>
      <c r="AN16" s="32">
        <v>1100100133013</v>
      </c>
      <c r="AP16" s="2" t="s">
        <v>3620</v>
      </c>
      <c r="AR16" s="1" t="s">
        <v>3598</v>
      </c>
    </row>
    <row r="17" spans="6:44" ht="43.2" x14ac:dyDescent="0.3">
      <c r="F17" s="1" t="s">
        <v>45</v>
      </c>
      <c r="H17" s="2" t="s">
        <v>26</v>
      </c>
      <c r="P17" t="s">
        <v>139</v>
      </c>
      <c r="V17" s="2" t="s">
        <v>147</v>
      </c>
      <c r="X17" s="14" t="s">
        <v>258</v>
      </c>
      <c r="Z17" s="23" t="s">
        <v>1495</v>
      </c>
      <c r="AF17" s="2" t="s">
        <v>2461</v>
      </c>
      <c r="AL17" s="71" t="s">
        <v>2548</v>
      </c>
      <c r="AM17" s="68" t="s">
        <v>3644</v>
      </c>
      <c r="AN17" s="32">
        <v>110011138410</v>
      </c>
      <c r="AP17" s="2" t="s">
        <v>3654</v>
      </c>
      <c r="AR17" s="1" t="s">
        <v>3603</v>
      </c>
    </row>
    <row r="18" spans="6:44" ht="28.8" x14ac:dyDescent="0.3">
      <c r="F18" s="1"/>
      <c r="H18" s="2" t="s">
        <v>44</v>
      </c>
      <c r="P18" t="s">
        <v>140</v>
      </c>
      <c r="V18" s="2" t="s">
        <v>148</v>
      </c>
      <c r="X18" s="14" t="s">
        <v>170</v>
      </c>
      <c r="Z18" s="23" t="s">
        <v>1425</v>
      </c>
      <c r="AF18" s="2" t="s">
        <v>2463</v>
      </c>
      <c r="AL18" s="71" t="s">
        <v>2549</v>
      </c>
      <c r="AM18" s="68" t="s">
        <v>3645</v>
      </c>
      <c r="AN18" s="32">
        <v>1100100132880</v>
      </c>
      <c r="AR18" s="1" t="s">
        <v>3596</v>
      </c>
    </row>
    <row r="19" spans="6:44" ht="28.8" x14ac:dyDescent="0.3">
      <c r="F19" s="4" t="s">
        <v>12</v>
      </c>
      <c r="H19" s="2" t="s">
        <v>27</v>
      </c>
      <c r="P19" t="s">
        <v>141</v>
      </c>
      <c r="V19" s="2" t="s">
        <v>149</v>
      </c>
      <c r="X19" s="14" t="s">
        <v>203</v>
      </c>
      <c r="Z19" s="23" t="s">
        <v>1426</v>
      </c>
      <c r="AF19" s="2" t="s">
        <v>2465</v>
      </c>
      <c r="AL19" s="71" t="s">
        <v>2550</v>
      </c>
      <c r="AM19" s="68" t="s">
        <v>3646</v>
      </c>
      <c r="AN19" s="32">
        <v>1100100137135</v>
      </c>
      <c r="AR19" s="1" t="s">
        <v>3597</v>
      </c>
    </row>
    <row r="20" spans="6:44" ht="28.8" x14ac:dyDescent="0.3">
      <c r="F20" s="1" t="s">
        <v>45</v>
      </c>
      <c r="H20" s="2" t="s">
        <v>28</v>
      </c>
      <c r="V20" s="2" t="s">
        <v>150</v>
      </c>
      <c r="X20" s="14" t="s">
        <v>286</v>
      </c>
      <c r="Z20" s="23" t="s">
        <v>1427</v>
      </c>
      <c r="AF20" s="2" t="s">
        <v>2467</v>
      </c>
      <c r="AL20" s="71" t="s">
        <v>2551</v>
      </c>
      <c r="AM20" s="68" t="s">
        <v>3647</v>
      </c>
      <c r="AN20" s="32">
        <v>1100100137105</v>
      </c>
      <c r="AR20" s="1" t="s">
        <v>3599</v>
      </c>
    </row>
    <row r="21" spans="6:44" ht="28.8" x14ac:dyDescent="0.3">
      <c r="F21" s="1"/>
      <c r="H21" s="2" t="s">
        <v>29</v>
      </c>
      <c r="V21" s="2" t="s">
        <v>163</v>
      </c>
      <c r="X21" s="13" t="s">
        <v>164</v>
      </c>
      <c r="Z21" s="23" t="s">
        <v>1475</v>
      </c>
      <c r="AF21" s="2" t="s">
        <v>2469</v>
      </c>
      <c r="AL21" s="71" t="s">
        <v>3681</v>
      </c>
      <c r="AM21" s="68" t="s">
        <v>3648</v>
      </c>
      <c r="AN21" s="32">
        <v>110011147305</v>
      </c>
      <c r="AR21" s="1" t="s">
        <v>3604</v>
      </c>
    </row>
    <row r="22" spans="6:44" ht="28.8" x14ac:dyDescent="0.3">
      <c r="F22" s="4" t="s">
        <v>13</v>
      </c>
      <c r="H22" s="2" t="s">
        <v>131</v>
      </c>
      <c r="V22" s="2" t="s">
        <v>151</v>
      </c>
      <c r="X22" s="14" t="s">
        <v>237</v>
      </c>
      <c r="Z22" s="23" t="s">
        <v>1428</v>
      </c>
      <c r="AF22" s="2" t="s">
        <v>2471</v>
      </c>
      <c r="AL22" s="71" t="s">
        <v>3677</v>
      </c>
      <c r="AM22" s="68" t="s">
        <v>3649</v>
      </c>
      <c r="AN22" s="32">
        <v>110011147304</v>
      </c>
    </row>
    <row r="23" spans="6:44" ht="28.8" x14ac:dyDescent="0.3">
      <c r="F23" s="1" t="s">
        <v>45</v>
      </c>
      <c r="H23" s="2" t="s">
        <v>31</v>
      </c>
      <c r="X23" s="14" t="s">
        <v>238</v>
      </c>
      <c r="Z23" s="23" t="s">
        <v>1491</v>
      </c>
      <c r="AF23" s="2" t="s">
        <v>2472</v>
      </c>
      <c r="AL23" s="71" t="s">
        <v>2552</v>
      </c>
      <c r="AM23" s="68" t="s">
        <v>3667</v>
      </c>
      <c r="AN23" s="32">
        <v>110011113365</v>
      </c>
    </row>
    <row r="24" spans="6:44" x14ac:dyDescent="0.3">
      <c r="F24" s="1"/>
      <c r="H24" s="2" t="s">
        <v>32</v>
      </c>
      <c r="X24" s="14" t="s">
        <v>239</v>
      </c>
      <c r="Z24" s="23" t="s">
        <v>1429</v>
      </c>
      <c r="AF24" s="2" t="s">
        <v>2450</v>
      </c>
      <c r="AL24" s="71" t="s">
        <v>3447</v>
      </c>
      <c r="AM24" s="68" t="s">
        <v>3668</v>
      </c>
      <c r="AN24" s="32">
        <v>110011113367</v>
      </c>
    </row>
    <row r="25" spans="6:44" ht="28.8" x14ac:dyDescent="0.3">
      <c r="F25" s="2" t="s">
        <v>45</v>
      </c>
      <c r="H25" s="2" t="s">
        <v>33</v>
      </c>
      <c r="X25" s="14" t="s">
        <v>240</v>
      </c>
      <c r="Z25" s="23" t="s">
        <v>1430</v>
      </c>
      <c r="AF25" s="2" t="s">
        <v>2473</v>
      </c>
      <c r="AL25" s="71" t="s">
        <v>2553</v>
      </c>
      <c r="AM25" s="68" t="s">
        <v>3668</v>
      </c>
      <c r="AN25" s="32">
        <v>110011113368</v>
      </c>
    </row>
    <row r="26" spans="6:44" x14ac:dyDescent="0.3">
      <c r="F26" s="2" t="s">
        <v>45</v>
      </c>
      <c r="H26" s="2" t="s">
        <v>98</v>
      </c>
      <c r="X26" s="14" t="s">
        <v>241</v>
      </c>
      <c r="Z26" s="23" t="s">
        <v>1454</v>
      </c>
      <c r="AF26" s="2" t="s">
        <v>2474</v>
      </c>
      <c r="AL26" s="71" t="s">
        <v>3683</v>
      </c>
      <c r="AM26" s="68" t="s">
        <v>3668</v>
      </c>
      <c r="AN26" s="32">
        <v>110011113394</v>
      </c>
    </row>
    <row r="27" spans="6:44" ht="28.8" x14ac:dyDescent="0.3">
      <c r="H27" s="2" t="s">
        <v>35</v>
      </c>
      <c r="X27" s="14" t="s">
        <v>242</v>
      </c>
      <c r="Z27" s="23" t="s">
        <v>1455</v>
      </c>
      <c r="AF27" s="2" t="s">
        <v>2475</v>
      </c>
      <c r="AL27" s="71" t="s">
        <v>3684</v>
      </c>
      <c r="AM27" s="68" t="s">
        <v>3668</v>
      </c>
      <c r="AN27" s="32">
        <v>110011113398</v>
      </c>
    </row>
    <row r="28" spans="6:44" x14ac:dyDescent="0.3">
      <c r="H28" s="2" t="s">
        <v>36</v>
      </c>
      <c r="X28" s="14" t="s">
        <v>243</v>
      </c>
      <c r="Z28" s="23" t="s">
        <v>1483</v>
      </c>
      <c r="AF28" s="2" t="s">
        <v>2476</v>
      </c>
      <c r="AL28" s="71" t="s">
        <v>2554</v>
      </c>
      <c r="AM28" s="68" t="s">
        <v>3669</v>
      </c>
      <c r="AN28" s="32">
        <v>1100100138447</v>
      </c>
    </row>
    <row r="29" spans="6:44" ht="28.8" x14ac:dyDescent="0.3">
      <c r="H29" s="2" t="s">
        <v>37</v>
      </c>
      <c r="X29" s="14" t="s">
        <v>244</v>
      </c>
      <c r="Z29" s="23" t="s">
        <v>1431</v>
      </c>
      <c r="AF29" s="2" t="s">
        <v>2477</v>
      </c>
      <c r="AL29" s="71" t="s">
        <v>2555</v>
      </c>
      <c r="AM29" s="68" t="s">
        <v>3670</v>
      </c>
      <c r="AN29" s="32">
        <v>1100100138459</v>
      </c>
    </row>
    <row r="30" spans="6:44" ht="28.8" x14ac:dyDescent="0.3">
      <c r="H30" s="2" t="s">
        <v>2757</v>
      </c>
      <c r="X30" s="14" t="s">
        <v>204</v>
      </c>
      <c r="Z30" s="23" t="s">
        <v>1432</v>
      </c>
      <c r="AF30" s="2" t="s">
        <v>2478</v>
      </c>
      <c r="AL30" s="71" t="s">
        <v>2556</v>
      </c>
      <c r="AM30" s="68" t="s">
        <v>3671</v>
      </c>
      <c r="AN30" s="32">
        <v>1100100138442</v>
      </c>
    </row>
    <row r="31" spans="6:44" ht="28.8" x14ac:dyDescent="0.3">
      <c r="H31" s="2" t="s">
        <v>38</v>
      </c>
      <c r="X31" s="14" t="s">
        <v>171</v>
      </c>
      <c r="Z31" s="23" t="s">
        <v>1456</v>
      </c>
      <c r="AF31" s="2" t="s">
        <v>2479</v>
      </c>
      <c r="AL31" s="71" t="s">
        <v>2557</v>
      </c>
      <c r="AM31" s="68" t="s">
        <v>3672</v>
      </c>
      <c r="AN31" s="32">
        <v>1100100138368</v>
      </c>
    </row>
    <row r="32" spans="6:44" ht="15.6" x14ac:dyDescent="0.3">
      <c r="H32" s="2" t="s">
        <v>39</v>
      </c>
      <c r="X32" s="14" t="s">
        <v>191</v>
      </c>
      <c r="Z32" s="23" t="s">
        <v>1433</v>
      </c>
      <c r="AF32" s="2" t="s">
        <v>2460</v>
      </c>
      <c r="AL32" s="71" t="s">
        <v>3685</v>
      </c>
      <c r="AM32" s="68" t="s">
        <v>3673</v>
      </c>
      <c r="AN32" s="32">
        <v>110011150701</v>
      </c>
    </row>
    <row r="33" spans="8:40" ht="28.8" x14ac:dyDescent="0.3">
      <c r="H33" s="2" t="s">
        <v>40</v>
      </c>
      <c r="X33" s="14" t="s">
        <v>275</v>
      </c>
      <c r="Z33" s="23" t="s">
        <v>1434</v>
      </c>
      <c r="AF33" s="2" t="s">
        <v>2462</v>
      </c>
      <c r="AL33" s="71" t="s">
        <v>3718</v>
      </c>
      <c r="AM33" s="68" t="s">
        <v>3674</v>
      </c>
      <c r="AN33" s="32">
        <v>110011150702</v>
      </c>
    </row>
    <row r="34" spans="8:40" ht="28.8" x14ac:dyDescent="0.3">
      <c r="H34" s="2" t="s">
        <v>132</v>
      </c>
      <c r="X34" s="14" t="s">
        <v>205</v>
      </c>
      <c r="Z34" s="23" t="s">
        <v>1457</v>
      </c>
      <c r="AF34" s="2" t="s">
        <v>2480</v>
      </c>
      <c r="AL34" s="74" t="s">
        <v>3686</v>
      </c>
      <c r="AM34" s="69" t="s">
        <v>3675</v>
      </c>
      <c r="AN34" s="32">
        <v>1100100135694</v>
      </c>
    </row>
    <row r="35" spans="8:40" ht="43.2" x14ac:dyDescent="0.3">
      <c r="H35" s="2" t="s">
        <v>42</v>
      </c>
      <c r="X35" s="14" t="s">
        <v>220</v>
      </c>
      <c r="Z35" s="23" t="s">
        <v>1435</v>
      </c>
      <c r="AF35" s="2" t="s">
        <v>2464</v>
      </c>
      <c r="AL35" s="71" t="s">
        <v>3628</v>
      </c>
      <c r="AM35" s="68" t="s">
        <v>3676</v>
      </c>
      <c r="AN35" s="32">
        <v>1100100136157</v>
      </c>
    </row>
    <row r="36" spans="8:40" ht="28.8" x14ac:dyDescent="0.3">
      <c r="H36" s="2" t="s">
        <v>43</v>
      </c>
      <c r="X36" s="14" t="s">
        <v>206</v>
      </c>
      <c r="Z36" s="23" t="s">
        <v>1484</v>
      </c>
      <c r="AF36" s="2" t="s">
        <v>2481</v>
      </c>
      <c r="AL36" s="71" t="s">
        <v>3687</v>
      </c>
      <c r="AM36" s="68" t="s">
        <v>3666</v>
      </c>
      <c r="AN36" s="32">
        <v>110011138349</v>
      </c>
    </row>
    <row r="37" spans="8:40" x14ac:dyDescent="0.3">
      <c r="X37" s="14" t="s">
        <v>172</v>
      </c>
      <c r="Z37" s="23" t="s">
        <v>1476</v>
      </c>
      <c r="AF37" s="2" t="s">
        <v>2466</v>
      </c>
      <c r="AL37" s="71" t="s">
        <v>3682</v>
      </c>
      <c r="AM37" s="68" t="s">
        <v>3688</v>
      </c>
      <c r="AN37" s="32">
        <v>110011118210</v>
      </c>
    </row>
    <row r="38" spans="8:40" ht="28.8" x14ac:dyDescent="0.3">
      <c r="H38" s="3" t="s">
        <v>14</v>
      </c>
      <c r="X38" s="14" t="s">
        <v>245</v>
      </c>
      <c r="Z38" s="23" t="s">
        <v>1458</v>
      </c>
      <c r="AF38" s="2" t="s">
        <v>2482</v>
      </c>
      <c r="AL38" s="71" t="s">
        <v>3689</v>
      </c>
      <c r="AM38" s="68" t="s">
        <v>3690</v>
      </c>
      <c r="AN38" s="32">
        <v>110011118723</v>
      </c>
    </row>
    <row r="39" spans="8:40" ht="43.2" x14ac:dyDescent="0.3">
      <c r="H39" s="7" t="s">
        <v>48</v>
      </c>
      <c r="X39" s="14" t="s">
        <v>259</v>
      </c>
      <c r="Z39" s="23" t="s">
        <v>1470</v>
      </c>
      <c r="AF39" s="2" t="s">
        <v>2468</v>
      </c>
      <c r="AL39" s="71" t="s">
        <v>3691</v>
      </c>
      <c r="AM39" s="68" t="s">
        <v>3692</v>
      </c>
      <c r="AN39" s="32">
        <v>110011118653</v>
      </c>
    </row>
    <row r="40" spans="8:40" ht="28.8" x14ac:dyDescent="0.3">
      <c r="H40" s="8" t="s">
        <v>49</v>
      </c>
      <c r="X40" s="14" t="s">
        <v>260</v>
      </c>
      <c r="Z40" s="23" t="s">
        <v>1459</v>
      </c>
      <c r="AF40" s="2" t="s">
        <v>2483</v>
      </c>
    </row>
    <row r="41" spans="8:40" ht="15.6" x14ac:dyDescent="0.3">
      <c r="H41" s="7" t="s">
        <v>50</v>
      </c>
      <c r="X41" s="14" t="s">
        <v>192</v>
      </c>
      <c r="Z41" s="23" t="s">
        <v>1436</v>
      </c>
      <c r="AF41" s="2" t="s">
        <v>2470</v>
      </c>
    </row>
    <row r="42" spans="8:40" ht="15.6" x14ac:dyDescent="0.3">
      <c r="H42" s="8" t="s">
        <v>51</v>
      </c>
      <c r="X42" s="14" t="s">
        <v>193</v>
      </c>
      <c r="Z42" s="23" t="s">
        <v>1485</v>
      </c>
    </row>
    <row r="43" spans="8:40" ht="28.8" x14ac:dyDescent="0.3">
      <c r="H43" s="7" t="s">
        <v>47</v>
      </c>
      <c r="X43" s="14" t="s">
        <v>173</v>
      </c>
      <c r="Z43" s="23" t="s">
        <v>1472</v>
      </c>
      <c r="AF43" s="2" t="s">
        <v>2444</v>
      </c>
    </row>
    <row r="44" spans="8:40" ht="15.6" x14ac:dyDescent="0.3">
      <c r="H44" s="7" t="s">
        <v>52</v>
      </c>
      <c r="X44" s="14" t="s">
        <v>246</v>
      </c>
      <c r="Z44" s="23" t="s">
        <v>1460</v>
      </c>
      <c r="AF44" s="2" t="s">
        <v>2447</v>
      </c>
    </row>
    <row r="45" spans="8:40" ht="28.8" x14ac:dyDescent="0.3">
      <c r="H45" s="8" t="s">
        <v>55</v>
      </c>
      <c r="X45" s="14" t="s">
        <v>218</v>
      </c>
      <c r="Z45" s="23" t="s">
        <v>1437</v>
      </c>
      <c r="AF45" s="2" t="s">
        <v>2448</v>
      </c>
    </row>
    <row r="46" spans="8:40" ht="15.6" x14ac:dyDescent="0.3">
      <c r="H46" s="8" t="s">
        <v>55</v>
      </c>
      <c r="X46" s="14" t="s">
        <v>174</v>
      </c>
      <c r="Z46" s="23" t="s">
        <v>1438</v>
      </c>
      <c r="AF46" s="2" t="s">
        <v>2449</v>
      </c>
    </row>
    <row r="47" spans="8:40" ht="15.6" x14ac:dyDescent="0.3">
      <c r="H47" s="8" t="s">
        <v>53</v>
      </c>
      <c r="X47" s="14" t="s">
        <v>261</v>
      </c>
      <c r="Z47" s="23" t="s">
        <v>1461</v>
      </c>
      <c r="AF47" s="2" t="s">
        <v>2451</v>
      </c>
    </row>
    <row r="48" spans="8:40" ht="28.8" x14ac:dyDescent="0.3">
      <c r="H48" s="7" t="s">
        <v>54</v>
      </c>
      <c r="X48" s="14" t="s">
        <v>262</v>
      </c>
      <c r="Z48" s="23" t="s">
        <v>1492</v>
      </c>
      <c r="AF48" s="2" t="s">
        <v>2453</v>
      </c>
    </row>
    <row r="49" spans="8:32" ht="15.6" x14ac:dyDescent="0.3">
      <c r="H49" s="7" t="s">
        <v>56</v>
      </c>
      <c r="X49" s="14" t="s">
        <v>221</v>
      </c>
      <c r="Z49" s="23" t="s">
        <v>1462</v>
      </c>
      <c r="AF49" s="2" t="s">
        <v>2455</v>
      </c>
    </row>
    <row r="50" spans="8:32" ht="28.8" x14ac:dyDescent="0.3">
      <c r="X50" s="14" t="s">
        <v>263</v>
      </c>
      <c r="Z50" s="23" t="s">
        <v>1463</v>
      </c>
      <c r="AF50" s="2" t="s">
        <v>2457</v>
      </c>
    </row>
    <row r="51" spans="8:32" ht="28.8" x14ac:dyDescent="0.3">
      <c r="H51" s="3" t="s">
        <v>15</v>
      </c>
      <c r="X51" s="14" t="s">
        <v>264</v>
      </c>
      <c r="Z51" s="23" t="s">
        <v>1439</v>
      </c>
      <c r="AF51" s="2" t="s">
        <v>2459</v>
      </c>
    </row>
    <row r="52" spans="8:32" ht="28.8" x14ac:dyDescent="0.3">
      <c r="H52" s="7" t="s">
        <v>2797</v>
      </c>
      <c r="X52" s="14" t="s">
        <v>222</v>
      </c>
      <c r="Z52" s="23" t="s">
        <v>1486</v>
      </c>
      <c r="AF52" s="2" t="s">
        <v>2461</v>
      </c>
    </row>
    <row r="53" spans="8:32" ht="15.6" x14ac:dyDescent="0.3">
      <c r="H53" s="8" t="s">
        <v>2798</v>
      </c>
      <c r="X53" s="14" t="s">
        <v>175</v>
      </c>
      <c r="Z53" s="23" t="s">
        <v>1487</v>
      </c>
      <c r="AF53" s="2" t="s">
        <v>2463</v>
      </c>
    </row>
    <row r="54" spans="8:32" ht="28.8" x14ac:dyDescent="0.3">
      <c r="H54" s="7" t="s">
        <v>2799</v>
      </c>
      <c r="X54" s="14" t="s">
        <v>223</v>
      </c>
      <c r="Z54" s="23" t="s">
        <v>1488</v>
      </c>
      <c r="AF54" s="2" t="s">
        <v>2465</v>
      </c>
    </row>
    <row r="55" spans="8:32" ht="28.8" x14ac:dyDescent="0.3">
      <c r="H55" s="8" t="s">
        <v>2800</v>
      </c>
      <c r="X55" s="14" t="s">
        <v>276</v>
      </c>
      <c r="Z55" s="23" t="s">
        <v>1477</v>
      </c>
      <c r="AF55" s="2" t="s">
        <v>2467</v>
      </c>
    </row>
    <row r="56" spans="8:32" ht="28.8" x14ac:dyDescent="0.3">
      <c r="H56" s="7" t="s">
        <v>2801</v>
      </c>
      <c r="X56" s="14" t="s">
        <v>277</v>
      </c>
      <c r="Z56" s="23" t="s">
        <v>1469</v>
      </c>
      <c r="AF56" s="2" t="s">
        <v>2469</v>
      </c>
    </row>
    <row r="57" spans="8:32" ht="28.8" x14ac:dyDescent="0.3">
      <c r="H57" s="8" t="s">
        <v>2802</v>
      </c>
      <c r="X57" s="14" t="s">
        <v>194</v>
      </c>
      <c r="Z57" s="23" t="s">
        <v>1440</v>
      </c>
      <c r="AF57" s="2" t="s">
        <v>2471</v>
      </c>
    </row>
    <row r="58" spans="8:32" ht="28.8" x14ac:dyDescent="0.3">
      <c r="H58" s="7" t="s">
        <v>2803</v>
      </c>
      <c r="X58" s="14" t="s">
        <v>278</v>
      </c>
      <c r="Z58" s="23" t="s">
        <v>1478</v>
      </c>
      <c r="AF58" s="2" t="s">
        <v>2472</v>
      </c>
    </row>
    <row r="59" spans="8:32" ht="15.6" x14ac:dyDescent="0.3">
      <c r="H59" s="8" t="s">
        <v>2804</v>
      </c>
      <c r="X59" s="14" t="s">
        <v>265</v>
      </c>
      <c r="Z59" s="23" t="s">
        <v>1464</v>
      </c>
      <c r="AF59" s="2" t="s">
        <v>2450</v>
      </c>
    </row>
    <row r="60" spans="8:32" ht="28.8" x14ac:dyDescent="0.3">
      <c r="H60" s="7" t="s">
        <v>2805</v>
      </c>
      <c r="X60" s="14" t="s">
        <v>176</v>
      </c>
      <c r="Z60" s="23" t="s">
        <v>1465</v>
      </c>
      <c r="AF60" s="2" t="s">
        <v>2473</v>
      </c>
    </row>
    <row r="61" spans="8:32" ht="15.6" x14ac:dyDescent="0.3">
      <c r="H61" s="8" t="s">
        <v>2806</v>
      </c>
      <c r="X61" s="14" t="s">
        <v>165</v>
      </c>
      <c r="Z61" s="23" t="s">
        <v>1493</v>
      </c>
      <c r="AF61" s="2" t="s">
        <v>2474</v>
      </c>
    </row>
    <row r="62" spans="8:32" ht="15.6" x14ac:dyDescent="0.3">
      <c r="H62" s="7" t="s">
        <v>2807</v>
      </c>
      <c r="X62" s="14" t="s">
        <v>177</v>
      </c>
      <c r="Z62" s="23" t="s">
        <v>1441</v>
      </c>
      <c r="AF62" s="2" t="s">
        <v>2475</v>
      </c>
    </row>
    <row r="63" spans="8:32" ht="15.6" x14ac:dyDescent="0.3">
      <c r="H63" s="8" t="s">
        <v>2808</v>
      </c>
      <c r="X63" s="14" t="s">
        <v>266</v>
      </c>
      <c r="Z63" s="23" t="s">
        <v>1442</v>
      </c>
      <c r="AF63" s="2" t="s">
        <v>2452</v>
      </c>
    </row>
    <row r="64" spans="8:32" ht="15.6" x14ac:dyDescent="0.3">
      <c r="H64" s="7" t="s">
        <v>2809</v>
      </c>
      <c r="X64" s="14" t="s">
        <v>195</v>
      </c>
      <c r="Z64" s="23" t="s">
        <v>1473</v>
      </c>
      <c r="AF64" s="2" t="s">
        <v>2476</v>
      </c>
    </row>
    <row r="65" spans="8:32" ht="28.8" x14ac:dyDescent="0.3">
      <c r="H65" s="8" t="s">
        <v>94</v>
      </c>
      <c r="X65" s="14" t="s">
        <v>224</v>
      </c>
      <c r="Z65" s="23" t="s">
        <v>1494</v>
      </c>
      <c r="AF65" s="2" t="s">
        <v>2454</v>
      </c>
    </row>
    <row r="66" spans="8:32" ht="28.8" x14ac:dyDescent="0.3">
      <c r="H66" s="7" t="s">
        <v>2636</v>
      </c>
      <c r="X66" s="14" t="s">
        <v>178</v>
      </c>
      <c r="Z66" s="23" t="s">
        <v>1466</v>
      </c>
      <c r="AF66" s="2" t="s">
        <v>2477</v>
      </c>
    </row>
    <row r="67" spans="8:32" ht="15.6" x14ac:dyDescent="0.3">
      <c r="H67" s="8" t="s">
        <v>2713</v>
      </c>
      <c r="X67" s="14" t="s">
        <v>207</v>
      </c>
      <c r="Z67" s="23" t="s">
        <v>1443</v>
      </c>
      <c r="AF67" s="2" t="s">
        <v>2478</v>
      </c>
    </row>
    <row r="68" spans="8:32" ht="28.8" x14ac:dyDescent="0.3">
      <c r="H68" s="7" t="s">
        <v>2810</v>
      </c>
      <c r="X68" s="14" t="s">
        <v>225</v>
      </c>
      <c r="Z68" s="23" t="s">
        <v>1489</v>
      </c>
      <c r="AF68" s="2" t="s">
        <v>2479</v>
      </c>
    </row>
    <row r="69" spans="8:32" ht="43.2" x14ac:dyDescent="0.3">
      <c r="H69" s="8" t="s">
        <v>2811</v>
      </c>
      <c r="X69" s="14" t="s">
        <v>247</v>
      </c>
      <c r="Z69" s="23" t="s">
        <v>1474</v>
      </c>
      <c r="AF69" s="2" t="s">
        <v>2456</v>
      </c>
    </row>
    <row r="70" spans="8:32" ht="15.6" x14ac:dyDescent="0.3">
      <c r="H70" s="7" t="s">
        <v>2812</v>
      </c>
      <c r="X70" s="14" t="s">
        <v>196</v>
      </c>
      <c r="Z70" s="23" t="s">
        <v>1467</v>
      </c>
      <c r="AF70" s="2" t="s">
        <v>2458</v>
      </c>
    </row>
    <row r="71" spans="8:32" ht="15.6" x14ac:dyDescent="0.3">
      <c r="H71" s="8" t="s">
        <v>2710</v>
      </c>
      <c r="X71" s="14" t="s">
        <v>208</v>
      </c>
      <c r="Z71" s="23" t="s">
        <v>1490</v>
      </c>
      <c r="AF71" s="2" t="s">
        <v>2460</v>
      </c>
    </row>
    <row r="72" spans="8:32" ht="28.8" x14ac:dyDescent="0.3">
      <c r="H72" s="7" t="s">
        <v>2813</v>
      </c>
      <c r="X72" s="14" t="s">
        <v>267</v>
      </c>
      <c r="Z72" s="23" t="s">
        <v>1444</v>
      </c>
      <c r="AF72" s="2" t="s">
        <v>2462</v>
      </c>
    </row>
    <row r="73" spans="8:32" ht="28.8" x14ac:dyDescent="0.3">
      <c r="H73" s="8" t="s">
        <v>2814</v>
      </c>
      <c r="X73" s="14" t="s">
        <v>248</v>
      </c>
      <c r="Z73" s="23" t="s">
        <v>1445</v>
      </c>
      <c r="AF73" s="2" t="s">
        <v>2480</v>
      </c>
    </row>
    <row r="74" spans="8:32" ht="15.6" x14ac:dyDescent="0.3">
      <c r="H74" s="7" t="s">
        <v>2726</v>
      </c>
      <c r="X74" s="14" t="s">
        <v>226</v>
      </c>
      <c r="Z74" s="23" t="s">
        <v>1446</v>
      </c>
      <c r="AF74" s="2" t="s">
        <v>2464</v>
      </c>
    </row>
    <row r="75" spans="8:32" ht="15.6" x14ac:dyDescent="0.3">
      <c r="H75" s="8" t="s">
        <v>2815</v>
      </c>
      <c r="X75" s="14" t="s">
        <v>249</v>
      </c>
      <c r="Z75" s="23" t="s">
        <v>1447</v>
      </c>
      <c r="AF75" s="2" t="s">
        <v>2481</v>
      </c>
    </row>
    <row r="76" spans="8:32" ht="15.6" x14ac:dyDescent="0.3">
      <c r="H76" s="7" t="s">
        <v>2816</v>
      </c>
      <c r="X76" s="14" t="s">
        <v>250</v>
      </c>
      <c r="Z76" s="23" t="s">
        <v>1447</v>
      </c>
      <c r="AF76" s="2" t="s">
        <v>2466</v>
      </c>
    </row>
    <row r="77" spans="8:32" ht="15.6" x14ac:dyDescent="0.3">
      <c r="H77" s="8" t="s">
        <v>2817</v>
      </c>
      <c r="X77" s="14" t="s">
        <v>251</v>
      </c>
      <c r="Z77" s="23" t="s">
        <v>1448</v>
      </c>
      <c r="AF77" s="2" t="s">
        <v>2482</v>
      </c>
    </row>
    <row r="78" spans="8:32" ht="28.8" x14ac:dyDescent="0.3">
      <c r="H78" s="7" t="s">
        <v>2818</v>
      </c>
      <c r="X78" s="14" t="s">
        <v>179</v>
      </c>
      <c r="Z78" s="23" t="s">
        <v>1449</v>
      </c>
      <c r="AF78" s="2" t="s">
        <v>2468</v>
      </c>
    </row>
    <row r="79" spans="8:32" ht="28.8" x14ac:dyDescent="0.3">
      <c r="H79" s="8" t="s">
        <v>2819</v>
      </c>
      <c r="X79" s="14" t="s">
        <v>197</v>
      </c>
      <c r="Z79" s="23" t="s">
        <v>1450</v>
      </c>
      <c r="AF79" s="2" t="s">
        <v>2483</v>
      </c>
    </row>
    <row r="80" spans="8:32" ht="31.2" x14ac:dyDescent="0.3">
      <c r="H80" s="7" t="s">
        <v>2820</v>
      </c>
      <c r="X80" s="14" t="s">
        <v>180</v>
      </c>
      <c r="Z80" s="23" t="s">
        <v>1468</v>
      </c>
      <c r="AF80" s="2" t="s">
        <v>2470</v>
      </c>
    </row>
    <row r="81" spans="8:32" ht="15.6" x14ac:dyDescent="0.3">
      <c r="H81" s="7" t="s">
        <v>2792</v>
      </c>
      <c r="X81" s="14" t="s">
        <v>181</v>
      </c>
      <c r="Z81" s="23" t="s">
        <v>1451</v>
      </c>
    </row>
    <row r="82" spans="8:32" ht="15.6" x14ac:dyDescent="0.3">
      <c r="H82" s="7" t="s">
        <v>2821</v>
      </c>
      <c r="X82" s="14" t="s">
        <v>182</v>
      </c>
      <c r="Z82" s="23" t="s">
        <v>1479</v>
      </c>
      <c r="AF82" s="2" t="s">
        <v>2445</v>
      </c>
    </row>
    <row r="83" spans="8:32" ht="28.8" x14ac:dyDescent="0.3">
      <c r="H83" s="8" t="s">
        <v>2822</v>
      </c>
      <c r="X83" s="14" t="s">
        <v>209</v>
      </c>
      <c r="AF83" s="2" t="s">
        <v>2485</v>
      </c>
    </row>
    <row r="84" spans="8:32" ht="28.8" x14ac:dyDescent="0.3">
      <c r="H84" s="7" t="s">
        <v>2823</v>
      </c>
      <c r="X84" s="14" t="s">
        <v>183</v>
      </c>
      <c r="Z84" s="2" t="s">
        <v>159</v>
      </c>
      <c r="AF84" s="2" t="s">
        <v>2486</v>
      </c>
    </row>
    <row r="85" spans="8:32" ht="100.8" x14ac:dyDescent="0.3">
      <c r="H85" s="8" t="s">
        <v>2824</v>
      </c>
      <c r="X85" s="14" t="s">
        <v>287</v>
      </c>
      <c r="Z85" s="17" t="s">
        <v>1496</v>
      </c>
      <c r="AF85" s="2" t="s">
        <v>2487</v>
      </c>
    </row>
    <row r="86" spans="8:32" ht="15.6" x14ac:dyDescent="0.3">
      <c r="H86" s="7" t="s">
        <v>2825</v>
      </c>
      <c r="X86" s="14" t="s">
        <v>252</v>
      </c>
      <c r="Z86" s="17" t="s">
        <v>1576</v>
      </c>
      <c r="AF86" s="2" t="s">
        <v>2488</v>
      </c>
    </row>
    <row r="87" spans="8:32" ht="86.4" x14ac:dyDescent="0.3">
      <c r="H87" s="8" t="s">
        <v>2826</v>
      </c>
      <c r="X87" s="14" t="s">
        <v>288</v>
      </c>
      <c r="Z87" s="17" t="s">
        <v>1563</v>
      </c>
      <c r="AF87" s="2" t="s">
        <v>2489</v>
      </c>
    </row>
    <row r="88" spans="8:32" ht="15.6" x14ac:dyDescent="0.3">
      <c r="H88" s="7" t="s">
        <v>2827</v>
      </c>
      <c r="X88" s="14" t="s">
        <v>289</v>
      </c>
      <c r="Z88" s="17" t="s">
        <v>1564</v>
      </c>
    </row>
    <row r="89" spans="8:32" ht="43.2" x14ac:dyDescent="0.3">
      <c r="H89" s="8" t="s">
        <v>2828</v>
      </c>
      <c r="X89" s="14" t="s">
        <v>253</v>
      </c>
      <c r="Z89" s="17" t="s">
        <v>1185</v>
      </c>
      <c r="AF89" s="30" t="s">
        <v>2446</v>
      </c>
    </row>
    <row r="90" spans="8:32" ht="43.2" x14ac:dyDescent="0.3">
      <c r="H90" s="7" t="s">
        <v>2829</v>
      </c>
      <c r="X90" s="14" t="s">
        <v>254</v>
      </c>
      <c r="Z90" s="17" t="s">
        <v>1497</v>
      </c>
      <c r="AF90" s="31" t="s">
        <v>2490</v>
      </c>
    </row>
    <row r="91" spans="8:32" ht="15.6" x14ac:dyDescent="0.3">
      <c r="H91" s="8" t="s">
        <v>2830</v>
      </c>
      <c r="X91" s="14" t="s">
        <v>184</v>
      </c>
      <c r="Z91" s="17" t="s">
        <v>1517</v>
      </c>
    </row>
    <row r="92" spans="8:32" ht="15.6" x14ac:dyDescent="0.3">
      <c r="H92" s="7" t="s">
        <v>2831</v>
      </c>
      <c r="X92" s="14" t="s">
        <v>227</v>
      </c>
      <c r="Z92" s="17" t="s">
        <v>1557</v>
      </c>
    </row>
    <row r="93" spans="8:32" ht="31.2" x14ac:dyDescent="0.3">
      <c r="H93" s="8" t="s">
        <v>2832</v>
      </c>
      <c r="X93" s="14" t="s">
        <v>279</v>
      </c>
      <c r="Z93" s="17" t="s">
        <v>1558</v>
      </c>
    </row>
    <row r="94" spans="8:32" ht="15.6" x14ac:dyDescent="0.3">
      <c r="H94" s="7" t="s">
        <v>2833</v>
      </c>
      <c r="X94" s="14" t="s">
        <v>280</v>
      </c>
      <c r="Z94" s="17" t="s">
        <v>1498</v>
      </c>
    </row>
    <row r="95" spans="8:32" ht="15.6" x14ac:dyDescent="0.3">
      <c r="H95" s="8" t="s">
        <v>2834</v>
      </c>
      <c r="X95" s="14" t="s">
        <v>290</v>
      </c>
      <c r="Z95" s="17" t="s">
        <v>1499</v>
      </c>
    </row>
    <row r="96" spans="8:32" ht="15.6" x14ac:dyDescent="0.3">
      <c r="H96" s="7" t="s">
        <v>2835</v>
      </c>
      <c r="X96" s="14" t="s">
        <v>268</v>
      </c>
      <c r="Z96" s="17" t="s">
        <v>1562</v>
      </c>
    </row>
    <row r="97" spans="8:26" ht="15.6" x14ac:dyDescent="0.3">
      <c r="H97" s="8" t="s">
        <v>2836</v>
      </c>
      <c r="X97" s="14" t="s">
        <v>185</v>
      </c>
      <c r="Z97" s="17" t="s">
        <v>1533</v>
      </c>
    </row>
    <row r="98" spans="8:26" ht="15.6" x14ac:dyDescent="0.3">
      <c r="H98" s="7" t="s">
        <v>2837</v>
      </c>
      <c r="X98" s="14" t="s">
        <v>210</v>
      </c>
      <c r="Z98" s="17" t="s">
        <v>1500</v>
      </c>
    </row>
    <row r="99" spans="8:26" ht="15.6" x14ac:dyDescent="0.3">
      <c r="H99" s="8" t="s">
        <v>2838</v>
      </c>
      <c r="X99" s="14" t="s">
        <v>269</v>
      </c>
      <c r="Z99" s="17" t="s">
        <v>1518</v>
      </c>
    </row>
    <row r="100" spans="8:26" ht="15.6" x14ac:dyDescent="0.3">
      <c r="H100" s="7" t="s">
        <v>2839</v>
      </c>
      <c r="X100" s="14" t="s">
        <v>198</v>
      </c>
      <c r="Z100" s="17" t="s">
        <v>1501</v>
      </c>
    </row>
    <row r="101" spans="8:26" ht="15.6" x14ac:dyDescent="0.3">
      <c r="H101" s="8" t="s">
        <v>2634</v>
      </c>
      <c r="X101" s="14" t="s">
        <v>291</v>
      </c>
      <c r="Z101" s="17" t="s">
        <v>1559</v>
      </c>
    </row>
    <row r="102" spans="8:26" ht="15.6" x14ac:dyDescent="0.3">
      <c r="H102" s="7" t="s">
        <v>2840</v>
      </c>
      <c r="X102" s="14" t="s">
        <v>270</v>
      </c>
      <c r="Z102" s="17" t="s">
        <v>1519</v>
      </c>
    </row>
    <row r="103" spans="8:26" ht="15.6" x14ac:dyDescent="0.3">
      <c r="H103" s="8" t="s">
        <v>2841</v>
      </c>
      <c r="X103" s="14" t="s">
        <v>271</v>
      </c>
      <c r="Z103" s="17" t="s">
        <v>1577</v>
      </c>
    </row>
    <row r="104" spans="8:26" ht="15.6" x14ac:dyDescent="0.3">
      <c r="H104" s="7" t="s">
        <v>2842</v>
      </c>
      <c r="X104" s="14" t="s">
        <v>272</v>
      </c>
      <c r="Z104" s="17" t="s">
        <v>1256</v>
      </c>
    </row>
    <row r="105" spans="8:26" ht="15.6" x14ac:dyDescent="0.3">
      <c r="H105" s="8" t="s">
        <v>2625</v>
      </c>
      <c r="X105" s="14" t="s">
        <v>272</v>
      </c>
      <c r="Z105" s="17" t="s">
        <v>1565</v>
      </c>
    </row>
    <row r="106" spans="8:26" ht="15.6" x14ac:dyDescent="0.3">
      <c r="H106" s="7" t="s">
        <v>2843</v>
      </c>
      <c r="X106" s="14" t="s">
        <v>272</v>
      </c>
      <c r="Z106" s="17" t="s">
        <v>1565</v>
      </c>
    </row>
    <row r="107" spans="8:26" ht="15.6" x14ac:dyDescent="0.3">
      <c r="H107" s="8" t="s">
        <v>2844</v>
      </c>
      <c r="X107" s="14" t="s">
        <v>272</v>
      </c>
      <c r="Z107" s="17" t="s">
        <v>1560</v>
      </c>
    </row>
    <row r="108" spans="8:26" ht="15.6" x14ac:dyDescent="0.3">
      <c r="H108" s="7" t="s">
        <v>2845</v>
      </c>
      <c r="X108" s="14" t="s">
        <v>272</v>
      </c>
      <c r="Z108" s="17" t="s">
        <v>1561</v>
      </c>
    </row>
    <row r="109" spans="8:26" ht="15.6" x14ac:dyDescent="0.3">
      <c r="H109" s="8" t="s">
        <v>2846</v>
      </c>
      <c r="X109" s="14" t="s">
        <v>292</v>
      </c>
      <c r="Z109" s="17" t="s">
        <v>1502</v>
      </c>
    </row>
    <row r="110" spans="8:26" ht="15.6" x14ac:dyDescent="0.3">
      <c r="H110" s="7" t="s">
        <v>2847</v>
      </c>
      <c r="X110" s="14" t="s">
        <v>211</v>
      </c>
      <c r="Z110" s="17" t="s">
        <v>476</v>
      </c>
    </row>
    <row r="111" spans="8:26" ht="15.6" x14ac:dyDescent="0.3">
      <c r="H111" s="8" t="s">
        <v>2848</v>
      </c>
      <c r="X111" s="14" t="s">
        <v>212</v>
      </c>
      <c r="Z111" s="17" t="s">
        <v>2754</v>
      </c>
    </row>
    <row r="112" spans="8:26" ht="15.6" x14ac:dyDescent="0.3">
      <c r="H112" s="7" t="s">
        <v>2849</v>
      </c>
      <c r="X112" s="14" t="s">
        <v>281</v>
      </c>
      <c r="Z112" s="17" t="s">
        <v>1503</v>
      </c>
    </row>
    <row r="113" spans="8:26" ht="15.6" x14ac:dyDescent="0.3">
      <c r="H113" s="8" t="s">
        <v>2850</v>
      </c>
      <c r="X113" s="14" t="s">
        <v>186</v>
      </c>
      <c r="Z113" s="17" t="s">
        <v>1504</v>
      </c>
    </row>
    <row r="114" spans="8:26" ht="15.6" x14ac:dyDescent="0.3">
      <c r="H114" s="7" t="s">
        <v>2851</v>
      </c>
      <c r="X114" s="14" t="s">
        <v>228</v>
      </c>
      <c r="Z114" s="17" t="s">
        <v>1549</v>
      </c>
    </row>
    <row r="115" spans="8:26" ht="15.6" x14ac:dyDescent="0.3">
      <c r="H115" s="8" t="s">
        <v>2852</v>
      </c>
      <c r="X115" s="14" t="s">
        <v>293</v>
      </c>
      <c r="Z115" s="17" t="s">
        <v>1578</v>
      </c>
    </row>
    <row r="116" spans="8:26" ht="15.6" x14ac:dyDescent="0.3">
      <c r="H116" s="7" t="s">
        <v>2853</v>
      </c>
      <c r="X116" s="14" t="s">
        <v>213</v>
      </c>
      <c r="Z116" s="17" t="s">
        <v>1579</v>
      </c>
    </row>
    <row r="117" spans="8:26" ht="15.6" x14ac:dyDescent="0.3">
      <c r="H117" s="8" t="s">
        <v>2854</v>
      </c>
      <c r="X117" s="14" t="s">
        <v>187</v>
      </c>
      <c r="Z117" s="17" t="s">
        <v>1580</v>
      </c>
    </row>
    <row r="118" spans="8:26" ht="15.6" x14ac:dyDescent="0.3">
      <c r="H118" s="7" t="s">
        <v>2855</v>
      </c>
      <c r="X118" s="14" t="s">
        <v>255</v>
      </c>
      <c r="Z118" s="17" t="s">
        <v>1505</v>
      </c>
    </row>
    <row r="119" spans="8:26" ht="15.6" x14ac:dyDescent="0.3">
      <c r="H119" s="8" t="s">
        <v>2856</v>
      </c>
      <c r="X119" s="14" t="s">
        <v>282</v>
      </c>
      <c r="Z119" s="17" t="s">
        <v>1520</v>
      </c>
    </row>
    <row r="120" spans="8:26" ht="15.6" x14ac:dyDescent="0.3">
      <c r="H120" s="7" t="s">
        <v>2857</v>
      </c>
      <c r="X120" s="14" t="s">
        <v>214</v>
      </c>
      <c r="Z120" s="17" t="s">
        <v>1550</v>
      </c>
    </row>
    <row r="121" spans="8:26" ht="15.6" x14ac:dyDescent="0.3">
      <c r="H121" s="8" t="s">
        <v>57</v>
      </c>
      <c r="X121" s="14" t="s">
        <v>188</v>
      </c>
      <c r="Z121" s="17" t="s">
        <v>1534</v>
      </c>
    </row>
    <row r="122" spans="8:26" ht="15.6" x14ac:dyDescent="0.3">
      <c r="H122" s="7" t="s">
        <v>2858</v>
      </c>
      <c r="X122" s="14" t="s">
        <v>283</v>
      </c>
      <c r="Z122" s="17" t="s">
        <v>1606</v>
      </c>
    </row>
    <row r="123" spans="8:26" ht="15.6" x14ac:dyDescent="0.3">
      <c r="H123" s="8" t="s">
        <v>2859</v>
      </c>
      <c r="X123" s="14" t="s">
        <v>166</v>
      </c>
      <c r="Z123" s="17" t="s">
        <v>1158</v>
      </c>
    </row>
    <row r="124" spans="8:26" ht="15.6" x14ac:dyDescent="0.3">
      <c r="H124" s="7" t="s">
        <v>2860</v>
      </c>
      <c r="X124" s="14" t="s">
        <v>215</v>
      </c>
      <c r="Z124" s="17" t="s">
        <v>1581</v>
      </c>
    </row>
    <row r="125" spans="8:26" ht="15.6" x14ac:dyDescent="0.3">
      <c r="H125" s="8" t="s">
        <v>2861</v>
      </c>
      <c r="X125" s="14" t="s">
        <v>284</v>
      </c>
      <c r="Z125" s="17" t="s">
        <v>1582</v>
      </c>
    </row>
    <row r="126" spans="8:26" ht="15.6" x14ac:dyDescent="0.3">
      <c r="H126" s="7" t="s">
        <v>2862</v>
      </c>
      <c r="X126" s="14" t="s">
        <v>273</v>
      </c>
      <c r="Z126" s="17" t="s">
        <v>1506</v>
      </c>
    </row>
    <row r="127" spans="8:26" ht="15.6" x14ac:dyDescent="0.3">
      <c r="H127" s="8" t="s">
        <v>2616</v>
      </c>
      <c r="X127" s="14" t="s">
        <v>199</v>
      </c>
      <c r="Z127" s="17" t="s">
        <v>1535</v>
      </c>
    </row>
    <row r="128" spans="8:26" ht="15.6" x14ac:dyDescent="0.3">
      <c r="H128" s="7" t="s">
        <v>2863</v>
      </c>
      <c r="X128" s="14" t="s">
        <v>274</v>
      </c>
      <c r="Z128" s="17" t="s">
        <v>1536</v>
      </c>
    </row>
    <row r="129" spans="8:26" ht="15.6" x14ac:dyDescent="0.3">
      <c r="H129" s="8" t="s">
        <v>2864</v>
      </c>
      <c r="X129" s="14" t="s">
        <v>285</v>
      </c>
      <c r="Z129" s="17" t="s">
        <v>1566</v>
      </c>
    </row>
    <row r="130" spans="8:26" ht="15.6" x14ac:dyDescent="0.3">
      <c r="H130" s="7" t="s">
        <v>2865</v>
      </c>
      <c r="X130" s="14" t="s">
        <v>229</v>
      </c>
      <c r="Z130" s="17" t="s">
        <v>1583</v>
      </c>
    </row>
    <row r="131" spans="8:26" ht="15.6" x14ac:dyDescent="0.3">
      <c r="H131" s="8" t="s">
        <v>2866</v>
      </c>
      <c r="X131" s="14" t="s">
        <v>216</v>
      </c>
      <c r="Z131" s="17" t="s">
        <v>1537</v>
      </c>
    </row>
    <row r="132" spans="8:26" ht="15.6" x14ac:dyDescent="0.3">
      <c r="H132" s="7" t="s">
        <v>2867</v>
      </c>
      <c r="X132" s="14" t="s">
        <v>217</v>
      </c>
      <c r="Z132" s="17" t="s">
        <v>1507</v>
      </c>
    </row>
    <row r="133" spans="8:26" ht="15.6" x14ac:dyDescent="0.3">
      <c r="H133" s="8" t="s">
        <v>2868</v>
      </c>
      <c r="X133" s="14" t="s">
        <v>230</v>
      </c>
      <c r="Z133" s="17" t="s">
        <v>1507</v>
      </c>
    </row>
    <row r="134" spans="8:26" ht="15.6" x14ac:dyDescent="0.3">
      <c r="H134" s="7" t="s">
        <v>2869</v>
      </c>
      <c r="X134" s="14" t="s">
        <v>231</v>
      </c>
      <c r="Z134" s="17" t="s">
        <v>1521</v>
      </c>
    </row>
    <row r="135" spans="8:26" ht="15.6" x14ac:dyDescent="0.3">
      <c r="H135" s="8" t="s">
        <v>2870</v>
      </c>
      <c r="X135" s="14" t="s">
        <v>189</v>
      </c>
      <c r="Z135" s="17" t="s">
        <v>1236</v>
      </c>
    </row>
    <row r="136" spans="8:26" ht="15.6" x14ac:dyDescent="0.3">
      <c r="H136" s="7" t="s">
        <v>2871</v>
      </c>
      <c r="X136" s="14" t="s">
        <v>232</v>
      </c>
      <c r="Z136" s="17" t="s">
        <v>1508</v>
      </c>
    </row>
    <row r="137" spans="8:26" ht="15.6" x14ac:dyDescent="0.3">
      <c r="H137" s="8" t="s">
        <v>2872</v>
      </c>
      <c r="Z137" s="17" t="s">
        <v>1509</v>
      </c>
    </row>
    <row r="138" spans="8:26" ht="31.2" x14ac:dyDescent="0.3">
      <c r="H138" s="7" t="s">
        <v>2873</v>
      </c>
      <c r="X138" s="2" t="s">
        <v>145</v>
      </c>
      <c r="Z138" s="17" t="s">
        <v>1584</v>
      </c>
    </row>
    <row r="139" spans="8:26" ht="20.399999999999999" x14ac:dyDescent="0.3">
      <c r="H139" s="8" t="s">
        <v>2667</v>
      </c>
      <c r="X139" s="51" t="s">
        <v>327</v>
      </c>
      <c r="Z139" s="17" t="s">
        <v>1538</v>
      </c>
    </row>
    <row r="140" spans="8:26" ht="15.6" x14ac:dyDescent="0.3">
      <c r="H140" s="7" t="s">
        <v>2874</v>
      </c>
      <c r="X140" s="15" t="s">
        <v>295</v>
      </c>
      <c r="Z140" s="17" t="s">
        <v>1510</v>
      </c>
    </row>
    <row r="141" spans="8:26" ht="20.399999999999999" x14ac:dyDescent="0.3">
      <c r="H141" s="8" t="s">
        <v>2875</v>
      </c>
      <c r="X141" s="15" t="s">
        <v>307</v>
      </c>
      <c r="Z141" s="17" t="s">
        <v>1522</v>
      </c>
    </row>
    <row r="142" spans="8:26" ht="31.2" x14ac:dyDescent="0.3">
      <c r="H142" s="7" t="s">
        <v>2876</v>
      </c>
      <c r="X142" s="15" t="s">
        <v>308</v>
      </c>
      <c r="Z142" s="17" t="s">
        <v>1511</v>
      </c>
    </row>
    <row r="143" spans="8:26" ht="15.6" x14ac:dyDescent="0.3">
      <c r="H143" s="8" t="s">
        <v>2877</v>
      </c>
      <c r="X143" s="15" t="s">
        <v>338</v>
      </c>
      <c r="Z143" s="17" t="s">
        <v>1585</v>
      </c>
    </row>
    <row r="144" spans="8:26" ht="20.399999999999999" x14ac:dyDescent="0.3">
      <c r="H144" s="7" t="s">
        <v>2878</v>
      </c>
      <c r="X144" s="15" t="s">
        <v>309</v>
      </c>
      <c r="Z144" s="17" t="s">
        <v>1523</v>
      </c>
    </row>
    <row r="145" spans="8:26" ht="31.2" x14ac:dyDescent="0.3">
      <c r="H145" s="7" t="s">
        <v>2879</v>
      </c>
      <c r="X145" s="15" t="s">
        <v>339</v>
      </c>
      <c r="Z145" s="17" t="s">
        <v>1539</v>
      </c>
    </row>
    <row r="146" spans="8:26" ht="31.2" x14ac:dyDescent="0.3">
      <c r="H146" s="8" t="s">
        <v>2880</v>
      </c>
      <c r="X146" s="15" t="s">
        <v>340</v>
      </c>
      <c r="Z146" s="17" t="s">
        <v>1586</v>
      </c>
    </row>
    <row r="147" spans="8:26" ht="15.6" x14ac:dyDescent="0.3">
      <c r="H147" s="8" t="s">
        <v>2881</v>
      </c>
      <c r="X147" s="15" t="s">
        <v>296</v>
      </c>
      <c r="Z147" s="17" t="s">
        <v>1512</v>
      </c>
    </row>
    <row r="148" spans="8:26" ht="15.6" x14ac:dyDescent="0.3">
      <c r="H148" s="7" t="s">
        <v>2882</v>
      </c>
      <c r="X148" s="15" t="s">
        <v>328</v>
      </c>
      <c r="Z148" s="17" t="s">
        <v>410</v>
      </c>
    </row>
    <row r="149" spans="8:26" ht="20.399999999999999" x14ac:dyDescent="0.3">
      <c r="H149" s="8" t="s">
        <v>2883</v>
      </c>
      <c r="X149" s="15" t="s">
        <v>329</v>
      </c>
      <c r="Z149" s="17" t="s">
        <v>1587</v>
      </c>
    </row>
    <row r="150" spans="8:26" ht="20.399999999999999" x14ac:dyDescent="0.3">
      <c r="H150" s="7" t="s">
        <v>106</v>
      </c>
      <c r="X150" s="15" t="s">
        <v>330</v>
      </c>
      <c r="Z150" s="17" t="s">
        <v>1588</v>
      </c>
    </row>
    <row r="151" spans="8:26" ht="20.399999999999999" x14ac:dyDescent="0.3">
      <c r="H151" s="8" t="s">
        <v>2884</v>
      </c>
      <c r="X151" s="15" t="s">
        <v>331</v>
      </c>
      <c r="Z151" s="17" t="s">
        <v>1607</v>
      </c>
    </row>
    <row r="152" spans="8:26" ht="31.2" x14ac:dyDescent="0.3">
      <c r="H152" s="7" t="s">
        <v>2885</v>
      </c>
      <c r="X152" s="52" t="s">
        <v>294</v>
      </c>
      <c r="Z152" s="17" t="s">
        <v>1567</v>
      </c>
    </row>
    <row r="153" spans="8:26" ht="15.6" x14ac:dyDescent="0.3">
      <c r="H153" s="8" t="s">
        <v>2886</v>
      </c>
      <c r="X153" s="15" t="s">
        <v>310</v>
      </c>
      <c r="Z153" s="17" t="s">
        <v>1524</v>
      </c>
    </row>
    <row r="154" spans="8:26" ht="15.6" x14ac:dyDescent="0.3">
      <c r="H154" s="7" t="s">
        <v>2723</v>
      </c>
      <c r="X154" s="15" t="s">
        <v>332</v>
      </c>
      <c r="Z154" s="17" t="s">
        <v>1525</v>
      </c>
    </row>
    <row r="155" spans="8:26" ht="15.6" x14ac:dyDescent="0.3">
      <c r="H155" s="8" t="s">
        <v>2887</v>
      </c>
      <c r="X155" s="15" t="s">
        <v>297</v>
      </c>
      <c r="Z155" s="17" t="s">
        <v>1589</v>
      </c>
    </row>
    <row r="156" spans="8:26" ht="15.6" x14ac:dyDescent="0.3">
      <c r="H156" s="8" t="s">
        <v>2888</v>
      </c>
      <c r="X156" s="15" t="s">
        <v>311</v>
      </c>
      <c r="Z156" s="17" t="s">
        <v>1590</v>
      </c>
    </row>
    <row r="157" spans="8:26" ht="15.6" x14ac:dyDescent="0.3">
      <c r="H157" s="7" t="s">
        <v>2889</v>
      </c>
      <c r="X157" s="15" t="s">
        <v>298</v>
      </c>
      <c r="Z157" s="17" t="s">
        <v>1551</v>
      </c>
    </row>
    <row r="158" spans="8:26" ht="15.6" x14ac:dyDescent="0.3">
      <c r="H158" s="8" t="s">
        <v>2890</v>
      </c>
      <c r="X158" s="15" t="s">
        <v>333</v>
      </c>
      <c r="Z158" s="17" t="s">
        <v>1540</v>
      </c>
    </row>
    <row r="159" spans="8:26" ht="15.6" x14ac:dyDescent="0.3">
      <c r="H159" s="7" t="s">
        <v>2891</v>
      </c>
      <c r="X159" s="15" t="s">
        <v>312</v>
      </c>
      <c r="Z159" s="17" t="s">
        <v>1526</v>
      </c>
    </row>
    <row r="160" spans="8:26" ht="15.6" x14ac:dyDescent="0.3">
      <c r="H160" s="8" t="s">
        <v>2892</v>
      </c>
      <c r="X160" s="15" t="s">
        <v>334</v>
      </c>
      <c r="Z160" s="17" t="s">
        <v>1591</v>
      </c>
    </row>
    <row r="161" spans="8:26" ht="15.6" x14ac:dyDescent="0.3">
      <c r="H161" s="7" t="s">
        <v>2893</v>
      </c>
      <c r="X161" s="15" t="s">
        <v>313</v>
      </c>
      <c r="Z161" s="17" t="s">
        <v>1541</v>
      </c>
    </row>
    <row r="162" spans="8:26" ht="15.6" x14ac:dyDescent="0.3">
      <c r="H162" s="8" t="s">
        <v>2791</v>
      </c>
      <c r="X162" s="15" t="s">
        <v>314</v>
      </c>
      <c r="Z162" s="17" t="s">
        <v>1527</v>
      </c>
    </row>
    <row r="163" spans="8:26" ht="15.6" x14ac:dyDescent="0.3">
      <c r="H163" s="7" t="s">
        <v>2894</v>
      </c>
      <c r="X163" s="15" t="s">
        <v>315</v>
      </c>
      <c r="Z163" s="17" t="s">
        <v>1513</v>
      </c>
    </row>
    <row r="164" spans="8:26" ht="15.6" x14ac:dyDescent="0.3">
      <c r="H164" s="8" t="s">
        <v>2895</v>
      </c>
      <c r="X164" s="15" t="s">
        <v>299</v>
      </c>
      <c r="Z164" s="17" t="s">
        <v>1528</v>
      </c>
    </row>
    <row r="165" spans="8:26" ht="15.6" x14ac:dyDescent="0.3">
      <c r="H165" s="7" t="s">
        <v>2896</v>
      </c>
      <c r="X165" s="15" t="s">
        <v>299</v>
      </c>
      <c r="Z165" s="17" t="s">
        <v>1568</v>
      </c>
    </row>
    <row r="166" spans="8:26" ht="30.6" x14ac:dyDescent="0.3">
      <c r="H166" s="8" t="s">
        <v>2897</v>
      </c>
      <c r="X166" s="15" t="s">
        <v>303</v>
      </c>
      <c r="Z166" s="17" t="s">
        <v>1529</v>
      </c>
    </row>
    <row r="167" spans="8:26" ht="15.6" x14ac:dyDescent="0.3">
      <c r="H167" s="7" t="s">
        <v>2898</v>
      </c>
      <c r="X167" s="15" t="s">
        <v>316</v>
      </c>
      <c r="Z167" s="17" t="s">
        <v>1552</v>
      </c>
    </row>
    <row r="168" spans="8:26" ht="15.6" x14ac:dyDescent="0.3">
      <c r="H168" s="8" t="s">
        <v>2899</v>
      </c>
      <c r="X168" s="15" t="s">
        <v>304</v>
      </c>
      <c r="Z168" s="17" t="s">
        <v>1553</v>
      </c>
    </row>
    <row r="169" spans="8:26" ht="15.6" x14ac:dyDescent="0.3">
      <c r="H169" s="7" t="s">
        <v>115</v>
      </c>
      <c r="X169" s="15" t="s">
        <v>335</v>
      </c>
      <c r="Z169" s="17" t="s">
        <v>1514</v>
      </c>
    </row>
    <row r="170" spans="8:26" ht="15.6" x14ac:dyDescent="0.3">
      <c r="H170" s="8" t="s">
        <v>2900</v>
      </c>
      <c r="X170" s="15" t="s">
        <v>317</v>
      </c>
      <c r="Z170" s="17" t="s">
        <v>1542</v>
      </c>
    </row>
    <row r="171" spans="8:26" ht="15.6" x14ac:dyDescent="0.3">
      <c r="H171" s="7" t="s">
        <v>2901</v>
      </c>
      <c r="X171" s="15" t="s">
        <v>318</v>
      </c>
      <c r="Z171" s="17" t="s">
        <v>1530</v>
      </c>
    </row>
    <row r="172" spans="8:26" ht="15.6" x14ac:dyDescent="0.3">
      <c r="H172" s="8" t="s">
        <v>2902</v>
      </c>
      <c r="X172" s="15" t="s">
        <v>300</v>
      </c>
      <c r="Z172" s="17" t="s">
        <v>1569</v>
      </c>
    </row>
    <row r="173" spans="8:26" ht="20.399999999999999" x14ac:dyDescent="0.3">
      <c r="H173" s="7" t="s">
        <v>2903</v>
      </c>
      <c r="X173" s="15" t="s">
        <v>319</v>
      </c>
      <c r="Z173" s="17" t="s">
        <v>1592</v>
      </c>
    </row>
    <row r="174" spans="8:26" ht="20.399999999999999" x14ac:dyDescent="0.3">
      <c r="H174" s="8" t="s">
        <v>58</v>
      </c>
      <c r="X174" s="15" t="s">
        <v>320</v>
      </c>
      <c r="Z174" s="17" t="s">
        <v>1531</v>
      </c>
    </row>
    <row r="175" spans="8:26" ht="15.6" x14ac:dyDescent="0.3">
      <c r="H175" s="7" t="s">
        <v>2904</v>
      </c>
      <c r="X175" s="15" t="s">
        <v>341</v>
      </c>
      <c r="Z175" s="17" t="s">
        <v>1593</v>
      </c>
    </row>
    <row r="176" spans="8:26" ht="20.399999999999999" x14ac:dyDescent="0.3">
      <c r="X176" s="15" t="s">
        <v>321</v>
      </c>
      <c r="Z176" s="17" t="s">
        <v>1532</v>
      </c>
    </row>
    <row r="177" spans="8:26" x14ac:dyDescent="0.3">
      <c r="H177" s="3" t="s">
        <v>16</v>
      </c>
      <c r="X177" s="15" t="s">
        <v>322</v>
      </c>
      <c r="Z177" s="17" t="s">
        <v>2753</v>
      </c>
    </row>
    <row r="178" spans="8:26" ht="15.6" x14ac:dyDescent="0.3">
      <c r="H178" s="7" t="s">
        <v>2905</v>
      </c>
      <c r="X178" s="15" t="s">
        <v>323</v>
      </c>
      <c r="Z178" s="17" t="s">
        <v>1594</v>
      </c>
    </row>
    <row r="179" spans="8:26" ht="15.6" x14ac:dyDescent="0.3">
      <c r="H179" s="8" t="s">
        <v>2906</v>
      </c>
      <c r="X179" s="15" t="s">
        <v>336</v>
      </c>
      <c r="Z179" s="17" t="s">
        <v>1570</v>
      </c>
    </row>
    <row r="180" spans="8:26" ht="20.399999999999999" x14ac:dyDescent="0.3">
      <c r="H180" s="7" t="s">
        <v>2907</v>
      </c>
      <c r="X180" s="15" t="s">
        <v>337</v>
      </c>
      <c r="Z180" s="17" t="s">
        <v>1570</v>
      </c>
    </row>
    <row r="181" spans="8:26" ht="15.6" x14ac:dyDescent="0.3">
      <c r="H181" s="8" t="s">
        <v>2908</v>
      </c>
      <c r="X181" s="15" t="s">
        <v>305</v>
      </c>
      <c r="Z181" s="17" t="s">
        <v>1554</v>
      </c>
    </row>
    <row r="182" spans="8:26" ht="30.6" x14ac:dyDescent="0.3">
      <c r="H182" s="7" t="s">
        <v>2909</v>
      </c>
      <c r="X182" s="15" t="s">
        <v>306</v>
      </c>
      <c r="Z182" s="17" t="s">
        <v>1554</v>
      </c>
    </row>
    <row r="183" spans="8:26" ht="20.399999999999999" x14ac:dyDescent="0.3">
      <c r="H183" s="8" t="s">
        <v>2910</v>
      </c>
      <c r="X183" s="15" t="s">
        <v>324</v>
      </c>
      <c r="Z183" s="17" t="s">
        <v>1515</v>
      </c>
    </row>
    <row r="184" spans="8:26" x14ac:dyDescent="0.3">
      <c r="X184" s="15" t="s">
        <v>301</v>
      </c>
      <c r="Z184" s="17" t="s">
        <v>1595</v>
      </c>
    </row>
    <row r="185" spans="8:26" x14ac:dyDescent="0.3">
      <c r="H185" s="3" t="s">
        <v>17</v>
      </c>
      <c r="X185" s="15" t="s">
        <v>342</v>
      </c>
      <c r="Z185" s="17" t="s">
        <v>1555</v>
      </c>
    </row>
    <row r="186" spans="8:26" ht="15.6" x14ac:dyDescent="0.3">
      <c r="H186" s="7" t="s">
        <v>2911</v>
      </c>
      <c r="X186" s="15" t="s">
        <v>302</v>
      </c>
      <c r="Z186" s="17" t="s">
        <v>1213</v>
      </c>
    </row>
    <row r="187" spans="8:26" ht="15.6" x14ac:dyDescent="0.3">
      <c r="H187" s="8" t="s">
        <v>46</v>
      </c>
      <c r="X187" s="15" t="s">
        <v>325</v>
      </c>
      <c r="Z187" s="17" t="s">
        <v>1543</v>
      </c>
    </row>
    <row r="188" spans="8:26" ht="20.399999999999999" x14ac:dyDescent="0.3">
      <c r="H188" s="7" t="s">
        <v>2912</v>
      </c>
      <c r="X188" s="15" t="s">
        <v>326</v>
      </c>
      <c r="Z188" s="17" t="s">
        <v>1596</v>
      </c>
    </row>
    <row r="189" spans="8:26" ht="15.6" x14ac:dyDescent="0.3">
      <c r="H189" s="8" t="s">
        <v>2913</v>
      </c>
      <c r="Z189" s="17" t="s">
        <v>1544</v>
      </c>
    </row>
    <row r="190" spans="8:26" ht="15.6" x14ac:dyDescent="0.3">
      <c r="H190" s="7" t="s">
        <v>2914</v>
      </c>
      <c r="X190" s="2" t="s">
        <v>157</v>
      </c>
      <c r="Z190" s="17" t="s">
        <v>1293</v>
      </c>
    </row>
    <row r="191" spans="8:26" ht="20.399999999999999" x14ac:dyDescent="0.3">
      <c r="H191" s="8" t="s">
        <v>2915</v>
      </c>
      <c r="X191" s="16" t="s">
        <v>361</v>
      </c>
      <c r="Z191" s="17" t="s">
        <v>1545</v>
      </c>
    </row>
    <row r="192" spans="8:26" ht="20.399999999999999" x14ac:dyDescent="0.3">
      <c r="H192" s="7" t="s">
        <v>2916</v>
      </c>
      <c r="X192" s="16" t="s">
        <v>349</v>
      </c>
      <c r="Z192" s="17" t="s">
        <v>1516</v>
      </c>
    </row>
    <row r="193" spans="8:26" ht="15.6" x14ac:dyDescent="0.3">
      <c r="H193" s="8" t="s">
        <v>2917</v>
      </c>
      <c r="X193" s="16" t="s">
        <v>362</v>
      </c>
      <c r="Z193" s="17" t="s">
        <v>1546</v>
      </c>
    </row>
    <row r="194" spans="8:26" ht="15.6" x14ac:dyDescent="0.3">
      <c r="H194" s="7" t="s">
        <v>2918</v>
      </c>
      <c r="X194" s="16" t="s">
        <v>363</v>
      </c>
      <c r="Z194" s="17" t="s">
        <v>1547</v>
      </c>
    </row>
    <row r="195" spans="8:26" ht="20.399999999999999" x14ac:dyDescent="0.3">
      <c r="H195" s="8" t="s">
        <v>2919</v>
      </c>
      <c r="X195" s="16" t="s">
        <v>364</v>
      </c>
      <c r="Z195" s="17" t="s">
        <v>1571</v>
      </c>
    </row>
    <row r="196" spans="8:26" ht="15.6" x14ac:dyDescent="0.3">
      <c r="H196" s="7" t="s">
        <v>2920</v>
      </c>
      <c r="X196" s="16" t="s">
        <v>365</v>
      </c>
      <c r="Z196" s="17" t="s">
        <v>1597</v>
      </c>
    </row>
    <row r="197" spans="8:26" ht="15.6" x14ac:dyDescent="0.3">
      <c r="H197" s="8" t="s">
        <v>2921</v>
      </c>
      <c r="X197" s="16" t="s">
        <v>366</v>
      </c>
      <c r="Z197" s="17" t="s">
        <v>1598</v>
      </c>
    </row>
    <row r="198" spans="8:26" ht="15.6" x14ac:dyDescent="0.3">
      <c r="H198" s="7" t="s">
        <v>2922</v>
      </c>
      <c r="X198" s="16" t="s">
        <v>367</v>
      </c>
      <c r="Z198" s="17" t="s">
        <v>1599</v>
      </c>
    </row>
    <row r="199" spans="8:26" ht="15.6" x14ac:dyDescent="0.3">
      <c r="H199" s="8" t="s">
        <v>70</v>
      </c>
      <c r="X199" s="16" t="s">
        <v>368</v>
      </c>
      <c r="Z199" s="17" t="s">
        <v>1600</v>
      </c>
    </row>
    <row r="200" spans="8:26" ht="15.6" x14ac:dyDescent="0.3">
      <c r="H200" s="7" t="s">
        <v>2923</v>
      </c>
      <c r="X200" s="16" t="s">
        <v>369</v>
      </c>
      <c r="Z200" s="17" t="s">
        <v>1556</v>
      </c>
    </row>
    <row r="201" spans="8:26" ht="15.6" x14ac:dyDescent="0.3">
      <c r="H201" s="8" t="s">
        <v>2924</v>
      </c>
      <c r="X201" s="16" t="s">
        <v>370</v>
      </c>
      <c r="Z201" s="17" t="s">
        <v>1601</v>
      </c>
    </row>
    <row r="202" spans="8:26" ht="15.6" x14ac:dyDescent="0.3">
      <c r="H202" s="7" t="s">
        <v>2870</v>
      </c>
      <c r="X202" s="16" t="s">
        <v>371</v>
      </c>
      <c r="Z202" s="17" t="s">
        <v>1572</v>
      </c>
    </row>
    <row r="203" spans="8:26" ht="20.399999999999999" x14ac:dyDescent="0.3">
      <c r="H203" s="8" t="s">
        <v>2925</v>
      </c>
      <c r="X203" s="16" t="s">
        <v>372</v>
      </c>
      <c r="Z203" s="17" t="s">
        <v>1602</v>
      </c>
    </row>
    <row r="204" spans="8:26" ht="15.6" x14ac:dyDescent="0.3">
      <c r="H204" s="7" t="s">
        <v>2926</v>
      </c>
      <c r="X204" s="16" t="s">
        <v>350</v>
      </c>
      <c r="Z204" s="17" t="s">
        <v>1603</v>
      </c>
    </row>
    <row r="205" spans="8:26" ht="20.399999999999999" x14ac:dyDescent="0.3">
      <c r="H205" s="8" t="s">
        <v>2927</v>
      </c>
      <c r="X205" s="16" t="s">
        <v>373</v>
      </c>
      <c r="Z205" s="17" t="s">
        <v>1573</v>
      </c>
    </row>
    <row r="206" spans="8:26" ht="15.6" x14ac:dyDescent="0.3">
      <c r="H206" s="7" t="s">
        <v>2928</v>
      </c>
      <c r="X206" s="16" t="s">
        <v>354</v>
      </c>
      <c r="Z206" s="17" t="s">
        <v>1574</v>
      </c>
    </row>
    <row r="207" spans="8:26" ht="15.6" x14ac:dyDescent="0.3">
      <c r="H207" s="8" t="s">
        <v>2929</v>
      </c>
      <c r="X207" s="16" t="s">
        <v>355</v>
      </c>
      <c r="Z207" s="17" t="s">
        <v>1575</v>
      </c>
    </row>
    <row r="208" spans="8:26" ht="15.6" x14ac:dyDescent="0.3">
      <c r="H208" s="7" t="s">
        <v>2930</v>
      </c>
      <c r="X208" s="16" t="s">
        <v>351</v>
      </c>
      <c r="Z208" s="17" t="s">
        <v>1604</v>
      </c>
    </row>
    <row r="209" spans="8:26" x14ac:dyDescent="0.3">
      <c r="X209" s="16" t="s">
        <v>343</v>
      </c>
      <c r="Z209" s="17" t="s">
        <v>1605</v>
      </c>
    </row>
    <row r="210" spans="8:26" ht="20.399999999999999" x14ac:dyDescent="0.3">
      <c r="H210" s="3" t="s">
        <v>18</v>
      </c>
      <c r="X210" s="16" t="s">
        <v>352</v>
      </c>
      <c r="Z210" s="17" t="s">
        <v>1548</v>
      </c>
    </row>
    <row r="211" spans="8:26" ht="15.6" x14ac:dyDescent="0.3">
      <c r="H211" s="7" t="s">
        <v>2931</v>
      </c>
      <c r="X211" s="16" t="s">
        <v>374</v>
      </c>
    </row>
    <row r="212" spans="8:26" ht="30.6" x14ac:dyDescent="0.3">
      <c r="H212" s="8" t="s">
        <v>2932</v>
      </c>
      <c r="X212" s="16" t="s">
        <v>353</v>
      </c>
      <c r="Z212" s="2" t="s">
        <v>147</v>
      </c>
    </row>
    <row r="213" spans="8:26" ht="15.6" x14ac:dyDescent="0.3">
      <c r="H213" s="7" t="s">
        <v>2933</v>
      </c>
      <c r="X213" s="16" t="s">
        <v>356</v>
      </c>
      <c r="Z213" s="24" t="s">
        <v>1788</v>
      </c>
    </row>
    <row r="214" spans="8:26" ht="15.6" x14ac:dyDescent="0.3">
      <c r="H214" s="8" t="s">
        <v>2934</v>
      </c>
      <c r="X214" s="16" t="s">
        <v>359</v>
      </c>
      <c r="Z214" s="24" t="s">
        <v>1789</v>
      </c>
    </row>
    <row r="215" spans="8:26" ht="15.6" x14ac:dyDescent="0.3">
      <c r="H215" s="7" t="s">
        <v>2935</v>
      </c>
      <c r="X215" s="16" t="s">
        <v>357</v>
      </c>
      <c r="Z215" s="24" t="s">
        <v>1640</v>
      </c>
    </row>
    <row r="216" spans="8:26" ht="15.6" x14ac:dyDescent="0.3">
      <c r="H216" s="8" t="s">
        <v>2936</v>
      </c>
      <c r="X216" s="16" t="s">
        <v>375</v>
      </c>
      <c r="Z216" s="24" t="s">
        <v>1688</v>
      </c>
    </row>
    <row r="217" spans="8:26" ht="15.6" x14ac:dyDescent="0.3">
      <c r="H217" s="7" t="s">
        <v>2937</v>
      </c>
      <c r="X217" s="16" t="s">
        <v>376</v>
      </c>
      <c r="Z217" s="24" t="s">
        <v>1790</v>
      </c>
    </row>
    <row r="218" spans="8:26" ht="30.6" x14ac:dyDescent="0.3">
      <c r="H218" s="8" t="s">
        <v>2938</v>
      </c>
      <c r="X218" s="16" t="s">
        <v>344</v>
      </c>
      <c r="Z218" s="24" t="s">
        <v>1664</v>
      </c>
    </row>
    <row r="219" spans="8:26" ht="31.2" x14ac:dyDescent="0.3">
      <c r="H219" s="7" t="s">
        <v>59</v>
      </c>
      <c r="X219" s="16" t="s">
        <v>377</v>
      </c>
      <c r="Z219" s="24" t="s">
        <v>1791</v>
      </c>
    </row>
    <row r="220" spans="8:26" ht="20.399999999999999" x14ac:dyDescent="0.3">
      <c r="H220" s="8" t="s">
        <v>2939</v>
      </c>
      <c r="X220" s="16" t="s">
        <v>345</v>
      </c>
      <c r="Z220" s="24" t="s">
        <v>1689</v>
      </c>
    </row>
    <row r="221" spans="8:26" ht="20.399999999999999" x14ac:dyDescent="0.3">
      <c r="H221" s="7" t="s">
        <v>2940</v>
      </c>
      <c r="X221" s="16" t="s">
        <v>360</v>
      </c>
      <c r="Z221" s="24" t="s">
        <v>1690</v>
      </c>
    </row>
    <row r="222" spans="8:26" ht="15.6" x14ac:dyDescent="0.3">
      <c r="H222" s="8" t="s">
        <v>60</v>
      </c>
      <c r="X222" s="16" t="s">
        <v>346</v>
      </c>
      <c r="Z222" s="24" t="s">
        <v>1792</v>
      </c>
    </row>
    <row r="223" spans="8:26" ht="15.6" x14ac:dyDescent="0.3">
      <c r="H223" s="7" t="s">
        <v>2796</v>
      </c>
      <c r="X223" s="16" t="s">
        <v>378</v>
      </c>
      <c r="Z223" s="24" t="s">
        <v>1691</v>
      </c>
    </row>
    <row r="224" spans="8:26" ht="15.6" x14ac:dyDescent="0.3">
      <c r="H224" s="8" t="s">
        <v>2941</v>
      </c>
      <c r="X224" s="16" t="s">
        <v>347</v>
      </c>
      <c r="Z224" s="24" t="s">
        <v>1692</v>
      </c>
    </row>
    <row r="225" spans="8:26" ht="15.6" x14ac:dyDescent="0.3">
      <c r="H225" s="7" t="s">
        <v>2942</v>
      </c>
      <c r="X225" s="16" t="s">
        <v>358</v>
      </c>
      <c r="Z225" s="24" t="s">
        <v>1693</v>
      </c>
    </row>
    <row r="226" spans="8:26" ht="20.399999999999999" x14ac:dyDescent="0.3">
      <c r="H226" s="8" t="s">
        <v>2943</v>
      </c>
      <c r="X226" s="16" t="s">
        <v>379</v>
      </c>
      <c r="Z226" s="24" t="s">
        <v>1775</v>
      </c>
    </row>
    <row r="227" spans="8:26" ht="20.399999999999999" x14ac:dyDescent="0.3">
      <c r="H227" s="7" t="s">
        <v>2944</v>
      </c>
      <c r="X227" s="16" t="s">
        <v>348</v>
      </c>
      <c r="Z227" s="24" t="s">
        <v>1694</v>
      </c>
    </row>
    <row r="228" spans="8:26" ht="15.6" x14ac:dyDescent="0.3">
      <c r="H228" s="8" t="s">
        <v>2745</v>
      </c>
      <c r="X228" s="16" t="s">
        <v>380</v>
      </c>
      <c r="Z228" s="24" t="s">
        <v>1695</v>
      </c>
    </row>
    <row r="229" spans="8:26" ht="15.6" x14ac:dyDescent="0.3">
      <c r="H229" s="7" t="s">
        <v>2945</v>
      </c>
      <c r="Z229" s="24" t="s">
        <v>1786</v>
      </c>
    </row>
    <row r="230" spans="8:26" ht="28.8" x14ac:dyDescent="0.3">
      <c r="H230" s="8" t="s">
        <v>2946</v>
      </c>
      <c r="X230" s="2" t="s">
        <v>162</v>
      </c>
      <c r="Z230" s="24" t="s">
        <v>1641</v>
      </c>
    </row>
    <row r="231" spans="8:26" ht="15.6" x14ac:dyDescent="0.3">
      <c r="H231" s="7" t="s">
        <v>2947</v>
      </c>
      <c r="X231" s="17" t="s">
        <v>466</v>
      </c>
      <c r="Z231" s="24" t="s">
        <v>1673</v>
      </c>
    </row>
    <row r="232" spans="8:26" ht="15.6" x14ac:dyDescent="0.3">
      <c r="H232" s="8" t="s">
        <v>2709</v>
      </c>
      <c r="X232" s="17" t="s">
        <v>381</v>
      </c>
      <c r="Z232" s="24" t="s">
        <v>1696</v>
      </c>
    </row>
    <row r="233" spans="8:26" ht="15.6" x14ac:dyDescent="0.3">
      <c r="H233" s="7" t="s">
        <v>2948</v>
      </c>
      <c r="X233" s="17" t="s">
        <v>492</v>
      </c>
      <c r="Z233" s="24" t="s">
        <v>1665</v>
      </c>
    </row>
    <row r="234" spans="8:26" ht="15.6" x14ac:dyDescent="0.3">
      <c r="H234" s="8" t="s">
        <v>2949</v>
      </c>
      <c r="X234" s="17" t="s">
        <v>493</v>
      </c>
      <c r="Z234" s="24" t="s">
        <v>1835</v>
      </c>
    </row>
    <row r="235" spans="8:26" ht="15.6" x14ac:dyDescent="0.3">
      <c r="H235" s="7" t="s">
        <v>2950</v>
      </c>
      <c r="X235" s="17" t="s">
        <v>494</v>
      </c>
      <c r="Z235" s="24" t="s">
        <v>1642</v>
      </c>
    </row>
    <row r="236" spans="8:26" ht="15.6" x14ac:dyDescent="0.3">
      <c r="H236" s="8" t="s">
        <v>2951</v>
      </c>
      <c r="X236" s="17" t="s">
        <v>495</v>
      </c>
      <c r="Z236" s="24" t="s">
        <v>1836</v>
      </c>
    </row>
    <row r="237" spans="8:26" ht="15.6" x14ac:dyDescent="0.3">
      <c r="H237" s="7" t="s">
        <v>2952</v>
      </c>
      <c r="X237" s="17" t="s">
        <v>382</v>
      </c>
      <c r="Z237" s="24" t="s">
        <v>1697</v>
      </c>
    </row>
    <row r="238" spans="8:26" ht="15.6" x14ac:dyDescent="0.3">
      <c r="H238" s="8" t="s">
        <v>61</v>
      </c>
      <c r="X238" s="17" t="s">
        <v>496</v>
      </c>
      <c r="Z238" s="24" t="s">
        <v>1793</v>
      </c>
    </row>
    <row r="239" spans="8:26" ht="15.6" x14ac:dyDescent="0.3">
      <c r="H239" s="7" t="s">
        <v>2953</v>
      </c>
      <c r="X239" s="17" t="s">
        <v>383</v>
      </c>
      <c r="Z239" s="24" t="s">
        <v>1623</v>
      </c>
    </row>
    <row r="240" spans="8:26" ht="15.6" x14ac:dyDescent="0.3">
      <c r="H240" s="7" t="s">
        <v>2955</v>
      </c>
      <c r="X240" s="17" t="s">
        <v>384</v>
      </c>
      <c r="Z240" s="24" t="s">
        <v>1624</v>
      </c>
    </row>
    <row r="241" spans="8:26" ht="15.6" x14ac:dyDescent="0.3">
      <c r="H241" s="8" t="s">
        <v>2954</v>
      </c>
      <c r="X241" s="17" t="s">
        <v>531</v>
      </c>
      <c r="Z241" s="24" t="s">
        <v>1643</v>
      </c>
    </row>
    <row r="242" spans="8:26" ht="31.2" x14ac:dyDescent="0.3">
      <c r="H242" s="8" t="s">
        <v>2956</v>
      </c>
      <c r="X242" s="17" t="s">
        <v>465</v>
      </c>
      <c r="Z242" s="24" t="s">
        <v>1674</v>
      </c>
    </row>
    <row r="243" spans="8:26" ht="31.2" x14ac:dyDescent="0.3">
      <c r="H243" s="7" t="s">
        <v>2957</v>
      </c>
      <c r="X243" s="17" t="s">
        <v>467</v>
      </c>
      <c r="Z243" s="24" t="s">
        <v>1755</v>
      </c>
    </row>
    <row r="244" spans="8:26" ht="15.6" x14ac:dyDescent="0.3">
      <c r="H244" s="8" t="s">
        <v>2958</v>
      </c>
      <c r="X244" s="17" t="s">
        <v>468</v>
      </c>
      <c r="Z244" s="24" t="s">
        <v>1625</v>
      </c>
    </row>
    <row r="245" spans="8:26" ht="15.6" x14ac:dyDescent="0.3">
      <c r="H245" s="7" t="s">
        <v>1398</v>
      </c>
      <c r="X245" s="17" t="s">
        <v>385</v>
      </c>
      <c r="Z245" s="24" t="s">
        <v>1794</v>
      </c>
    </row>
    <row r="246" spans="8:26" ht="15.6" x14ac:dyDescent="0.3">
      <c r="H246" s="8" t="s">
        <v>2959</v>
      </c>
      <c r="X246" s="17" t="s">
        <v>469</v>
      </c>
      <c r="Z246" s="24" t="s">
        <v>1756</v>
      </c>
    </row>
    <row r="247" spans="8:26" ht="15.6" x14ac:dyDescent="0.3">
      <c r="H247" s="7" t="s">
        <v>2960</v>
      </c>
      <c r="X247" s="17" t="s">
        <v>470</v>
      </c>
      <c r="Z247" s="24" t="s">
        <v>1644</v>
      </c>
    </row>
    <row r="248" spans="8:26" ht="15.6" x14ac:dyDescent="0.3">
      <c r="H248" s="8" t="s">
        <v>2961</v>
      </c>
      <c r="X248" s="17" t="s">
        <v>471</v>
      </c>
      <c r="Z248" s="24" t="s">
        <v>1626</v>
      </c>
    </row>
    <row r="249" spans="8:26" ht="15.6" x14ac:dyDescent="0.3">
      <c r="H249" s="7" t="s">
        <v>2962</v>
      </c>
      <c r="X249" s="17" t="s">
        <v>386</v>
      </c>
      <c r="Z249" s="24" t="s">
        <v>1627</v>
      </c>
    </row>
    <row r="250" spans="8:26" ht="15.6" x14ac:dyDescent="0.3">
      <c r="H250" s="8" t="s">
        <v>2963</v>
      </c>
      <c r="X250" s="17" t="s">
        <v>497</v>
      </c>
      <c r="Z250" s="24" t="s">
        <v>1837</v>
      </c>
    </row>
    <row r="251" spans="8:26" ht="15.6" x14ac:dyDescent="0.3">
      <c r="H251" s="7" t="s">
        <v>62</v>
      </c>
      <c r="X251" s="17" t="s">
        <v>387</v>
      </c>
      <c r="Z251" s="24" t="s">
        <v>1838</v>
      </c>
    </row>
    <row r="252" spans="8:26" ht="15.6" x14ac:dyDescent="0.3">
      <c r="H252" s="8" t="s">
        <v>2964</v>
      </c>
      <c r="X252" s="17" t="s">
        <v>388</v>
      </c>
      <c r="Z252" s="24" t="s">
        <v>1747</v>
      </c>
    </row>
    <row r="253" spans="8:26" ht="15.6" x14ac:dyDescent="0.3">
      <c r="H253" s="7" t="s">
        <v>2965</v>
      </c>
      <c r="X253" s="17" t="s">
        <v>498</v>
      </c>
      <c r="Z253" s="24" t="s">
        <v>1748</v>
      </c>
    </row>
    <row r="254" spans="8:26" ht="15.6" x14ac:dyDescent="0.3">
      <c r="H254" s="8" t="s">
        <v>2734</v>
      </c>
      <c r="X254" s="17" t="s">
        <v>472</v>
      </c>
      <c r="Z254" s="24" t="s">
        <v>1749</v>
      </c>
    </row>
    <row r="255" spans="8:26" ht="19.2" x14ac:dyDescent="0.3">
      <c r="H255" s="7" t="s">
        <v>2638</v>
      </c>
      <c r="X255" s="17" t="s">
        <v>473</v>
      </c>
      <c r="Z255" s="24" t="s">
        <v>1750</v>
      </c>
    </row>
    <row r="256" spans="8:26" x14ac:dyDescent="0.3">
      <c r="X256" s="17" t="s">
        <v>389</v>
      </c>
      <c r="Z256" s="24" t="s">
        <v>1751</v>
      </c>
    </row>
    <row r="257" spans="8:26" x14ac:dyDescent="0.3">
      <c r="H257" s="3" t="s">
        <v>19</v>
      </c>
      <c r="X257" s="17" t="s">
        <v>390</v>
      </c>
      <c r="Z257" s="24" t="s">
        <v>1698</v>
      </c>
    </row>
    <row r="258" spans="8:26" ht="15.6" x14ac:dyDescent="0.3">
      <c r="H258" s="7" t="s">
        <v>2966</v>
      </c>
      <c r="X258" s="17" t="s">
        <v>447</v>
      </c>
      <c r="Z258" s="24" t="s">
        <v>1699</v>
      </c>
    </row>
    <row r="259" spans="8:26" ht="15.6" x14ac:dyDescent="0.3">
      <c r="H259" s="8" t="s">
        <v>2967</v>
      </c>
      <c r="X259" s="17" t="s">
        <v>447</v>
      </c>
      <c r="Z259" s="24" t="s">
        <v>1757</v>
      </c>
    </row>
    <row r="260" spans="8:26" ht="15.6" x14ac:dyDescent="0.3">
      <c r="H260" s="7" t="s">
        <v>2968</v>
      </c>
      <c r="X260" s="17" t="s">
        <v>448</v>
      </c>
      <c r="Z260" s="24" t="s">
        <v>1715</v>
      </c>
    </row>
    <row r="261" spans="8:26" ht="15.6" x14ac:dyDescent="0.3">
      <c r="H261" s="8" t="s">
        <v>2969</v>
      </c>
      <c r="X261" s="17" t="s">
        <v>449</v>
      </c>
      <c r="Z261" s="24" t="s">
        <v>1776</v>
      </c>
    </row>
    <row r="262" spans="8:26" ht="15.6" x14ac:dyDescent="0.3">
      <c r="H262" s="7" t="s">
        <v>2970</v>
      </c>
      <c r="X262" s="17" t="s">
        <v>391</v>
      </c>
      <c r="Z262" s="24" t="s">
        <v>1777</v>
      </c>
    </row>
    <row r="263" spans="8:26" ht="15.6" x14ac:dyDescent="0.3">
      <c r="H263" s="8" t="s">
        <v>2971</v>
      </c>
      <c r="X263" s="17" t="s">
        <v>532</v>
      </c>
      <c r="Z263" s="24" t="s">
        <v>1759</v>
      </c>
    </row>
    <row r="264" spans="8:26" ht="15.6" x14ac:dyDescent="0.3">
      <c r="H264" s="7" t="s">
        <v>2972</v>
      </c>
      <c r="X264" s="17" t="s">
        <v>533</v>
      </c>
      <c r="Z264" s="24" t="s">
        <v>1840</v>
      </c>
    </row>
    <row r="265" spans="8:26" ht="15.6" x14ac:dyDescent="0.3">
      <c r="H265" s="8" t="s">
        <v>2710</v>
      </c>
      <c r="X265" s="17" t="s">
        <v>534</v>
      </c>
      <c r="Z265" s="24" t="s">
        <v>1610</v>
      </c>
    </row>
    <row r="266" spans="8:26" ht="15.6" x14ac:dyDescent="0.3">
      <c r="H266" s="7" t="s">
        <v>2643</v>
      </c>
      <c r="X266" s="17" t="s">
        <v>392</v>
      </c>
      <c r="Z266" s="24" t="s">
        <v>1760</v>
      </c>
    </row>
    <row r="267" spans="8:26" ht="15.6" x14ac:dyDescent="0.3">
      <c r="H267" s="8" t="s">
        <v>2973</v>
      </c>
      <c r="X267" s="17" t="s">
        <v>535</v>
      </c>
      <c r="Z267" s="24" t="s">
        <v>1700</v>
      </c>
    </row>
    <row r="268" spans="8:26" ht="15.6" x14ac:dyDescent="0.3">
      <c r="H268" s="7" t="s">
        <v>2974</v>
      </c>
      <c r="X268" s="17" t="s">
        <v>393</v>
      </c>
      <c r="Z268" s="24" t="s">
        <v>1701</v>
      </c>
    </row>
    <row r="269" spans="8:26" ht="15.6" x14ac:dyDescent="0.3">
      <c r="H269" s="8" t="s">
        <v>2718</v>
      </c>
      <c r="X269" s="17" t="s">
        <v>393</v>
      </c>
      <c r="Z269" s="24" t="s">
        <v>1761</v>
      </c>
    </row>
    <row r="270" spans="8:26" ht="15.6" x14ac:dyDescent="0.3">
      <c r="H270" s="7" t="s">
        <v>2975</v>
      </c>
      <c r="X270" s="17" t="s">
        <v>499</v>
      </c>
      <c r="Z270" s="24" t="s">
        <v>1752</v>
      </c>
    </row>
    <row r="271" spans="8:26" ht="15.6" x14ac:dyDescent="0.3">
      <c r="H271" s="8" t="s">
        <v>2976</v>
      </c>
      <c r="X271" s="17" t="s">
        <v>474</v>
      </c>
      <c r="Z271" s="24" t="s">
        <v>1702</v>
      </c>
    </row>
    <row r="272" spans="8:26" ht="15.6" x14ac:dyDescent="0.3">
      <c r="H272" s="7" t="s">
        <v>2977</v>
      </c>
      <c r="X272" s="17" t="s">
        <v>394</v>
      </c>
      <c r="Z272" s="24" t="s">
        <v>1703</v>
      </c>
    </row>
    <row r="273" spans="8:26" ht="15.6" x14ac:dyDescent="0.3">
      <c r="H273" s="8" t="s">
        <v>2978</v>
      </c>
      <c r="X273" s="17" t="s">
        <v>475</v>
      </c>
      <c r="Z273" s="24" t="s">
        <v>1704</v>
      </c>
    </row>
    <row r="274" spans="8:26" ht="15.6" x14ac:dyDescent="0.3">
      <c r="H274" s="7" t="s">
        <v>2979</v>
      </c>
      <c r="X274" s="17" t="s">
        <v>395</v>
      </c>
      <c r="Z274" s="24" t="s">
        <v>1839</v>
      </c>
    </row>
    <row r="275" spans="8:26" ht="15.6" x14ac:dyDescent="0.3">
      <c r="H275" s="8" t="s">
        <v>2980</v>
      </c>
      <c r="X275" s="17" t="s">
        <v>476</v>
      </c>
      <c r="Z275" s="24" t="s">
        <v>1705</v>
      </c>
    </row>
    <row r="276" spans="8:26" ht="15.6" x14ac:dyDescent="0.3">
      <c r="H276" s="7" t="s">
        <v>2981</v>
      </c>
      <c r="X276" s="17" t="s">
        <v>396</v>
      </c>
      <c r="Z276" s="24" t="s">
        <v>1706</v>
      </c>
    </row>
    <row r="277" spans="8:26" ht="15.6" x14ac:dyDescent="0.3">
      <c r="H277" s="8" t="s">
        <v>2982</v>
      </c>
      <c r="X277" s="17" t="s">
        <v>536</v>
      </c>
      <c r="Z277" s="24" t="s">
        <v>1707</v>
      </c>
    </row>
    <row r="278" spans="8:26" ht="15.6" x14ac:dyDescent="0.3">
      <c r="H278" s="7" t="s">
        <v>2983</v>
      </c>
      <c r="X278" s="17" t="s">
        <v>576</v>
      </c>
      <c r="Z278" s="24" t="s">
        <v>1709</v>
      </c>
    </row>
    <row r="279" spans="8:26" ht="15.6" x14ac:dyDescent="0.3">
      <c r="H279" s="8" t="s">
        <v>2984</v>
      </c>
      <c r="X279" s="17" t="s">
        <v>537</v>
      </c>
      <c r="Z279" s="24" t="s">
        <v>1710</v>
      </c>
    </row>
    <row r="280" spans="8:26" ht="15.6" x14ac:dyDescent="0.3">
      <c r="H280" s="7" t="s">
        <v>2985</v>
      </c>
      <c r="X280" s="17" t="s">
        <v>500</v>
      </c>
      <c r="Z280" s="24" t="s">
        <v>1711</v>
      </c>
    </row>
    <row r="281" spans="8:26" ht="19.2" x14ac:dyDescent="0.3">
      <c r="H281" s="8" t="s">
        <v>2986</v>
      </c>
      <c r="X281" s="17" t="s">
        <v>397</v>
      </c>
      <c r="Z281" s="24" t="s">
        <v>1628</v>
      </c>
    </row>
    <row r="282" spans="8:26" ht="19.2" x14ac:dyDescent="0.3">
      <c r="H282" s="7" t="s">
        <v>2987</v>
      </c>
      <c r="X282" s="17" t="s">
        <v>398</v>
      </c>
      <c r="Z282" s="24" t="s">
        <v>1795</v>
      </c>
    </row>
    <row r="283" spans="8:26" ht="15.6" x14ac:dyDescent="0.3">
      <c r="H283" s="8" t="s">
        <v>63</v>
      </c>
      <c r="X283" s="17" t="s">
        <v>501</v>
      </c>
      <c r="Z283" s="24" t="s">
        <v>1796</v>
      </c>
    </row>
    <row r="284" spans="8:26" ht="15.6" x14ac:dyDescent="0.3">
      <c r="H284" s="7" t="s">
        <v>2988</v>
      </c>
      <c r="X284" s="17" t="s">
        <v>502</v>
      </c>
      <c r="Z284" s="24" t="s">
        <v>1797</v>
      </c>
    </row>
    <row r="285" spans="8:26" ht="15.6" x14ac:dyDescent="0.3">
      <c r="H285" s="8" t="s">
        <v>2989</v>
      </c>
      <c r="X285" s="17" t="s">
        <v>538</v>
      </c>
      <c r="Z285" s="24" t="s">
        <v>1708</v>
      </c>
    </row>
    <row r="286" spans="8:26" ht="15.6" x14ac:dyDescent="0.3">
      <c r="H286" s="7" t="s">
        <v>2708</v>
      </c>
      <c r="X286" s="17" t="s">
        <v>445</v>
      </c>
      <c r="Z286" s="24" t="s">
        <v>1712</v>
      </c>
    </row>
    <row r="287" spans="8:26" ht="15.6" x14ac:dyDescent="0.3">
      <c r="H287" s="8" t="s">
        <v>2990</v>
      </c>
      <c r="X287" s="17" t="s">
        <v>399</v>
      </c>
      <c r="Z287" s="24" t="s">
        <v>1713</v>
      </c>
    </row>
    <row r="288" spans="8:26" ht="19.2" x14ac:dyDescent="0.3">
      <c r="H288" s="7" t="s">
        <v>2991</v>
      </c>
      <c r="X288" s="17" t="s">
        <v>477</v>
      </c>
      <c r="Z288" s="24" t="s">
        <v>1666</v>
      </c>
    </row>
    <row r="289" spans="8:26" ht="15.6" x14ac:dyDescent="0.3">
      <c r="H289" s="8" t="s">
        <v>2992</v>
      </c>
      <c r="X289" s="17" t="s">
        <v>478</v>
      </c>
      <c r="Z289" s="24" t="s">
        <v>1714</v>
      </c>
    </row>
    <row r="290" spans="8:26" ht="15.6" x14ac:dyDescent="0.3">
      <c r="H290" s="7" t="s">
        <v>2993</v>
      </c>
      <c r="X290" s="17" t="s">
        <v>400</v>
      </c>
      <c r="Z290" s="24" t="s">
        <v>1716</v>
      </c>
    </row>
    <row r="291" spans="8:26" ht="15.6" x14ac:dyDescent="0.3">
      <c r="H291" s="8" t="s">
        <v>2994</v>
      </c>
      <c r="X291" s="17" t="s">
        <v>539</v>
      </c>
      <c r="Z291" s="24" t="s">
        <v>1798</v>
      </c>
    </row>
    <row r="292" spans="8:26" ht="15.6" x14ac:dyDescent="0.3">
      <c r="H292" s="7" t="s">
        <v>2995</v>
      </c>
      <c r="X292" s="17" t="s">
        <v>577</v>
      </c>
      <c r="Z292" s="24" t="s">
        <v>1717</v>
      </c>
    </row>
    <row r="293" spans="8:26" ht="15.6" x14ac:dyDescent="0.3">
      <c r="H293" s="8" t="s">
        <v>2996</v>
      </c>
      <c r="X293" s="17" t="s">
        <v>540</v>
      </c>
      <c r="Z293" s="24" t="s">
        <v>1753</v>
      </c>
    </row>
    <row r="294" spans="8:26" ht="19.2" x14ac:dyDescent="0.3">
      <c r="H294" s="7" t="s">
        <v>2997</v>
      </c>
      <c r="X294" s="17" t="s">
        <v>401</v>
      </c>
      <c r="Z294" s="24" t="s">
        <v>1754</v>
      </c>
    </row>
    <row r="295" spans="8:26" ht="15.6" x14ac:dyDescent="0.3">
      <c r="H295" s="8" t="s">
        <v>2998</v>
      </c>
      <c r="X295" s="17" t="s">
        <v>402</v>
      </c>
      <c r="Z295" s="24" t="s">
        <v>1667</v>
      </c>
    </row>
    <row r="296" spans="8:26" ht="15.6" x14ac:dyDescent="0.3">
      <c r="H296" s="7" t="s">
        <v>2999</v>
      </c>
      <c r="X296" s="17" t="s">
        <v>503</v>
      </c>
      <c r="Z296" s="24" t="s">
        <v>1611</v>
      </c>
    </row>
    <row r="297" spans="8:26" ht="15.6" x14ac:dyDescent="0.3">
      <c r="H297" s="8" t="s">
        <v>3000</v>
      </c>
      <c r="X297" s="17" t="s">
        <v>504</v>
      </c>
      <c r="Z297" s="24" t="s">
        <v>1629</v>
      </c>
    </row>
    <row r="298" spans="8:26" ht="19.2" x14ac:dyDescent="0.3">
      <c r="H298" s="7" t="s">
        <v>3001</v>
      </c>
      <c r="X298" s="17" t="s">
        <v>505</v>
      </c>
      <c r="Z298" s="24" t="s">
        <v>1718</v>
      </c>
    </row>
    <row r="299" spans="8:26" ht="15.6" x14ac:dyDescent="0.3">
      <c r="H299" s="8" t="s">
        <v>3002</v>
      </c>
      <c r="X299" s="17" t="s">
        <v>506</v>
      </c>
      <c r="Z299" s="24" t="s">
        <v>1630</v>
      </c>
    </row>
    <row r="300" spans="8:26" ht="15.6" x14ac:dyDescent="0.3">
      <c r="H300" s="7" t="s">
        <v>2850</v>
      </c>
      <c r="X300" s="17" t="s">
        <v>507</v>
      </c>
      <c r="Z300" s="24" t="s">
        <v>1631</v>
      </c>
    </row>
    <row r="301" spans="8:26" ht="15.6" x14ac:dyDescent="0.3">
      <c r="H301" s="8" t="s">
        <v>3003</v>
      </c>
      <c r="X301" s="17" t="s">
        <v>508</v>
      </c>
      <c r="Z301" s="24" t="s">
        <v>1762</v>
      </c>
    </row>
    <row r="302" spans="8:26" ht="15.6" x14ac:dyDescent="0.3">
      <c r="H302" s="7" t="s">
        <v>3004</v>
      </c>
      <c r="X302" s="17" t="s">
        <v>509</v>
      </c>
      <c r="Z302" s="24" t="s">
        <v>1609</v>
      </c>
    </row>
    <row r="303" spans="8:26" ht="15.6" x14ac:dyDescent="0.3">
      <c r="H303" s="8" t="s">
        <v>51</v>
      </c>
      <c r="X303" s="17" t="s">
        <v>403</v>
      </c>
      <c r="Z303" s="24" t="s">
        <v>1612</v>
      </c>
    </row>
    <row r="304" spans="8:26" ht="15.6" x14ac:dyDescent="0.3">
      <c r="H304" s="7" t="s">
        <v>3005</v>
      </c>
      <c r="X304" s="17" t="s">
        <v>510</v>
      </c>
      <c r="Z304" s="24" t="s">
        <v>1719</v>
      </c>
    </row>
    <row r="305" spans="8:26" ht="15.6" x14ac:dyDescent="0.3">
      <c r="H305" s="8" t="s">
        <v>3006</v>
      </c>
      <c r="X305" s="17" t="s">
        <v>404</v>
      </c>
      <c r="Z305" s="24" t="s">
        <v>1763</v>
      </c>
    </row>
    <row r="306" spans="8:26" ht="15.6" x14ac:dyDescent="0.3">
      <c r="H306" s="7" t="s">
        <v>3007</v>
      </c>
      <c r="X306" s="17" t="s">
        <v>479</v>
      </c>
      <c r="Z306" s="24" t="s">
        <v>1668</v>
      </c>
    </row>
    <row r="307" spans="8:26" ht="15.6" x14ac:dyDescent="0.3">
      <c r="H307" s="8" t="s">
        <v>3008</v>
      </c>
      <c r="X307" s="17" t="s">
        <v>405</v>
      </c>
      <c r="Z307" s="24" t="s">
        <v>1720</v>
      </c>
    </row>
    <row r="308" spans="8:26" ht="15.6" x14ac:dyDescent="0.3">
      <c r="H308" s="7" t="s">
        <v>3009</v>
      </c>
      <c r="X308" s="17" t="s">
        <v>450</v>
      </c>
      <c r="Z308" s="24" t="s">
        <v>1721</v>
      </c>
    </row>
    <row r="309" spans="8:26" ht="15.6" x14ac:dyDescent="0.3">
      <c r="H309" s="8" t="s">
        <v>3010</v>
      </c>
      <c r="X309" s="17" t="s">
        <v>541</v>
      </c>
      <c r="Z309" s="24" t="s">
        <v>1799</v>
      </c>
    </row>
    <row r="310" spans="8:26" ht="15.6" x14ac:dyDescent="0.3">
      <c r="H310" s="7" t="s">
        <v>3011</v>
      </c>
      <c r="X310" s="17" t="s">
        <v>542</v>
      </c>
      <c r="Z310" s="24" t="s">
        <v>1722</v>
      </c>
    </row>
    <row r="311" spans="8:26" ht="15.6" x14ac:dyDescent="0.3">
      <c r="H311" s="8" t="s">
        <v>3012</v>
      </c>
      <c r="X311" s="17" t="s">
        <v>543</v>
      </c>
      <c r="Z311" s="24" t="s">
        <v>1778</v>
      </c>
    </row>
    <row r="312" spans="8:26" ht="15.6" x14ac:dyDescent="0.3">
      <c r="H312" s="7" t="s">
        <v>3013</v>
      </c>
      <c r="X312" s="17" t="s">
        <v>406</v>
      </c>
      <c r="Z312" s="24" t="s">
        <v>1608</v>
      </c>
    </row>
    <row r="313" spans="8:26" ht="15.6" x14ac:dyDescent="0.3">
      <c r="H313" s="8" t="s">
        <v>3014</v>
      </c>
      <c r="X313" s="17" t="s">
        <v>407</v>
      </c>
      <c r="Z313" s="24" t="s">
        <v>1723</v>
      </c>
    </row>
    <row r="314" spans="8:26" ht="15.6" x14ac:dyDescent="0.3">
      <c r="H314" s="7" t="s">
        <v>3015</v>
      </c>
      <c r="X314" s="17" t="s">
        <v>408</v>
      </c>
      <c r="Z314" s="24" t="s">
        <v>1724</v>
      </c>
    </row>
    <row r="315" spans="8:26" ht="15.6" x14ac:dyDescent="0.3">
      <c r="H315" s="8" t="s">
        <v>3016</v>
      </c>
      <c r="X315" s="17" t="s">
        <v>480</v>
      </c>
      <c r="Z315" s="24" t="s">
        <v>1779</v>
      </c>
    </row>
    <row r="316" spans="8:26" ht="15.6" x14ac:dyDescent="0.3">
      <c r="H316" s="7" t="s">
        <v>3017</v>
      </c>
      <c r="X316" s="17" t="s">
        <v>544</v>
      </c>
      <c r="Z316" s="24" t="s">
        <v>1725</v>
      </c>
    </row>
    <row r="317" spans="8:26" ht="15.6" x14ac:dyDescent="0.3">
      <c r="H317" s="8" t="s">
        <v>3018</v>
      </c>
      <c r="X317" s="17" t="s">
        <v>511</v>
      </c>
      <c r="Z317" s="24" t="s">
        <v>1800</v>
      </c>
    </row>
    <row r="318" spans="8:26" ht="15.6" x14ac:dyDescent="0.3">
      <c r="H318" s="7" t="s">
        <v>121</v>
      </c>
      <c r="X318" s="17" t="s">
        <v>512</v>
      </c>
      <c r="Z318" s="24" t="s">
        <v>1632</v>
      </c>
    </row>
    <row r="319" spans="8:26" ht="15.6" x14ac:dyDescent="0.3">
      <c r="H319" s="8" t="s">
        <v>2732</v>
      </c>
      <c r="X319" s="17" t="s">
        <v>513</v>
      </c>
      <c r="Z319" s="24" t="s">
        <v>1726</v>
      </c>
    </row>
    <row r="320" spans="8:26" ht="15.6" x14ac:dyDescent="0.3">
      <c r="H320" s="7" t="s">
        <v>2628</v>
      </c>
      <c r="X320" s="17" t="s">
        <v>409</v>
      </c>
      <c r="Z320" s="24" t="s">
        <v>1758</v>
      </c>
    </row>
    <row r="321" spans="8:26" ht="15.6" x14ac:dyDescent="0.3">
      <c r="H321" s="8" t="s">
        <v>3019</v>
      </c>
      <c r="X321" s="17" t="s">
        <v>451</v>
      </c>
      <c r="Z321" s="24" t="s">
        <v>1727</v>
      </c>
    </row>
    <row r="322" spans="8:26" ht="19.2" x14ac:dyDescent="0.3">
      <c r="H322" s="7" t="s">
        <v>2739</v>
      </c>
      <c r="X322" s="17" t="s">
        <v>514</v>
      </c>
      <c r="Z322" s="24" t="s">
        <v>1728</v>
      </c>
    </row>
    <row r="323" spans="8:26" ht="15.6" x14ac:dyDescent="0.3">
      <c r="H323" s="8" t="s">
        <v>3020</v>
      </c>
      <c r="X323" s="17" t="s">
        <v>545</v>
      </c>
      <c r="Z323" s="24" t="s">
        <v>1729</v>
      </c>
    </row>
    <row r="324" spans="8:26" ht="15.6" x14ac:dyDescent="0.3">
      <c r="H324" s="7" t="s">
        <v>3021</v>
      </c>
      <c r="X324" s="17" t="s">
        <v>515</v>
      </c>
      <c r="Z324" s="24" t="s">
        <v>1730</v>
      </c>
    </row>
    <row r="325" spans="8:26" ht="15.6" x14ac:dyDescent="0.3">
      <c r="H325" s="8" t="s">
        <v>3022</v>
      </c>
      <c r="X325" s="17" t="s">
        <v>516</v>
      </c>
      <c r="Z325" s="24" t="s">
        <v>1731</v>
      </c>
    </row>
    <row r="326" spans="8:26" ht="15.6" x14ac:dyDescent="0.3">
      <c r="H326" s="7" t="s">
        <v>3023</v>
      </c>
      <c r="X326" s="17" t="s">
        <v>481</v>
      </c>
      <c r="Z326" s="24" t="s">
        <v>1780</v>
      </c>
    </row>
    <row r="327" spans="8:26" ht="15.6" x14ac:dyDescent="0.3">
      <c r="H327" s="8" t="s">
        <v>55</v>
      </c>
      <c r="X327" s="17" t="s">
        <v>481</v>
      </c>
      <c r="Z327" s="24" t="s">
        <v>1801</v>
      </c>
    </row>
    <row r="328" spans="8:26" ht="15.6" x14ac:dyDescent="0.3">
      <c r="H328" s="7" t="s">
        <v>3024</v>
      </c>
      <c r="X328" s="17" t="s">
        <v>410</v>
      </c>
      <c r="Z328" s="24" t="s">
        <v>1841</v>
      </c>
    </row>
    <row r="329" spans="8:26" ht="15.6" x14ac:dyDescent="0.3">
      <c r="H329" s="8" t="s">
        <v>3025</v>
      </c>
      <c r="X329" s="17" t="s">
        <v>411</v>
      </c>
      <c r="Z329" s="24" t="s">
        <v>1842</v>
      </c>
    </row>
    <row r="330" spans="8:26" ht="15.6" x14ac:dyDescent="0.3">
      <c r="H330" s="7" t="s">
        <v>3026</v>
      </c>
      <c r="X330" s="17" t="s">
        <v>412</v>
      </c>
      <c r="Z330" s="24" t="s">
        <v>1732</v>
      </c>
    </row>
    <row r="331" spans="8:26" ht="15.6" x14ac:dyDescent="0.3">
      <c r="H331" s="8" t="s">
        <v>3027</v>
      </c>
      <c r="X331" s="17" t="s">
        <v>413</v>
      </c>
      <c r="Z331" s="24" t="s">
        <v>1733</v>
      </c>
    </row>
    <row r="332" spans="8:26" ht="15.6" x14ac:dyDescent="0.3">
      <c r="H332" s="7" t="s">
        <v>3028</v>
      </c>
      <c r="X332" s="17" t="s">
        <v>414</v>
      </c>
      <c r="Z332" s="24" t="s">
        <v>1645</v>
      </c>
    </row>
    <row r="333" spans="8:26" ht="15.6" x14ac:dyDescent="0.3">
      <c r="H333" s="8" t="s">
        <v>3029</v>
      </c>
      <c r="X333" s="17" t="s">
        <v>452</v>
      </c>
      <c r="Z333" s="24" t="s">
        <v>1734</v>
      </c>
    </row>
    <row r="334" spans="8:26" ht="15.6" x14ac:dyDescent="0.3">
      <c r="H334" s="7" t="s">
        <v>3030</v>
      </c>
      <c r="X334" s="17" t="s">
        <v>415</v>
      </c>
      <c r="Z334" s="24" t="s">
        <v>1735</v>
      </c>
    </row>
    <row r="335" spans="8:26" ht="15.6" x14ac:dyDescent="0.3">
      <c r="H335" s="8" t="s">
        <v>3031</v>
      </c>
      <c r="X335" s="17" t="s">
        <v>546</v>
      </c>
      <c r="Z335" s="24" t="s">
        <v>1764</v>
      </c>
    </row>
    <row r="336" spans="8:26" ht="15.6" x14ac:dyDescent="0.3">
      <c r="H336" s="7" t="s">
        <v>3032</v>
      </c>
      <c r="X336" s="17" t="s">
        <v>547</v>
      </c>
      <c r="Z336" s="24" t="s">
        <v>1736</v>
      </c>
    </row>
    <row r="337" spans="8:26" ht="15.6" x14ac:dyDescent="0.3">
      <c r="H337" s="8" t="s">
        <v>3033</v>
      </c>
      <c r="X337" s="17" t="s">
        <v>548</v>
      </c>
      <c r="Z337" s="24" t="s">
        <v>1802</v>
      </c>
    </row>
    <row r="338" spans="8:26" ht="15.6" x14ac:dyDescent="0.3">
      <c r="H338" s="7" t="s">
        <v>3034</v>
      </c>
      <c r="X338" s="17" t="s">
        <v>549</v>
      </c>
      <c r="Z338" s="24" t="s">
        <v>1765</v>
      </c>
    </row>
    <row r="339" spans="8:26" ht="31.2" x14ac:dyDescent="0.3">
      <c r="H339" s="8" t="s">
        <v>3035</v>
      </c>
      <c r="X339" s="17" t="s">
        <v>550</v>
      </c>
      <c r="Z339" s="24" t="s">
        <v>1646</v>
      </c>
    </row>
    <row r="340" spans="8:26" ht="31.2" x14ac:dyDescent="0.3">
      <c r="H340" s="7" t="s">
        <v>3036</v>
      </c>
      <c r="X340" s="17" t="s">
        <v>551</v>
      </c>
      <c r="Z340" s="24" t="s">
        <v>1766</v>
      </c>
    </row>
    <row r="341" spans="8:26" ht="15.6" x14ac:dyDescent="0.3">
      <c r="H341" s="8" t="s">
        <v>3037</v>
      </c>
      <c r="X341" s="17" t="s">
        <v>552</v>
      </c>
      <c r="Z341" s="24" t="s">
        <v>1843</v>
      </c>
    </row>
    <row r="342" spans="8:26" ht="31.2" x14ac:dyDescent="0.3">
      <c r="H342" s="7" t="s">
        <v>3038</v>
      </c>
      <c r="X342" s="17" t="s">
        <v>553</v>
      </c>
      <c r="Z342" s="24" t="s">
        <v>1737</v>
      </c>
    </row>
    <row r="343" spans="8:26" ht="19.8" x14ac:dyDescent="0.3">
      <c r="H343" s="8" t="s">
        <v>3039</v>
      </c>
      <c r="X343" s="17" t="s">
        <v>554</v>
      </c>
      <c r="Z343" s="24" t="s">
        <v>1803</v>
      </c>
    </row>
    <row r="344" spans="8:26" ht="15.6" x14ac:dyDescent="0.3">
      <c r="H344" s="7" t="s">
        <v>2619</v>
      </c>
      <c r="X344" s="17" t="s">
        <v>555</v>
      </c>
      <c r="Z344" s="24" t="s">
        <v>1738</v>
      </c>
    </row>
    <row r="345" spans="8:26" ht="15.6" x14ac:dyDescent="0.3">
      <c r="H345" s="8" t="s">
        <v>3040</v>
      </c>
      <c r="X345" s="17" t="s">
        <v>556</v>
      </c>
      <c r="Z345" s="24" t="s">
        <v>1633</v>
      </c>
    </row>
    <row r="346" spans="8:26" ht="15.6" x14ac:dyDescent="0.3">
      <c r="H346" s="7" t="s">
        <v>3041</v>
      </c>
      <c r="X346" s="17" t="s">
        <v>517</v>
      </c>
      <c r="Z346" s="24" t="s">
        <v>1739</v>
      </c>
    </row>
    <row r="347" spans="8:26" ht="15.6" x14ac:dyDescent="0.3">
      <c r="H347" s="8" t="s">
        <v>3042</v>
      </c>
      <c r="X347" s="17" t="s">
        <v>517</v>
      </c>
      <c r="Z347" s="24" t="s">
        <v>1740</v>
      </c>
    </row>
    <row r="348" spans="8:26" ht="19.2" x14ac:dyDescent="0.3">
      <c r="H348" s="7" t="s">
        <v>3043</v>
      </c>
      <c r="X348" s="17" t="s">
        <v>416</v>
      </c>
      <c r="Z348" s="24" t="s">
        <v>1844</v>
      </c>
    </row>
    <row r="349" spans="8:26" ht="19.2" x14ac:dyDescent="0.3">
      <c r="H349" s="8" t="s">
        <v>3044</v>
      </c>
      <c r="X349" s="17" t="s">
        <v>518</v>
      </c>
      <c r="Z349" s="24" t="s">
        <v>1647</v>
      </c>
    </row>
    <row r="350" spans="8:26" ht="15.6" x14ac:dyDescent="0.3">
      <c r="H350" s="7" t="s">
        <v>3045</v>
      </c>
      <c r="X350" s="17" t="s">
        <v>482</v>
      </c>
      <c r="Z350" s="24" t="s">
        <v>1648</v>
      </c>
    </row>
    <row r="351" spans="8:26" ht="15.6" x14ac:dyDescent="0.3">
      <c r="H351" s="8" t="s">
        <v>3046</v>
      </c>
      <c r="X351" s="17" t="s">
        <v>417</v>
      </c>
      <c r="Z351" s="24" t="s">
        <v>1669</v>
      </c>
    </row>
    <row r="352" spans="8:26" ht="15.6" x14ac:dyDescent="0.3">
      <c r="H352" s="7" t="s">
        <v>3047</v>
      </c>
      <c r="X352" s="17" t="s">
        <v>418</v>
      </c>
      <c r="Z352" s="24" t="s">
        <v>1649</v>
      </c>
    </row>
    <row r="353" spans="8:26" ht="15.6" x14ac:dyDescent="0.3">
      <c r="H353" s="8" t="s">
        <v>3048</v>
      </c>
      <c r="X353" s="17" t="s">
        <v>419</v>
      </c>
      <c r="Z353" s="24" t="s">
        <v>1650</v>
      </c>
    </row>
    <row r="354" spans="8:26" ht="15.6" x14ac:dyDescent="0.3">
      <c r="H354" s="7" t="s">
        <v>3049</v>
      </c>
      <c r="X354" s="17" t="s">
        <v>419</v>
      </c>
      <c r="Z354" s="24" t="s">
        <v>1804</v>
      </c>
    </row>
    <row r="355" spans="8:26" ht="15.6" x14ac:dyDescent="0.3">
      <c r="H355" s="8" t="s">
        <v>3050</v>
      </c>
      <c r="X355" s="17" t="s">
        <v>453</v>
      </c>
      <c r="Z355" s="24" t="s">
        <v>1845</v>
      </c>
    </row>
    <row r="356" spans="8:26" ht="15.6" x14ac:dyDescent="0.3">
      <c r="H356" s="7" t="s">
        <v>3051</v>
      </c>
      <c r="X356" s="17" t="s">
        <v>420</v>
      </c>
      <c r="Z356" s="24" t="s">
        <v>1613</v>
      </c>
    </row>
    <row r="357" spans="8:26" ht="15.6" x14ac:dyDescent="0.3">
      <c r="H357" s="8" t="s">
        <v>3052</v>
      </c>
      <c r="X357" s="17" t="s">
        <v>483</v>
      </c>
      <c r="Z357" s="24" t="s">
        <v>1670</v>
      </c>
    </row>
    <row r="358" spans="8:26" ht="15.6" x14ac:dyDescent="0.3">
      <c r="H358" s="7" t="s">
        <v>3053</v>
      </c>
      <c r="X358" s="17" t="s">
        <v>421</v>
      </c>
      <c r="Z358" s="24" t="s">
        <v>1805</v>
      </c>
    </row>
    <row r="359" spans="8:26" ht="15.6" x14ac:dyDescent="0.3">
      <c r="H359" s="8" t="s">
        <v>3054</v>
      </c>
      <c r="X359" s="17" t="s">
        <v>519</v>
      </c>
      <c r="Z359" s="24" t="s">
        <v>1781</v>
      </c>
    </row>
    <row r="360" spans="8:26" ht="15.6" x14ac:dyDescent="0.3">
      <c r="H360" s="7" t="s">
        <v>3055</v>
      </c>
      <c r="X360" s="17" t="s">
        <v>454</v>
      </c>
      <c r="Z360" s="24" t="s">
        <v>1741</v>
      </c>
    </row>
    <row r="361" spans="8:26" ht="15.6" x14ac:dyDescent="0.3">
      <c r="H361" s="8" t="s">
        <v>3056</v>
      </c>
      <c r="X361" s="17" t="s">
        <v>557</v>
      </c>
      <c r="Z361" s="24" t="s">
        <v>1806</v>
      </c>
    </row>
    <row r="362" spans="8:26" ht="15.6" x14ac:dyDescent="0.3">
      <c r="H362" s="7" t="s">
        <v>3057</v>
      </c>
      <c r="X362" s="17" t="s">
        <v>422</v>
      </c>
      <c r="Z362" s="24" t="s">
        <v>1767</v>
      </c>
    </row>
    <row r="363" spans="8:26" ht="15.6" x14ac:dyDescent="0.3">
      <c r="H363" s="8" t="s">
        <v>3058</v>
      </c>
      <c r="X363" s="17" t="s">
        <v>423</v>
      </c>
      <c r="Z363" s="24" t="s">
        <v>1651</v>
      </c>
    </row>
    <row r="364" spans="8:26" ht="15.6" x14ac:dyDescent="0.3">
      <c r="H364" s="7" t="s">
        <v>3059</v>
      </c>
      <c r="X364" s="17" t="s">
        <v>558</v>
      </c>
      <c r="Z364" s="24" t="s">
        <v>1768</v>
      </c>
    </row>
    <row r="365" spans="8:26" ht="15.6" x14ac:dyDescent="0.3">
      <c r="H365" s="8" t="s">
        <v>3060</v>
      </c>
      <c r="X365" s="17" t="s">
        <v>559</v>
      </c>
      <c r="Z365" s="24" t="s">
        <v>1769</v>
      </c>
    </row>
    <row r="366" spans="8:26" ht="15.6" x14ac:dyDescent="0.3">
      <c r="H366" s="7" t="s">
        <v>3061</v>
      </c>
      <c r="X366" s="17" t="s">
        <v>560</v>
      </c>
      <c r="Z366" s="24" t="s">
        <v>1770</v>
      </c>
    </row>
    <row r="367" spans="8:26" ht="15.6" x14ac:dyDescent="0.3">
      <c r="H367" s="8" t="s">
        <v>3062</v>
      </c>
      <c r="X367" s="17" t="s">
        <v>520</v>
      </c>
      <c r="Z367" s="24" t="s">
        <v>1846</v>
      </c>
    </row>
    <row r="368" spans="8:26" ht="15.6" x14ac:dyDescent="0.3">
      <c r="H368" s="7" t="s">
        <v>3063</v>
      </c>
      <c r="X368" s="17" t="s">
        <v>521</v>
      </c>
      <c r="Z368" s="24" t="s">
        <v>1614</v>
      </c>
    </row>
    <row r="369" spans="8:26" ht="15.6" x14ac:dyDescent="0.3">
      <c r="H369" s="8" t="s">
        <v>64</v>
      </c>
      <c r="X369" s="17" t="s">
        <v>446</v>
      </c>
      <c r="Z369" s="24" t="s">
        <v>1742</v>
      </c>
    </row>
    <row r="370" spans="8:26" ht="19.2" x14ac:dyDescent="0.3">
      <c r="H370" s="7" t="s">
        <v>3064</v>
      </c>
      <c r="X370" s="17" t="s">
        <v>522</v>
      </c>
      <c r="Z370" s="24" t="s">
        <v>1847</v>
      </c>
    </row>
    <row r="371" spans="8:26" ht="15.6" x14ac:dyDescent="0.3">
      <c r="H371" s="8" t="s">
        <v>3065</v>
      </c>
      <c r="X371" s="17" t="s">
        <v>523</v>
      </c>
      <c r="Z371" s="24" t="s">
        <v>1782</v>
      </c>
    </row>
    <row r="372" spans="8:26" ht="15.6" x14ac:dyDescent="0.3">
      <c r="H372" s="7" t="s">
        <v>2742</v>
      </c>
      <c r="X372" s="17" t="s">
        <v>524</v>
      </c>
      <c r="Z372" s="24" t="s">
        <v>1615</v>
      </c>
    </row>
    <row r="373" spans="8:26" ht="15.6" x14ac:dyDescent="0.3">
      <c r="H373" s="8" t="s">
        <v>3066</v>
      </c>
      <c r="X373" s="17" t="s">
        <v>525</v>
      </c>
      <c r="Z373" s="24" t="s">
        <v>1743</v>
      </c>
    </row>
    <row r="374" spans="8:26" ht="15.6" x14ac:dyDescent="0.3">
      <c r="H374" s="7" t="s">
        <v>3067</v>
      </c>
      <c r="X374" s="17" t="s">
        <v>455</v>
      </c>
      <c r="Z374" s="24" t="s">
        <v>1671</v>
      </c>
    </row>
    <row r="375" spans="8:26" ht="15.6" x14ac:dyDescent="0.3">
      <c r="H375" s="8" t="s">
        <v>3068</v>
      </c>
      <c r="X375" s="17" t="s">
        <v>424</v>
      </c>
      <c r="Z375" s="24" t="s">
        <v>1634</v>
      </c>
    </row>
    <row r="376" spans="8:26" ht="15.6" x14ac:dyDescent="0.3">
      <c r="H376" s="7" t="s">
        <v>3069</v>
      </c>
      <c r="X376" s="17" t="s">
        <v>456</v>
      </c>
      <c r="Z376" s="24" t="s">
        <v>1807</v>
      </c>
    </row>
    <row r="377" spans="8:26" ht="15.6" x14ac:dyDescent="0.3">
      <c r="H377" s="8" t="s">
        <v>3070</v>
      </c>
      <c r="X377" s="17" t="s">
        <v>561</v>
      </c>
      <c r="Z377" s="24" t="s">
        <v>1808</v>
      </c>
    </row>
    <row r="378" spans="8:26" ht="15.6" x14ac:dyDescent="0.3">
      <c r="H378" s="7" t="s">
        <v>3071</v>
      </c>
      <c r="X378" s="17" t="s">
        <v>562</v>
      </c>
      <c r="Z378" s="24" t="s">
        <v>1783</v>
      </c>
    </row>
    <row r="379" spans="8:26" ht="19.2" x14ac:dyDescent="0.3">
      <c r="X379" s="17" t="s">
        <v>425</v>
      </c>
      <c r="Z379" s="24" t="s">
        <v>1809</v>
      </c>
    </row>
    <row r="380" spans="8:26" x14ac:dyDescent="0.3">
      <c r="H380" s="3" t="s">
        <v>27</v>
      </c>
      <c r="X380" s="17" t="s">
        <v>426</v>
      </c>
      <c r="Z380" s="24" t="s">
        <v>1635</v>
      </c>
    </row>
    <row r="381" spans="8:26" ht="15.6" x14ac:dyDescent="0.3">
      <c r="H381" s="5" t="s">
        <v>3072</v>
      </c>
      <c r="X381" s="17" t="s">
        <v>427</v>
      </c>
      <c r="Z381" s="24" t="s">
        <v>1784</v>
      </c>
    </row>
    <row r="382" spans="8:26" ht="15.6" x14ac:dyDescent="0.3">
      <c r="H382" s="5" t="s">
        <v>65</v>
      </c>
      <c r="X382" s="17" t="s">
        <v>428</v>
      </c>
      <c r="Z382" s="24" t="s">
        <v>1744</v>
      </c>
    </row>
    <row r="383" spans="8:26" ht="15.6" x14ac:dyDescent="0.3">
      <c r="H383" s="6" t="s">
        <v>3073</v>
      </c>
      <c r="X383" s="17" t="s">
        <v>429</v>
      </c>
      <c r="Z383" s="24" t="s">
        <v>1745</v>
      </c>
    </row>
    <row r="384" spans="8:26" ht="15.6" x14ac:dyDescent="0.3">
      <c r="H384" s="6" t="s">
        <v>66</v>
      </c>
      <c r="X384" s="17" t="s">
        <v>430</v>
      </c>
      <c r="Z384" s="24" t="s">
        <v>1810</v>
      </c>
    </row>
    <row r="385" spans="8:26" ht="15.6" x14ac:dyDescent="0.3">
      <c r="H385" s="5" t="s">
        <v>67</v>
      </c>
      <c r="X385" s="17" t="s">
        <v>457</v>
      </c>
      <c r="Z385" s="24" t="s">
        <v>1771</v>
      </c>
    </row>
    <row r="386" spans="8:26" ht="15.6" x14ac:dyDescent="0.3">
      <c r="H386" s="6" t="s">
        <v>68</v>
      </c>
      <c r="X386" s="17" t="s">
        <v>431</v>
      </c>
      <c r="Z386" s="24" t="s">
        <v>1652</v>
      </c>
    </row>
    <row r="387" spans="8:26" ht="15.6" x14ac:dyDescent="0.3">
      <c r="H387" s="5" t="s">
        <v>69</v>
      </c>
      <c r="X387" s="17" t="s">
        <v>484</v>
      </c>
      <c r="Z387" s="24" t="s">
        <v>1653</v>
      </c>
    </row>
    <row r="388" spans="8:26" ht="15.6" x14ac:dyDescent="0.3">
      <c r="H388" s="6" t="s">
        <v>70</v>
      </c>
      <c r="X388" s="17" t="s">
        <v>485</v>
      </c>
      <c r="Z388" s="24" t="s">
        <v>1654</v>
      </c>
    </row>
    <row r="389" spans="8:26" ht="15.6" x14ac:dyDescent="0.3">
      <c r="H389" s="5" t="s">
        <v>71</v>
      </c>
      <c r="X389" s="17" t="s">
        <v>486</v>
      </c>
      <c r="Z389" s="24" t="s">
        <v>1655</v>
      </c>
    </row>
    <row r="390" spans="8:26" x14ac:dyDescent="0.3">
      <c r="X390" s="17" t="s">
        <v>563</v>
      </c>
      <c r="Z390" s="24" t="s">
        <v>1656</v>
      </c>
    </row>
    <row r="391" spans="8:26" ht="19.2" x14ac:dyDescent="0.3">
      <c r="H391" s="9" t="s">
        <v>43</v>
      </c>
      <c r="X391" s="17" t="s">
        <v>458</v>
      </c>
      <c r="Z391" s="24" t="s">
        <v>1746</v>
      </c>
    </row>
    <row r="392" spans="8:26" ht="15.6" x14ac:dyDescent="0.3">
      <c r="H392" s="7" t="s">
        <v>3074</v>
      </c>
      <c r="X392" s="17" t="s">
        <v>526</v>
      </c>
      <c r="Z392" s="24" t="s">
        <v>1811</v>
      </c>
    </row>
    <row r="393" spans="8:26" ht="15.6" x14ac:dyDescent="0.3">
      <c r="H393" s="8" t="s">
        <v>3075</v>
      </c>
      <c r="X393" s="17" t="s">
        <v>527</v>
      </c>
      <c r="Z393" s="24" t="s">
        <v>1675</v>
      </c>
    </row>
    <row r="394" spans="8:26" ht="15.6" x14ac:dyDescent="0.3">
      <c r="H394" s="7" t="s">
        <v>72</v>
      </c>
      <c r="X394" s="17" t="s">
        <v>528</v>
      </c>
      <c r="Z394" s="24" t="s">
        <v>1772</v>
      </c>
    </row>
    <row r="395" spans="8:26" ht="15.6" x14ac:dyDescent="0.3">
      <c r="H395" s="8" t="s">
        <v>3076</v>
      </c>
      <c r="X395" s="17" t="s">
        <v>487</v>
      </c>
      <c r="Z395" s="24" t="s">
        <v>1672</v>
      </c>
    </row>
    <row r="396" spans="8:26" x14ac:dyDescent="0.3">
      <c r="X396" s="17" t="s">
        <v>564</v>
      </c>
      <c r="Z396" s="24" t="s">
        <v>1812</v>
      </c>
    </row>
    <row r="397" spans="8:26" x14ac:dyDescent="0.3">
      <c r="X397" s="17" t="s">
        <v>529</v>
      </c>
      <c r="Z397" s="24" t="s">
        <v>1848</v>
      </c>
    </row>
    <row r="398" spans="8:26" ht="15.6" x14ac:dyDescent="0.3">
      <c r="H398" s="8" t="s">
        <v>73</v>
      </c>
      <c r="X398" s="17" t="s">
        <v>530</v>
      </c>
      <c r="Z398" s="24" t="s">
        <v>1773</v>
      </c>
    </row>
    <row r="399" spans="8:26" ht="15.6" x14ac:dyDescent="0.3">
      <c r="H399" s="7" t="s">
        <v>74</v>
      </c>
      <c r="X399" s="17" t="s">
        <v>432</v>
      </c>
      <c r="Z399" s="24" t="s">
        <v>1676</v>
      </c>
    </row>
    <row r="400" spans="8:26" ht="15.6" x14ac:dyDescent="0.3">
      <c r="H400" s="8" t="s">
        <v>75</v>
      </c>
      <c r="X400" s="17" t="s">
        <v>565</v>
      </c>
      <c r="Z400" s="24" t="s">
        <v>1813</v>
      </c>
    </row>
    <row r="401" spans="8:26" ht="15.6" x14ac:dyDescent="0.3">
      <c r="H401" s="8" t="s">
        <v>77</v>
      </c>
      <c r="X401" s="17" t="s">
        <v>566</v>
      </c>
      <c r="Z401" s="24" t="s">
        <v>1814</v>
      </c>
    </row>
    <row r="402" spans="8:26" ht="15.6" x14ac:dyDescent="0.3">
      <c r="H402" s="7" t="s">
        <v>78</v>
      </c>
      <c r="X402" s="17" t="s">
        <v>433</v>
      </c>
      <c r="Z402" s="24" t="s">
        <v>1815</v>
      </c>
    </row>
    <row r="403" spans="8:26" ht="15.6" x14ac:dyDescent="0.3">
      <c r="H403" s="7" t="s">
        <v>76</v>
      </c>
      <c r="X403" s="17" t="s">
        <v>434</v>
      </c>
      <c r="Z403" s="24" t="s">
        <v>1816</v>
      </c>
    </row>
    <row r="404" spans="8:26" ht="15.6" x14ac:dyDescent="0.3">
      <c r="H404" s="8" t="s">
        <v>79</v>
      </c>
      <c r="X404" s="17" t="s">
        <v>435</v>
      </c>
      <c r="Z404" s="24" t="s">
        <v>1817</v>
      </c>
    </row>
    <row r="405" spans="8:26" x14ac:dyDescent="0.3">
      <c r="X405" s="17" t="s">
        <v>436</v>
      </c>
      <c r="Z405" s="24" t="s">
        <v>1849</v>
      </c>
    </row>
    <row r="406" spans="8:26" ht="15.6" x14ac:dyDescent="0.3">
      <c r="H406" s="8" t="s">
        <v>41</v>
      </c>
      <c r="X406" s="17" t="s">
        <v>459</v>
      </c>
      <c r="Z406" s="24" t="s">
        <v>1850</v>
      </c>
    </row>
    <row r="407" spans="8:26" ht="19.2" x14ac:dyDescent="0.3">
      <c r="H407" s="8" t="s">
        <v>3077</v>
      </c>
      <c r="X407" s="17" t="s">
        <v>460</v>
      </c>
      <c r="Z407" s="24" t="s">
        <v>1851</v>
      </c>
    </row>
    <row r="408" spans="8:26" ht="15.6" x14ac:dyDescent="0.3">
      <c r="H408" s="7" t="s">
        <v>3078</v>
      </c>
      <c r="X408" s="17" t="s">
        <v>437</v>
      </c>
      <c r="Z408" s="24" t="s">
        <v>1818</v>
      </c>
    </row>
    <row r="409" spans="8:26" ht="15.6" x14ac:dyDescent="0.3">
      <c r="H409" s="8" t="s">
        <v>3079</v>
      </c>
      <c r="X409" s="17" t="s">
        <v>438</v>
      </c>
      <c r="Z409" s="24" t="s">
        <v>1636</v>
      </c>
    </row>
    <row r="410" spans="8:26" ht="15.6" x14ac:dyDescent="0.3">
      <c r="H410" s="7" t="s">
        <v>2809</v>
      </c>
      <c r="X410" s="17" t="s">
        <v>567</v>
      </c>
      <c r="Z410" s="24" t="s">
        <v>1616</v>
      </c>
    </row>
    <row r="411" spans="8:26" ht="15.6" x14ac:dyDescent="0.3">
      <c r="H411" s="8" t="s">
        <v>80</v>
      </c>
      <c r="X411" s="17" t="s">
        <v>568</v>
      </c>
      <c r="Z411" s="24" t="s">
        <v>1677</v>
      </c>
    </row>
    <row r="412" spans="8:26" ht="15.6" x14ac:dyDescent="0.3">
      <c r="H412" s="7" t="s">
        <v>3080</v>
      </c>
      <c r="X412" s="17" t="s">
        <v>461</v>
      </c>
      <c r="Z412" s="24" t="s">
        <v>1819</v>
      </c>
    </row>
    <row r="413" spans="8:26" ht="15.6" x14ac:dyDescent="0.3">
      <c r="H413" s="8" t="s">
        <v>3081</v>
      </c>
      <c r="X413" s="17" t="s">
        <v>488</v>
      </c>
      <c r="Z413" s="24" t="s">
        <v>1820</v>
      </c>
    </row>
    <row r="414" spans="8:26" ht="15.6" x14ac:dyDescent="0.3">
      <c r="H414" s="7" t="s">
        <v>3082</v>
      </c>
      <c r="X414" s="17" t="s">
        <v>439</v>
      </c>
      <c r="Z414" s="24" t="s">
        <v>1617</v>
      </c>
    </row>
    <row r="415" spans="8:26" ht="15.6" x14ac:dyDescent="0.3">
      <c r="H415" s="8" t="s">
        <v>81</v>
      </c>
      <c r="X415" s="17" t="s">
        <v>440</v>
      </c>
      <c r="Z415" s="24" t="s">
        <v>1657</v>
      </c>
    </row>
    <row r="416" spans="8:26" ht="15.6" x14ac:dyDescent="0.3">
      <c r="H416" s="7" t="s">
        <v>82</v>
      </c>
      <c r="X416" s="17" t="s">
        <v>441</v>
      </c>
      <c r="Z416" s="24" t="s">
        <v>1658</v>
      </c>
    </row>
    <row r="417" spans="8:26" ht="15.6" x14ac:dyDescent="0.3">
      <c r="H417" s="8" t="s">
        <v>2913</v>
      </c>
      <c r="X417" s="17" t="s">
        <v>442</v>
      </c>
      <c r="Z417" s="24" t="s">
        <v>1821</v>
      </c>
    </row>
    <row r="418" spans="8:26" ht="15.6" x14ac:dyDescent="0.3">
      <c r="H418" s="7" t="s">
        <v>3083</v>
      </c>
      <c r="X418" s="17" t="s">
        <v>569</v>
      </c>
      <c r="Z418" s="24" t="s">
        <v>1822</v>
      </c>
    </row>
    <row r="419" spans="8:26" ht="15.6" x14ac:dyDescent="0.3">
      <c r="H419" s="8" t="s">
        <v>3084</v>
      </c>
      <c r="X419" s="17" t="s">
        <v>462</v>
      </c>
      <c r="Z419" s="24" t="s">
        <v>1852</v>
      </c>
    </row>
    <row r="420" spans="8:26" ht="15.6" x14ac:dyDescent="0.3">
      <c r="H420" s="7" t="s">
        <v>3085</v>
      </c>
      <c r="X420" s="17" t="s">
        <v>443</v>
      </c>
      <c r="Z420" s="24" t="s">
        <v>1823</v>
      </c>
    </row>
    <row r="421" spans="8:26" ht="19.2" x14ac:dyDescent="0.3">
      <c r="H421" s="8" t="s">
        <v>3086</v>
      </c>
      <c r="X421" s="17" t="s">
        <v>463</v>
      </c>
      <c r="Z421" s="24" t="s">
        <v>1824</v>
      </c>
    </row>
    <row r="422" spans="8:26" ht="15.6" x14ac:dyDescent="0.3">
      <c r="H422" s="7" t="s">
        <v>3087</v>
      </c>
      <c r="X422" s="17" t="s">
        <v>575</v>
      </c>
      <c r="Z422" s="24" t="s">
        <v>1618</v>
      </c>
    </row>
    <row r="423" spans="8:26" ht="15.6" x14ac:dyDescent="0.3">
      <c r="H423" s="8" t="s">
        <v>3088</v>
      </c>
      <c r="X423" s="17" t="s">
        <v>570</v>
      </c>
      <c r="Z423" s="24" t="s">
        <v>1853</v>
      </c>
    </row>
    <row r="424" spans="8:26" ht="15.6" x14ac:dyDescent="0.3">
      <c r="H424" s="7" t="s">
        <v>3089</v>
      </c>
      <c r="X424" s="17" t="s">
        <v>571</v>
      </c>
      <c r="Z424" s="24" t="s">
        <v>1659</v>
      </c>
    </row>
    <row r="425" spans="8:26" ht="19.2" x14ac:dyDescent="0.3">
      <c r="H425" s="8" t="s">
        <v>3090</v>
      </c>
      <c r="X425" s="17" t="s">
        <v>578</v>
      </c>
      <c r="Z425" s="24" t="s">
        <v>1825</v>
      </c>
    </row>
    <row r="426" spans="8:26" ht="15.6" x14ac:dyDescent="0.3">
      <c r="H426" s="7" t="s">
        <v>3091</v>
      </c>
      <c r="X426" s="17" t="s">
        <v>489</v>
      </c>
      <c r="Z426" s="24" t="s">
        <v>1678</v>
      </c>
    </row>
    <row r="427" spans="8:26" ht="15.6" x14ac:dyDescent="0.3">
      <c r="H427" s="8" t="s">
        <v>3092</v>
      </c>
      <c r="X427" s="17" t="s">
        <v>490</v>
      </c>
      <c r="Z427" s="24" t="s">
        <v>1854</v>
      </c>
    </row>
    <row r="428" spans="8:26" ht="15.6" x14ac:dyDescent="0.3">
      <c r="H428" s="7" t="s">
        <v>3093</v>
      </c>
      <c r="X428" s="17" t="s">
        <v>572</v>
      </c>
      <c r="Z428" s="24" t="s">
        <v>1785</v>
      </c>
    </row>
    <row r="429" spans="8:26" ht="15.6" x14ac:dyDescent="0.3">
      <c r="H429" s="8" t="s">
        <v>2854</v>
      </c>
      <c r="X429" s="17" t="s">
        <v>464</v>
      </c>
      <c r="Z429" s="24" t="s">
        <v>1774</v>
      </c>
    </row>
    <row r="430" spans="8:26" ht="15.6" x14ac:dyDescent="0.3">
      <c r="H430" s="7" t="s">
        <v>51</v>
      </c>
      <c r="X430" s="17" t="s">
        <v>491</v>
      </c>
      <c r="Z430" s="24" t="s">
        <v>1679</v>
      </c>
    </row>
    <row r="431" spans="8:26" ht="15.6" x14ac:dyDescent="0.3">
      <c r="H431" s="8" t="s">
        <v>2621</v>
      </c>
      <c r="X431" s="17" t="s">
        <v>573</v>
      </c>
      <c r="Z431" s="24" t="s">
        <v>1826</v>
      </c>
    </row>
    <row r="432" spans="8:26" ht="15.6" x14ac:dyDescent="0.3">
      <c r="H432" s="7" t="s">
        <v>3094</v>
      </c>
      <c r="X432" s="17" t="s">
        <v>444</v>
      </c>
      <c r="Z432" s="24" t="s">
        <v>1660</v>
      </c>
    </row>
    <row r="433" spans="8:26" ht="15.6" x14ac:dyDescent="0.3">
      <c r="H433" s="8" t="s">
        <v>3095</v>
      </c>
      <c r="X433" s="17" t="s">
        <v>574</v>
      </c>
      <c r="Z433" s="24" t="s">
        <v>1619</v>
      </c>
    </row>
    <row r="434" spans="8:26" ht="15.6" x14ac:dyDescent="0.3">
      <c r="H434" s="7" t="s">
        <v>2630</v>
      </c>
      <c r="Z434" s="24" t="s">
        <v>1827</v>
      </c>
    </row>
    <row r="435" spans="8:26" ht="15.6" x14ac:dyDescent="0.3">
      <c r="H435" s="8" t="s">
        <v>3096</v>
      </c>
      <c r="X435" s="2" t="s">
        <v>151</v>
      </c>
      <c r="Z435" s="24" t="s">
        <v>1787</v>
      </c>
    </row>
    <row r="436" spans="8:26" ht="15.6" x14ac:dyDescent="0.3">
      <c r="H436" s="7" t="s">
        <v>3097</v>
      </c>
      <c r="X436" s="18" t="s">
        <v>597</v>
      </c>
      <c r="Z436" s="24" t="s">
        <v>1828</v>
      </c>
    </row>
    <row r="437" spans="8:26" ht="15.6" x14ac:dyDescent="0.3">
      <c r="H437" s="8" t="s">
        <v>3098</v>
      </c>
      <c r="X437" s="18" t="s">
        <v>748</v>
      </c>
      <c r="Z437" s="24" t="s">
        <v>1829</v>
      </c>
    </row>
    <row r="438" spans="8:26" ht="15.6" x14ac:dyDescent="0.3">
      <c r="H438" s="7" t="s">
        <v>3099</v>
      </c>
      <c r="X438" s="18" t="s">
        <v>696</v>
      </c>
      <c r="Z438" s="24" t="s">
        <v>1855</v>
      </c>
    </row>
    <row r="439" spans="8:26" ht="15.6" x14ac:dyDescent="0.3">
      <c r="H439" s="8" t="s">
        <v>2623</v>
      </c>
      <c r="X439" s="18" t="s">
        <v>696</v>
      </c>
      <c r="Z439" s="24" t="s">
        <v>1661</v>
      </c>
    </row>
    <row r="440" spans="8:26" ht="15.6" x14ac:dyDescent="0.3">
      <c r="H440" s="7" t="s">
        <v>2714</v>
      </c>
      <c r="X440" s="18" t="s">
        <v>749</v>
      </c>
      <c r="Z440" s="24" t="s">
        <v>1856</v>
      </c>
    </row>
    <row r="441" spans="8:26" ht="15.6" x14ac:dyDescent="0.3">
      <c r="H441" s="8" t="s">
        <v>3100</v>
      </c>
      <c r="X441" s="18" t="s">
        <v>620</v>
      </c>
      <c r="Z441" s="24" t="s">
        <v>1680</v>
      </c>
    </row>
    <row r="442" spans="8:26" ht="15.6" x14ac:dyDescent="0.3">
      <c r="H442" s="7" t="s">
        <v>3101</v>
      </c>
      <c r="X442" s="18" t="s">
        <v>621</v>
      </c>
      <c r="Z442" s="24" t="s">
        <v>1681</v>
      </c>
    </row>
    <row r="443" spans="8:26" ht="15.6" x14ac:dyDescent="0.3">
      <c r="H443" s="8" t="s">
        <v>3102</v>
      </c>
      <c r="X443" s="18" t="s">
        <v>697</v>
      </c>
      <c r="Z443" s="24" t="s">
        <v>1682</v>
      </c>
    </row>
    <row r="444" spans="8:26" ht="15.6" x14ac:dyDescent="0.3">
      <c r="H444" s="7" t="s">
        <v>3103</v>
      </c>
      <c r="X444" s="18" t="s">
        <v>698</v>
      </c>
      <c r="Z444" s="24" t="s">
        <v>1683</v>
      </c>
    </row>
    <row r="445" spans="8:26" ht="15.6" x14ac:dyDescent="0.3">
      <c r="H445" s="8" t="s">
        <v>3104</v>
      </c>
      <c r="X445" s="18" t="s">
        <v>699</v>
      </c>
      <c r="Z445" s="24" t="s">
        <v>1857</v>
      </c>
    </row>
    <row r="446" spans="8:26" ht="15.6" x14ac:dyDescent="0.3">
      <c r="H446" s="7" t="s">
        <v>3105</v>
      </c>
      <c r="X446" s="18" t="s">
        <v>700</v>
      </c>
      <c r="Z446" s="24" t="s">
        <v>1858</v>
      </c>
    </row>
    <row r="447" spans="8:26" ht="15.6" x14ac:dyDescent="0.3">
      <c r="H447" s="8" t="s">
        <v>3106</v>
      </c>
      <c r="X447" s="18" t="s">
        <v>622</v>
      </c>
      <c r="Z447" s="24" t="s">
        <v>1859</v>
      </c>
    </row>
    <row r="448" spans="8:26" x14ac:dyDescent="0.3">
      <c r="X448" s="18" t="s">
        <v>598</v>
      </c>
      <c r="Z448" s="24" t="s">
        <v>1662</v>
      </c>
    </row>
    <row r="449" spans="8:26" ht="15.6" x14ac:dyDescent="0.3">
      <c r="H449" s="7" t="s">
        <v>40</v>
      </c>
      <c r="X449" s="18" t="s">
        <v>623</v>
      </c>
      <c r="Z449" s="24" t="s">
        <v>1830</v>
      </c>
    </row>
    <row r="450" spans="8:26" ht="15.6" x14ac:dyDescent="0.3">
      <c r="H450" s="7" t="s">
        <v>3107</v>
      </c>
      <c r="X450" s="18" t="s">
        <v>701</v>
      </c>
      <c r="Z450" s="24" t="s">
        <v>1831</v>
      </c>
    </row>
    <row r="451" spans="8:26" ht="15.6" x14ac:dyDescent="0.3">
      <c r="H451" s="8" t="s">
        <v>2631</v>
      </c>
      <c r="X451" s="18" t="s">
        <v>702</v>
      </c>
      <c r="Z451" s="24" t="s">
        <v>1860</v>
      </c>
    </row>
    <row r="452" spans="8:26" ht="15.6" x14ac:dyDescent="0.3">
      <c r="H452" s="7" t="s">
        <v>3108</v>
      </c>
      <c r="X452" s="18" t="s">
        <v>624</v>
      </c>
      <c r="Z452" s="24" t="s">
        <v>1861</v>
      </c>
    </row>
    <row r="453" spans="8:26" ht="15.6" x14ac:dyDescent="0.3">
      <c r="H453" s="8" t="s">
        <v>3109</v>
      </c>
      <c r="X453" s="18" t="s">
        <v>625</v>
      </c>
      <c r="Z453" s="24" t="s">
        <v>1684</v>
      </c>
    </row>
    <row r="454" spans="8:26" ht="15.6" x14ac:dyDescent="0.3">
      <c r="H454" s="7" t="s">
        <v>83</v>
      </c>
      <c r="X454" s="18" t="s">
        <v>626</v>
      </c>
      <c r="Z454" s="24" t="s">
        <v>1621</v>
      </c>
    </row>
    <row r="455" spans="8:26" ht="15.6" x14ac:dyDescent="0.3">
      <c r="H455" s="8" t="s">
        <v>3110</v>
      </c>
      <c r="X455" s="18" t="s">
        <v>771</v>
      </c>
      <c r="Z455" s="24" t="s">
        <v>1637</v>
      </c>
    </row>
    <row r="456" spans="8:26" ht="19.2" x14ac:dyDescent="0.3">
      <c r="H456" s="7" t="s">
        <v>3111</v>
      </c>
      <c r="X456" s="18" t="s">
        <v>703</v>
      </c>
      <c r="Z456" s="24" t="s">
        <v>1638</v>
      </c>
    </row>
    <row r="457" spans="8:26" ht="15.6" x14ac:dyDescent="0.3">
      <c r="H457" s="8" t="s">
        <v>3112</v>
      </c>
      <c r="X457" s="18" t="s">
        <v>704</v>
      </c>
      <c r="Z457" s="24" t="s">
        <v>1832</v>
      </c>
    </row>
    <row r="458" spans="8:26" ht="15.6" x14ac:dyDescent="0.3">
      <c r="H458" s="7" t="s">
        <v>3113</v>
      </c>
      <c r="X458" s="18" t="s">
        <v>705</v>
      </c>
      <c r="Z458" s="24" t="s">
        <v>1685</v>
      </c>
    </row>
    <row r="459" spans="8:26" ht="15.6" x14ac:dyDescent="0.3">
      <c r="H459" s="8" t="s">
        <v>3114</v>
      </c>
      <c r="X459" s="18" t="s">
        <v>706</v>
      </c>
      <c r="Z459" s="24" t="s">
        <v>1862</v>
      </c>
    </row>
    <row r="460" spans="8:26" ht="15.6" x14ac:dyDescent="0.3">
      <c r="H460" s="7" t="s">
        <v>2738</v>
      </c>
      <c r="X460" s="18" t="s">
        <v>707</v>
      </c>
      <c r="Z460" s="24" t="s">
        <v>1863</v>
      </c>
    </row>
    <row r="461" spans="8:26" ht="15.6" x14ac:dyDescent="0.3">
      <c r="H461" s="8" t="s">
        <v>3115</v>
      </c>
      <c r="X461" s="18" t="s">
        <v>708</v>
      </c>
      <c r="Z461" s="24" t="s">
        <v>1686</v>
      </c>
    </row>
    <row r="462" spans="8:26" ht="15.6" x14ac:dyDescent="0.3">
      <c r="H462" s="7" t="s">
        <v>3116</v>
      </c>
      <c r="X462" s="18" t="s">
        <v>750</v>
      </c>
      <c r="Z462" s="24" t="s">
        <v>1622</v>
      </c>
    </row>
    <row r="463" spans="8:26" ht="15.6" x14ac:dyDescent="0.3">
      <c r="H463" s="8" t="s">
        <v>2747</v>
      </c>
      <c r="X463" s="18" t="s">
        <v>750</v>
      </c>
      <c r="Z463" s="24" t="s">
        <v>1833</v>
      </c>
    </row>
    <row r="464" spans="8:26" ht="15.6" x14ac:dyDescent="0.3">
      <c r="H464" s="7" t="s">
        <v>84</v>
      </c>
      <c r="X464" s="18" t="s">
        <v>579</v>
      </c>
      <c r="Z464" s="24" t="s">
        <v>1663</v>
      </c>
    </row>
    <row r="465" spans="8:26" ht="15.6" x14ac:dyDescent="0.3">
      <c r="H465" s="8" t="s">
        <v>3117</v>
      </c>
      <c r="X465" s="18" t="s">
        <v>627</v>
      </c>
      <c r="Z465" s="24" t="s">
        <v>1620</v>
      </c>
    </row>
    <row r="466" spans="8:26" ht="15.6" x14ac:dyDescent="0.3">
      <c r="H466" s="7" t="s">
        <v>3118</v>
      </c>
      <c r="X466" s="18" t="s">
        <v>628</v>
      </c>
      <c r="Z466" s="24" t="s">
        <v>1687</v>
      </c>
    </row>
    <row r="467" spans="8:26" ht="15.6" x14ac:dyDescent="0.3">
      <c r="H467" s="8" t="s">
        <v>2731</v>
      </c>
      <c r="X467" s="18" t="s">
        <v>629</v>
      </c>
      <c r="Z467" s="24" t="s">
        <v>1834</v>
      </c>
    </row>
    <row r="468" spans="8:26" ht="15.6" x14ac:dyDescent="0.3">
      <c r="H468" s="7" t="s">
        <v>3119</v>
      </c>
      <c r="X468" s="18" t="s">
        <v>630</v>
      </c>
      <c r="Z468" s="24" t="s">
        <v>1639</v>
      </c>
    </row>
    <row r="469" spans="8:26" ht="15.6" x14ac:dyDescent="0.3">
      <c r="H469" s="8" t="s">
        <v>3120</v>
      </c>
      <c r="X469" s="18" t="s">
        <v>709</v>
      </c>
    </row>
    <row r="470" spans="8:26" ht="15.6" x14ac:dyDescent="0.3">
      <c r="H470" s="7" t="s">
        <v>3121</v>
      </c>
      <c r="X470" s="18" t="s">
        <v>781</v>
      </c>
      <c r="Z470" s="2" t="s">
        <v>153</v>
      </c>
    </row>
    <row r="471" spans="8:26" ht="15.6" x14ac:dyDescent="0.3">
      <c r="H471" s="8" t="s">
        <v>85</v>
      </c>
      <c r="X471" s="18" t="s">
        <v>710</v>
      </c>
      <c r="Z471" s="19" t="s">
        <v>1887</v>
      </c>
    </row>
    <row r="472" spans="8:26" ht="15.6" x14ac:dyDescent="0.3">
      <c r="H472" s="7" t="s">
        <v>3122</v>
      </c>
      <c r="X472" s="18" t="s">
        <v>711</v>
      </c>
      <c r="Z472" s="19" t="s">
        <v>1874</v>
      </c>
    </row>
    <row r="473" spans="8:26" ht="15.6" x14ac:dyDescent="0.3">
      <c r="H473" s="8" t="s">
        <v>3123</v>
      </c>
      <c r="X473" s="18" t="s">
        <v>712</v>
      </c>
      <c r="Z473" s="19" t="s">
        <v>1888</v>
      </c>
    </row>
    <row r="474" spans="8:26" ht="15.6" x14ac:dyDescent="0.3">
      <c r="H474" s="7" t="s">
        <v>3124</v>
      </c>
      <c r="X474" s="18" t="s">
        <v>2640</v>
      </c>
      <c r="Z474" s="19" t="s">
        <v>1889</v>
      </c>
    </row>
    <row r="475" spans="8:26" ht="15.6" x14ac:dyDescent="0.3">
      <c r="H475" s="8" t="s">
        <v>3125</v>
      </c>
      <c r="X475" s="18" t="s">
        <v>713</v>
      </c>
      <c r="Z475" s="19" t="s">
        <v>1890</v>
      </c>
    </row>
    <row r="476" spans="8:26" ht="20.399999999999999" x14ac:dyDescent="0.3">
      <c r="H476" s="7" t="s">
        <v>3126</v>
      </c>
      <c r="X476" s="18" t="s">
        <v>780</v>
      </c>
      <c r="Z476" s="19" t="s">
        <v>1891</v>
      </c>
    </row>
    <row r="477" spans="8:26" ht="15.6" x14ac:dyDescent="0.3">
      <c r="H477" s="8" t="s">
        <v>2716</v>
      </c>
      <c r="X477" s="18" t="s">
        <v>631</v>
      </c>
      <c r="Z477" s="19" t="s">
        <v>1892</v>
      </c>
    </row>
    <row r="478" spans="8:26" ht="15.6" x14ac:dyDescent="0.3">
      <c r="H478" s="7" t="s">
        <v>3127</v>
      </c>
      <c r="X478" s="18" t="s">
        <v>632</v>
      </c>
      <c r="Z478" s="19" t="s">
        <v>1893</v>
      </c>
    </row>
    <row r="479" spans="8:26" ht="20.399999999999999" x14ac:dyDescent="0.3">
      <c r="H479" s="8" t="s">
        <v>2719</v>
      </c>
      <c r="X479" s="18" t="s">
        <v>633</v>
      </c>
      <c r="Z479" s="19" t="s">
        <v>1865</v>
      </c>
    </row>
    <row r="480" spans="8:26" ht="15.6" x14ac:dyDescent="0.3">
      <c r="H480" s="7" t="s">
        <v>3128</v>
      </c>
      <c r="X480" s="18" t="s">
        <v>714</v>
      </c>
      <c r="Z480" s="19" t="s">
        <v>1880</v>
      </c>
    </row>
    <row r="481" spans="8:26" ht="15.6" x14ac:dyDescent="0.3">
      <c r="H481" s="8" t="s">
        <v>3129</v>
      </c>
      <c r="X481" s="18" t="s">
        <v>580</v>
      </c>
      <c r="Z481" s="19" t="s">
        <v>1906</v>
      </c>
    </row>
    <row r="482" spans="8:26" ht="15.6" x14ac:dyDescent="0.3">
      <c r="H482" s="7" t="s">
        <v>3130</v>
      </c>
      <c r="X482" s="18" t="s">
        <v>599</v>
      </c>
      <c r="Z482" s="19" t="s">
        <v>1878</v>
      </c>
    </row>
    <row r="483" spans="8:26" ht="15.6" x14ac:dyDescent="0.3">
      <c r="H483" s="8" t="s">
        <v>2736</v>
      </c>
      <c r="X483" s="18" t="s">
        <v>2639</v>
      </c>
      <c r="Z483" s="19" t="s">
        <v>1866</v>
      </c>
    </row>
    <row r="484" spans="8:26" ht="15.6" x14ac:dyDescent="0.3">
      <c r="H484" s="7" t="s">
        <v>3131</v>
      </c>
      <c r="X484" s="18" t="s">
        <v>600</v>
      </c>
      <c r="Z484" s="19" t="s">
        <v>1867</v>
      </c>
    </row>
    <row r="485" spans="8:26" ht="15.6" x14ac:dyDescent="0.3">
      <c r="H485" s="8" t="s">
        <v>3132</v>
      </c>
      <c r="X485" s="18" t="s">
        <v>2746</v>
      </c>
      <c r="Z485" s="19" t="s">
        <v>1875</v>
      </c>
    </row>
    <row r="486" spans="8:26" ht="15.6" x14ac:dyDescent="0.3">
      <c r="H486" s="7" t="s">
        <v>3133</v>
      </c>
      <c r="X486" s="18" t="s">
        <v>581</v>
      </c>
      <c r="Z486" s="19" t="s">
        <v>1876</v>
      </c>
    </row>
    <row r="487" spans="8:26" ht="15.6" x14ac:dyDescent="0.3">
      <c r="H487" s="8" t="s">
        <v>3134</v>
      </c>
      <c r="X487" s="18" t="s">
        <v>601</v>
      </c>
      <c r="Z487" s="19" t="s">
        <v>315</v>
      </c>
    </row>
    <row r="488" spans="8:26" ht="15.6" x14ac:dyDescent="0.3">
      <c r="H488" s="7" t="s">
        <v>2617</v>
      </c>
      <c r="X488" s="18" t="s">
        <v>634</v>
      </c>
      <c r="Z488" s="19" t="s">
        <v>1894</v>
      </c>
    </row>
    <row r="489" spans="8:26" ht="15.6" x14ac:dyDescent="0.3">
      <c r="H489" s="8" t="s">
        <v>3135</v>
      </c>
      <c r="X489" s="18" t="s">
        <v>772</v>
      </c>
      <c r="Z489" s="19" t="s">
        <v>1868</v>
      </c>
    </row>
    <row r="490" spans="8:26" ht="15.6" x14ac:dyDescent="0.3">
      <c r="H490" s="7" t="s">
        <v>2878</v>
      </c>
      <c r="X490" s="18" t="s">
        <v>782</v>
      </c>
      <c r="Z490" s="19" t="s">
        <v>1895</v>
      </c>
    </row>
    <row r="491" spans="8:26" ht="15.6" x14ac:dyDescent="0.3">
      <c r="H491" s="8" t="s">
        <v>3136</v>
      </c>
      <c r="X491" s="18" t="s">
        <v>582</v>
      </c>
      <c r="Z491" s="19" t="s">
        <v>1877</v>
      </c>
    </row>
    <row r="492" spans="8:26" ht="15.6" x14ac:dyDescent="0.3">
      <c r="H492" s="7" t="s">
        <v>3137</v>
      </c>
      <c r="X492" s="18" t="s">
        <v>715</v>
      </c>
      <c r="Z492" s="19" t="s">
        <v>1896</v>
      </c>
    </row>
    <row r="493" spans="8:26" ht="15.6" x14ac:dyDescent="0.3">
      <c r="H493" s="8" t="s">
        <v>3138</v>
      </c>
      <c r="X493" s="18" t="s">
        <v>635</v>
      </c>
      <c r="Z493" s="19" t="s">
        <v>1869</v>
      </c>
    </row>
    <row r="494" spans="8:26" ht="15.6" x14ac:dyDescent="0.3">
      <c r="H494" s="7" t="s">
        <v>3139</v>
      </c>
      <c r="X494" s="18" t="s">
        <v>636</v>
      </c>
      <c r="Z494" s="19" t="s">
        <v>1897</v>
      </c>
    </row>
    <row r="495" spans="8:26" ht="15.6" x14ac:dyDescent="0.3">
      <c r="H495" s="8" t="s">
        <v>3140</v>
      </c>
      <c r="X495" s="18" t="s">
        <v>716</v>
      </c>
      <c r="Z495" s="19" t="s">
        <v>1898</v>
      </c>
    </row>
    <row r="496" spans="8:26" ht="15.6" x14ac:dyDescent="0.3">
      <c r="H496" s="7" t="s">
        <v>3141</v>
      </c>
      <c r="X496" s="18" t="s">
        <v>637</v>
      </c>
      <c r="Z496" s="19" t="s">
        <v>1870</v>
      </c>
    </row>
    <row r="497" spans="8:26" x14ac:dyDescent="0.3">
      <c r="X497" s="18" t="s">
        <v>2755</v>
      </c>
      <c r="Z497" s="19" t="s">
        <v>1881</v>
      </c>
    </row>
    <row r="498" spans="8:26" ht="15.6" x14ac:dyDescent="0.3">
      <c r="H498" s="8" t="s">
        <v>39</v>
      </c>
      <c r="X498" s="18" t="s">
        <v>717</v>
      </c>
      <c r="Z498" s="19" t="s">
        <v>1899</v>
      </c>
    </row>
    <row r="499" spans="8:26" ht="15.6" x14ac:dyDescent="0.3">
      <c r="H499" s="8" t="s">
        <v>2643</v>
      </c>
      <c r="X499" s="18" t="s">
        <v>638</v>
      </c>
      <c r="Z499" s="19" t="s">
        <v>1900</v>
      </c>
    </row>
    <row r="500" spans="8:26" ht="15.6" x14ac:dyDescent="0.3">
      <c r="H500" s="7" t="s">
        <v>3142</v>
      </c>
      <c r="X500" s="18" t="s">
        <v>751</v>
      </c>
      <c r="Z500" s="19" t="s">
        <v>1882</v>
      </c>
    </row>
    <row r="501" spans="8:26" ht="15.6" x14ac:dyDescent="0.3">
      <c r="H501" s="8" t="s">
        <v>3143</v>
      </c>
      <c r="X501" s="18" t="s">
        <v>773</v>
      </c>
      <c r="Z501" s="19" t="s">
        <v>1901</v>
      </c>
    </row>
    <row r="502" spans="8:26" ht="15.6" x14ac:dyDescent="0.3">
      <c r="H502" s="7" t="s">
        <v>86</v>
      </c>
      <c r="X502" s="18" t="s">
        <v>783</v>
      </c>
      <c r="Z502" s="19" t="s">
        <v>1902</v>
      </c>
    </row>
    <row r="503" spans="8:26" ht="15.6" x14ac:dyDescent="0.3">
      <c r="H503" s="8" t="s">
        <v>3144</v>
      </c>
      <c r="X503" s="18" t="s">
        <v>752</v>
      </c>
      <c r="Z503" s="19" t="s">
        <v>1879</v>
      </c>
    </row>
    <row r="504" spans="8:26" ht="15.6" x14ac:dyDescent="0.3">
      <c r="H504" s="7" t="s">
        <v>3145</v>
      </c>
      <c r="X504" s="18" t="s">
        <v>639</v>
      </c>
      <c r="Z504" s="19" t="s">
        <v>1871</v>
      </c>
    </row>
    <row r="505" spans="8:26" ht="15.6" x14ac:dyDescent="0.3">
      <c r="H505" s="8" t="s">
        <v>3146</v>
      </c>
      <c r="X505" s="18" t="s">
        <v>784</v>
      </c>
      <c r="Z505" s="19" t="s">
        <v>1903</v>
      </c>
    </row>
    <row r="506" spans="8:26" ht="15.6" x14ac:dyDescent="0.3">
      <c r="H506" s="7" t="s">
        <v>87</v>
      </c>
      <c r="X506" s="18" t="s">
        <v>753</v>
      </c>
      <c r="Z506" s="19" t="s">
        <v>1883</v>
      </c>
    </row>
    <row r="507" spans="8:26" ht="20.399999999999999" x14ac:dyDescent="0.3">
      <c r="H507" s="8" t="s">
        <v>3147</v>
      </c>
      <c r="X507" s="18" t="s">
        <v>754</v>
      </c>
      <c r="Z507" s="19" t="s">
        <v>1884</v>
      </c>
    </row>
    <row r="508" spans="8:26" ht="15.6" x14ac:dyDescent="0.3">
      <c r="H508" s="7" t="s">
        <v>2854</v>
      </c>
      <c r="X508" s="18" t="s">
        <v>602</v>
      </c>
      <c r="Z508" s="19" t="s">
        <v>1885</v>
      </c>
    </row>
    <row r="509" spans="8:26" ht="15.6" x14ac:dyDescent="0.3">
      <c r="H509" s="8" t="s">
        <v>3148</v>
      </c>
      <c r="X509" s="18" t="s">
        <v>603</v>
      </c>
      <c r="Z509" s="19" t="s">
        <v>1904</v>
      </c>
    </row>
    <row r="510" spans="8:26" ht="15.6" x14ac:dyDescent="0.3">
      <c r="H510" s="7" t="s">
        <v>3149</v>
      </c>
      <c r="X510" s="18" t="s">
        <v>755</v>
      </c>
      <c r="Z510" s="19" t="s">
        <v>1905</v>
      </c>
    </row>
    <row r="511" spans="8:26" ht="15.6" x14ac:dyDescent="0.3">
      <c r="H511" s="8" t="s">
        <v>3150</v>
      </c>
      <c r="X511" s="18" t="s">
        <v>640</v>
      </c>
      <c r="Z511" s="19" t="s">
        <v>1886</v>
      </c>
    </row>
    <row r="512" spans="8:26" ht="20.399999999999999" x14ac:dyDescent="0.3">
      <c r="H512" s="7" t="s">
        <v>3151</v>
      </c>
      <c r="X512" s="18" t="s">
        <v>641</v>
      </c>
      <c r="Z512" s="19" t="s">
        <v>1872</v>
      </c>
    </row>
    <row r="513" spans="8:26" ht="15.6" x14ac:dyDescent="0.3">
      <c r="H513" s="8" t="s">
        <v>3152</v>
      </c>
      <c r="X513" s="18" t="s">
        <v>774</v>
      </c>
      <c r="Z513" s="19" t="s">
        <v>1864</v>
      </c>
    </row>
    <row r="514" spans="8:26" ht="31.2" x14ac:dyDescent="0.3">
      <c r="H514" s="7" t="s">
        <v>3153</v>
      </c>
      <c r="X514" s="18" t="s">
        <v>756</v>
      </c>
      <c r="Z514" s="19" t="s">
        <v>1873</v>
      </c>
    </row>
    <row r="515" spans="8:26" ht="15.6" x14ac:dyDescent="0.3">
      <c r="H515" s="8" t="s">
        <v>3154</v>
      </c>
      <c r="X515" s="18" t="s">
        <v>642</v>
      </c>
    </row>
    <row r="516" spans="8:26" ht="31.2" x14ac:dyDescent="0.3">
      <c r="H516" s="7" t="s">
        <v>3155</v>
      </c>
      <c r="X516" s="18" t="s">
        <v>643</v>
      </c>
      <c r="Z516" s="2" t="s">
        <v>149</v>
      </c>
    </row>
    <row r="517" spans="8:26" ht="15.6" x14ac:dyDescent="0.3">
      <c r="H517" s="8" t="s">
        <v>3156</v>
      </c>
      <c r="X517" s="18" t="s">
        <v>718</v>
      </c>
      <c r="Z517" s="19" t="s">
        <v>1930</v>
      </c>
    </row>
    <row r="518" spans="8:26" ht="15.6" x14ac:dyDescent="0.3">
      <c r="H518" s="7" t="s">
        <v>3157</v>
      </c>
      <c r="X518" s="18" t="s">
        <v>644</v>
      </c>
      <c r="Z518" s="19" t="s">
        <v>1908</v>
      </c>
    </row>
    <row r="519" spans="8:26" ht="15.6" x14ac:dyDescent="0.3">
      <c r="H519" s="8" t="s">
        <v>3098</v>
      </c>
      <c r="X519" s="18" t="s">
        <v>785</v>
      </c>
      <c r="Z519" s="19" t="s">
        <v>1914</v>
      </c>
    </row>
    <row r="520" spans="8:26" ht="15.6" x14ac:dyDescent="0.3">
      <c r="H520" s="7" t="s">
        <v>3158</v>
      </c>
      <c r="X520" s="18" t="s">
        <v>757</v>
      </c>
      <c r="Z520" s="19" t="s">
        <v>1907</v>
      </c>
    </row>
    <row r="521" spans="8:26" ht="15.6" x14ac:dyDescent="0.3">
      <c r="H521" s="8" t="s">
        <v>88</v>
      </c>
      <c r="X521" s="18" t="s">
        <v>719</v>
      </c>
      <c r="Z521" s="19" t="s">
        <v>1909</v>
      </c>
    </row>
    <row r="522" spans="8:26" ht="15.6" x14ac:dyDescent="0.3">
      <c r="H522" s="7" t="s">
        <v>3159</v>
      </c>
      <c r="X522" s="18" t="s">
        <v>720</v>
      </c>
      <c r="Z522" s="19" t="s">
        <v>1931</v>
      </c>
    </row>
    <row r="523" spans="8:26" ht="15.6" x14ac:dyDescent="0.3">
      <c r="H523" s="8" t="s">
        <v>3160</v>
      </c>
      <c r="X523" s="18" t="s">
        <v>720</v>
      </c>
      <c r="Z523" s="19" t="s">
        <v>1910</v>
      </c>
    </row>
    <row r="524" spans="8:26" x14ac:dyDescent="0.3">
      <c r="X524" s="18" t="s">
        <v>758</v>
      </c>
      <c r="Z524" s="19" t="s">
        <v>1932</v>
      </c>
    </row>
    <row r="525" spans="8:26" ht="15.6" x14ac:dyDescent="0.3">
      <c r="H525" s="7" t="s">
        <v>38</v>
      </c>
      <c r="X525" s="18" t="s">
        <v>721</v>
      </c>
      <c r="Z525" s="19" t="s">
        <v>1911</v>
      </c>
    </row>
    <row r="526" spans="8:26" ht="20.399999999999999" x14ac:dyDescent="0.3">
      <c r="H526" s="8" t="s">
        <v>3161</v>
      </c>
      <c r="X526" s="18" t="s">
        <v>722</v>
      </c>
      <c r="Z526" s="19" t="s">
        <v>1937</v>
      </c>
    </row>
    <row r="527" spans="8:26" ht="20.399999999999999" x14ac:dyDescent="0.3">
      <c r="H527" s="7" t="s">
        <v>3162</v>
      </c>
      <c r="X527" s="18" t="s">
        <v>604</v>
      </c>
      <c r="Z527" s="19" t="s">
        <v>1936</v>
      </c>
    </row>
    <row r="528" spans="8:26" ht="15.6" x14ac:dyDescent="0.3">
      <c r="H528" s="8" t="s">
        <v>3163</v>
      </c>
      <c r="X528" s="18" t="s">
        <v>645</v>
      </c>
      <c r="Z528" s="19" t="s">
        <v>1933</v>
      </c>
    </row>
    <row r="529" spans="8:26" ht="15.6" x14ac:dyDescent="0.3">
      <c r="H529" s="7" t="s">
        <v>3164</v>
      </c>
      <c r="X529" s="18" t="s">
        <v>646</v>
      </c>
      <c r="Z529" s="19" t="s">
        <v>1923</v>
      </c>
    </row>
    <row r="530" spans="8:26" ht="15.6" x14ac:dyDescent="0.3">
      <c r="H530" s="8" t="s">
        <v>2636</v>
      </c>
      <c r="X530" s="18" t="s">
        <v>2756</v>
      </c>
      <c r="Z530" s="19" t="s">
        <v>1915</v>
      </c>
    </row>
    <row r="531" spans="8:26" ht="15.6" x14ac:dyDescent="0.3">
      <c r="H531" s="7" t="s">
        <v>3165</v>
      </c>
      <c r="X531" s="18" t="s">
        <v>583</v>
      </c>
      <c r="Z531" s="19" t="s">
        <v>1912</v>
      </c>
    </row>
    <row r="532" spans="8:26" ht="15.6" x14ac:dyDescent="0.3">
      <c r="H532" s="8" t="s">
        <v>3166</v>
      </c>
      <c r="X532" s="18" t="s">
        <v>584</v>
      </c>
      <c r="Z532" s="19" t="s">
        <v>1934</v>
      </c>
    </row>
    <row r="533" spans="8:26" ht="15.6" x14ac:dyDescent="0.3">
      <c r="H533" s="7" t="s">
        <v>2812</v>
      </c>
      <c r="X533" s="18" t="s">
        <v>585</v>
      </c>
      <c r="Z533" s="19" t="s">
        <v>1924</v>
      </c>
    </row>
    <row r="534" spans="8:26" ht="15.6" x14ac:dyDescent="0.3">
      <c r="H534" s="8" t="s">
        <v>2785</v>
      </c>
      <c r="X534" s="18" t="s">
        <v>647</v>
      </c>
      <c r="Z534" s="19" t="s">
        <v>1916</v>
      </c>
    </row>
    <row r="535" spans="8:26" ht="15.6" x14ac:dyDescent="0.3">
      <c r="H535" s="7" t="s">
        <v>89</v>
      </c>
      <c r="X535" s="18" t="s">
        <v>648</v>
      </c>
      <c r="Z535" s="19" t="s">
        <v>1917</v>
      </c>
    </row>
    <row r="536" spans="8:26" ht="15.6" x14ac:dyDescent="0.3">
      <c r="H536" s="8" t="s">
        <v>2767</v>
      </c>
      <c r="X536" s="18" t="s">
        <v>586</v>
      </c>
      <c r="Z536" s="19" t="s">
        <v>1918</v>
      </c>
    </row>
    <row r="537" spans="8:26" ht="15.6" x14ac:dyDescent="0.3">
      <c r="H537" s="7" t="s">
        <v>2721</v>
      </c>
      <c r="X537" s="18" t="s">
        <v>586</v>
      </c>
      <c r="Z537" s="19" t="s">
        <v>1925</v>
      </c>
    </row>
    <row r="538" spans="8:26" ht="15.6" x14ac:dyDescent="0.3">
      <c r="H538" s="8" t="s">
        <v>2772</v>
      </c>
      <c r="X538" s="18" t="s">
        <v>723</v>
      </c>
      <c r="Z538" s="19" t="s">
        <v>1926</v>
      </c>
    </row>
    <row r="539" spans="8:26" ht="15.6" x14ac:dyDescent="0.3">
      <c r="H539" s="7" t="s">
        <v>2779</v>
      </c>
      <c r="X539" s="18" t="s">
        <v>587</v>
      </c>
      <c r="Z539" s="19" t="s">
        <v>1927</v>
      </c>
    </row>
    <row r="540" spans="8:26" ht="15.6" x14ac:dyDescent="0.3">
      <c r="H540" s="8" t="s">
        <v>3167</v>
      </c>
      <c r="X540" s="18" t="s">
        <v>587</v>
      </c>
      <c r="Z540" s="19" t="s">
        <v>1919</v>
      </c>
    </row>
    <row r="541" spans="8:26" ht="15.6" x14ac:dyDescent="0.3">
      <c r="H541" s="7" t="s">
        <v>3168</v>
      </c>
      <c r="X541" s="18" t="s">
        <v>724</v>
      </c>
      <c r="Z541" s="19" t="s">
        <v>1920</v>
      </c>
    </row>
    <row r="542" spans="8:26" ht="15.6" x14ac:dyDescent="0.3">
      <c r="H542" s="8" t="s">
        <v>3169</v>
      </c>
      <c r="X542" s="18" t="s">
        <v>775</v>
      </c>
      <c r="Z542" s="19" t="s">
        <v>1935</v>
      </c>
    </row>
    <row r="543" spans="8:26" ht="15.6" x14ac:dyDescent="0.3">
      <c r="H543" s="7" t="s">
        <v>3170</v>
      </c>
      <c r="X543" s="18" t="s">
        <v>605</v>
      </c>
      <c r="Z543" s="19" t="s">
        <v>1928</v>
      </c>
    </row>
    <row r="544" spans="8:26" ht="15.6" x14ac:dyDescent="0.3">
      <c r="H544" s="8" t="s">
        <v>3171</v>
      </c>
      <c r="X544" s="18" t="s">
        <v>606</v>
      </c>
      <c r="Z544" s="19" t="s">
        <v>1929</v>
      </c>
    </row>
    <row r="545" spans="8:26" ht="15.6" x14ac:dyDescent="0.3">
      <c r="H545" s="7" t="s">
        <v>3172</v>
      </c>
      <c r="X545" s="18" t="s">
        <v>607</v>
      </c>
      <c r="Z545" s="19" t="s">
        <v>1913</v>
      </c>
    </row>
    <row r="546" spans="8:26" ht="15.6" x14ac:dyDescent="0.3">
      <c r="H546" s="8" t="s">
        <v>3173</v>
      </c>
      <c r="X546" s="18" t="s">
        <v>3587</v>
      </c>
      <c r="Z546" s="19" t="s">
        <v>1921</v>
      </c>
    </row>
    <row r="547" spans="8:26" ht="15.6" x14ac:dyDescent="0.3">
      <c r="H547" s="7" t="s">
        <v>3174</v>
      </c>
      <c r="X547" s="18" t="s">
        <v>608</v>
      </c>
      <c r="Z547" s="19" t="s">
        <v>1922</v>
      </c>
    </row>
    <row r="548" spans="8:26" ht="15.6" x14ac:dyDescent="0.3">
      <c r="H548" s="8" t="s">
        <v>2786</v>
      </c>
      <c r="X548" s="18" t="s">
        <v>609</v>
      </c>
    </row>
    <row r="549" spans="8:26" ht="15.6" x14ac:dyDescent="0.3">
      <c r="H549" s="7" t="s">
        <v>3175</v>
      </c>
      <c r="X549" s="18" t="s">
        <v>610</v>
      </c>
      <c r="Z549" s="2" t="s">
        <v>1938</v>
      </c>
    </row>
    <row r="550" spans="8:26" ht="19.8" x14ac:dyDescent="0.3">
      <c r="H550" s="8" t="s">
        <v>2780</v>
      </c>
      <c r="X550" s="18" t="s">
        <v>588</v>
      </c>
      <c r="Z550" s="16" t="s">
        <v>1944</v>
      </c>
    </row>
    <row r="551" spans="8:26" ht="15.6" x14ac:dyDescent="0.3">
      <c r="H551" s="7" t="s">
        <v>3176</v>
      </c>
      <c r="X551" s="18" t="s">
        <v>649</v>
      </c>
      <c r="Z551" s="16" t="s">
        <v>1939</v>
      </c>
    </row>
    <row r="552" spans="8:26" ht="15.6" x14ac:dyDescent="0.3">
      <c r="H552" s="8" t="s">
        <v>2825</v>
      </c>
      <c r="X552" s="18" t="s">
        <v>759</v>
      </c>
      <c r="Z552" s="16" t="s">
        <v>1945</v>
      </c>
    </row>
    <row r="553" spans="8:26" ht="15.6" x14ac:dyDescent="0.3">
      <c r="H553" s="7" t="s">
        <v>3177</v>
      </c>
      <c r="X553" s="18" t="s">
        <v>786</v>
      </c>
      <c r="Z553" s="16" t="s">
        <v>1940</v>
      </c>
    </row>
    <row r="554" spans="8:26" ht="15.6" x14ac:dyDescent="0.3">
      <c r="H554" s="8" t="s">
        <v>3178</v>
      </c>
      <c r="X554" s="18" t="s">
        <v>611</v>
      </c>
      <c r="Z554" s="16" t="s">
        <v>1941</v>
      </c>
    </row>
    <row r="555" spans="8:26" ht="15.6" x14ac:dyDescent="0.3">
      <c r="H555" s="7" t="s">
        <v>2773</v>
      </c>
      <c r="X555" s="18" t="s">
        <v>612</v>
      </c>
      <c r="Z555" s="16" t="s">
        <v>1946</v>
      </c>
    </row>
    <row r="556" spans="8:26" ht="15.6" x14ac:dyDescent="0.3">
      <c r="H556" s="8" t="s">
        <v>3179</v>
      </c>
      <c r="X556" s="18" t="s">
        <v>613</v>
      </c>
      <c r="Z556" s="16" t="s">
        <v>1947</v>
      </c>
    </row>
    <row r="557" spans="8:26" ht="15.6" x14ac:dyDescent="0.3">
      <c r="H557" s="7" t="s">
        <v>90</v>
      </c>
      <c r="X557" s="18" t="s">
        <v>760</v>
      </c>
      <c r="Z557" s="16" t="s">
        <v>1948</v>
      </c>
    </row>
    <row r="558" spans="8:26" ht="15.6" x14ac:dyDescent="0.3">
      <c r="H558" s="8" t="s">
        <v>2758</v>
      </c>
      <c r="X558" s="18" t="s">
        <v>761</v>
      </c>
      <c r="Z558" s="16" t="s">
        <v>1949</v>
      </c>
    </row>
    <row r="559" spans="8:26" ht="15.6" x14ac:dyDescent="0.3">
      <c r="H559" s="7" t="s">
        <v>3180</v>
      </c>
      <c r="X559" s="18" t="s">
        <v>650</v>
      </c>
      <c r="Z559" s="16" t="s">
        <v>1950</v>
      </c>
    </row>
    <row r="560" spans="8:26" ht="15.6" x14ac:dyDescent="0.3">
      <c r="H560" s="8" t="s">
        <v>3181</v>
      </c>
      <c r="X560" s="18" t="s">
        <v>651</v>
      </c>
      <c r="Z560" s="16" t="s">
        <v>1951</v>
      </c>
    </row>
    <row r="561" spans="8:26" ht="15.6" x14ac:dyDescent="0.3">
      <c r="H561" s="7" t="s">
        <v>60</v>
      </c>
      <c r="X561" s="18" t="s">
        <v>725</v>
      </c>
      <c r="Z561" s="16" t="s">
        <v>1952</v>
      </c>
    </row>
    <row r="562" spans="8:26" ht="31.2" x14ac:dyDescent="0.3">
      <c r="H562" s="8" t="s">
        <v>3182</v>
      </c>
      <c r="X562" s="18" t="s">
        <v>726</v>
      </c>
      <c r="Z562" s="16" t="s">
        <v>1953</v>
      </c>
    </row>
    <row r="563" spans="8:26" ht="19.8" x14ac:dyDescent="0.3">
      <c r="H563" s="7" t="s">
        <v>3183</v>
      </c>
      <c r="X563" s="18" t="s">
        <v>652</v>
      </c>
      <c r="Z563" s="16" t="s">
        <v>1954</v>
      </c>
    </row>
    <row r="564" spans="8:26" ht="15.6" x14ac:dyDescent="0.3">
      <c r="H564" s="8" t="s">
        <v>2941</v>
      </c>
      <c r="X564" s="18" t="s">
        <v>727</v>
      </c>
      <c r="Z564" s="16" t="s">
        <v>1955</v>
      </c>
    </row>
    <row r="565" spans="8:26" ht="15.6" x14ac:dyDescent="0.3">
      <c r="H565" s="7" t="s">
        <v>3184</v>
      </c>
      <c r="X565" s="18" t="s">
        <v>589</v>
      </c>
      <c r="Z565" s="16" t="s">
        <v>1956</v>
      </c>
    </row>
    <row r="566" spans="8:26" ht="15.6" x14ac:dyDescent="0.3">
      <c r="H566" s="8" t="s">
        <v>3185</v>
      </c>
      <c r="X566" s="18" t="s">
        <v>653</v>
      </c>
      <c r="Z566" s="16" t="s">
        <v>1957</v>
      </c>
    </row>
    <row r="567" spans="8:26" ht="15.6" x14ac:dyDescent="0.3">
      <c r="H567" s="7" t="s">
        <v>2768</v>
      </c>
      <c r="X567" s="18" t="s">
        <v>728</v>
      </c>
      <c r="Z567" s="16" t="s">
        <v>1942</v>
      </c>
    </row>
    <row r="568" spans="8:26" ht="15.6" x14ac:dyDescent="0.3">
      <c r="H568" s="8" t="s">
        <v>2762</v>
      </c>
      <c r="X568" s="18" t="s">
        <v>729</v>
      </c>
      <c r="Z568" s="16" t="s">
        <v>1958</v>
      </c>
    </row>
    <row r="569" spans="8:26" ht="15.6" x14ac:dyDescent="0.3">
      <c r="H569" s="7" t="s">
        <v>3186</v>
      </c>
      <c r="X569" s="18" t="s">
        <v>730</v>
      </c>
      <c r="Z569" s="16" t="s">
        <v>1943</v>
      </c>
    </row>
    <row r="570" spans="8:26" ht="15.6" x14ac:dyDescent="0.3">
      <c r="H570" s="8" t="s">
        <v>3187</v>
      </c>
      <c r="X570" s="18" t="s">
        <v>590</v>
      </c>
      <c r="Z570" s="16" t="s">
        <v>1959</v>
      </c>
    </row>
    <row r="571" spans="8:26" ht="15.6" x14ac:dyDescent="0.3">
      <c r="H571" s="7" t="s">
        <v>3188</v>
      </c>
      <c r="X571" s="18" t="s">
        <v>776</v>
      </c>
    </row>
    <row r="572" spans="8:26" ht="15.6" x14ac:dyDescent="0.3">
      <c r="H572" s="8" t="s">
        <v>3189</v>
      </c>
      <c r="X572" s="18" t="s">
        <v>591</v>
      </c>
      <c r="Z572" s="2" t="s">
        <v>152</v>
      </c>
    </row>
    <row r="573" spans="8:26" ht="15.6" x14ac:dyDescent="0.3">
      <c r="H573" s="7" t="s">
        <v>3190</v>
      </c>
      <c r="X573" s="18" t="s">
        <v>654</v>
      </c>
      <c r="Z573" s="16" t="s">
        <v>1960</v>
      </c>
    </row>
    <row r="574" spans="8:26" ht="15.6" x14ac:dyDescent="0.3">
      <c r="H574" s="8" t="s">
        <v>3191</v>
      </c>
      <c r="X574" s="18" t="s">
        <v>731</v>
      </c>
      <c r="Z574" s="16" t="s">
        <v>1961</v>
      </c>
    </row>
    <row r="575" spans="8:26" ht="15.6" x14ac:dyDescent="0.3">
      <c r="H575" s="7" t="s">
        <v>3192</v>
      </c>
      <c r="X575" s="18" t="s">
        <v>732</v>
      </c>
      <c r="Z575" s="16" t="s">
        <v>1962</v>
      </c>
    </row>
    <row r="576" spans="8:26" ht="15.6" x14ac:dyDescent="0.3">
      <c r="H576" s="8" t="s">
        <v>2759</v>
      </c>
      <c r="X576" s="18" t="s">
        <v>733</v>
      </c>
      <c r="Z576" s="16" t="s">
        <v>1966</v>
      </c>
    </row>
    <row r="577" spans="8:26" ht="15.6" x14ac:dyDescent="0.3">
      <c r="H577" s="7" t="s">
        <v>2711</v>
      </c>
      <c r="X577" s="18" t="s">
        <v>614</v>
      </c>
      <c r="Z577" s="16" t="s">
        <v>1967</v>
      </c>
    </row>
    <row r="578" spans="8:26" ht="15.6" x14ac:dyDescent="0.3">
      <c r="H578" s="8" t="s">
        <v>2625</v>
      </c>
      <c r="X578" s="18" t="s">
        <v>615</v>
      </c>
      <c r="Z578" s="16" t="s">
        <v>1968</v>
      </c>
    </row>
    <row r="579" spans="8:26" ht="15.6" x14ac:dyDescent="0.3">
      <c r="H579" s="7" t="s">
        <v>3193</v>
      </c>
      <c r="X579" s="18" t="s">
        <v>762</v>
      </c>
      <c r="Z579" s="16" t="s">
        <v>1963</v>
      </c>
    </row>
    <row r="580" spans="8:26" ht="15.6" x14ac:dyDescent="0.3">
      <c r="H580" s="8" t="s">
        <v>3194</v>
      </c>
      <c r="X580" s="18" t="s">
        <v>763</v>
      </c>
      <c r="Z580" s="16" t="s">
        <v>1969</v>
      </c>
    </row>
    <row r="581" spans="8:26" ht="15.6" x14ac:dyDescent="0.3">
      <c r="H581" s="7" t="s">
        <v>3195</v>
      </c>
      <c r="X581" s="18" t="s">
        <v>655</v>
      </c>
      <c r="Z581" s="16" t="s">
        <v>1964</v>
      </c>
    </row>
    <row r="582" spans="8:26" ht="15.6" x14ac:dyDescent="0.3">
      <c r="H582" s="8" t="s">
        <v>2774</v>
      </c>
      <c r="X582" s="18" t="s">
        <v>734</v>
      </c>
      <c r="Z582" s="16" t="s">
        <v>1970</v>
      </c>
    </row>
    <row r="583" spans="8:26" ht="15.6" x14ac:dyDescent="0.3">
      <c r="H583" s="7" t="s">
        <v>3196</v>
      </c>
      <c r="X583" s="18" t="s">
        <v>656</v>
      </c>
      <c r="Z583" s="16" t="s">
        <v>1971</v>
      </c>
    </row>
    <row r="584" spans="8:26" ht="15.6" x14ac:dyDescent="0.3">
      <c r="H584" s="8" t="s">
        <v>2788</v>
      </c>
      <c r="X584" s="18" t="s">
        <v>592</v>
      </c>
      <c r="Z584" s="16" t="s">
        <v>1972</v>
      </c>
    </row>
    <row r="585" spans="8:26" ht="20.399999999999999" x14ac:dyDescent="0.3">
      <c r="H585" s="7" t="s">
        <v>3197</v>
      </c>
      <c r="X585" s="18" t="s">
        <v>777</v>
      </c>
      <c r="Z585" s="16" t="s">
        <v>1973</v>
      </c>
    </row>
    <row r="586" spans="8:26" ht="15.6" x14ac:dyDescent="0.3">
      <c r="H586" s="8" t="s">
        <v>3198</v>
      </c>
      <c r="X586" s="18" t="s">
        <v>618</v>
      </c>
      <c r="Z586" s="16" t="s">
        <v>1974</v>
      </c>
    </row>
    <row r="587" spans="8:26" ht="15.6" x14ac:dyDescent="0.3">
      <c r="H587" s="7" t="s">
        <v>3199</v>
      </c>
      <c r="X587" s="18" t="s">
        <v>764</v>
      </c>
      <c r="Z587" s="16" t="s">
        <v>1975</v>
      </c>
    </row>
    <row r="588" spans="8:26" ht="15.6" x14ac:dyDescent="0.3">
      <c r="H588" s="8" t="s">
        <v>2744</v>
      </c>
      <c r="X588" s="18" t="s">
        <v>765</v>
      </c>
      <c r="Z588" s="16" t="s">
        <v>1976</v>
      </c>
    </row>
    <row r="589" spans="8:26" ht="15.6" x14ac:dyDescent="0.3">
      <c r="H589" s="7" t="s">
        <v>126</v>
      </c>
      <c r="X589" s="18" t="s">
        <v>766</v>
      </c>
      <c r="Z589" s="16" t="s">
        <v>1965</v>
      </c>
    </row>
    <row r="590" spans="8:26" ht="15.6" x14ac:dyDescent="0.3">
      <c r="H590" s="8" t="s">
        <v>2775</v>
      </c>
      <c r="X590" s="18" t="s">
        <v>619</v>
      </c>
      <c r="Z590" s="25" t="s">
        <v>1977</v>
      </c>
    </row>
    <row r="591" spans="8:26" ht="15.6" x14ac:dyDescent="0.3">
      <c r="H591" s="7" t="s">
        <v>2789</v>
      </c>
      <c r="X591" s="18" t="s">
        <v>767</v>
      </c>
    </row>
    <row r="592" spans="8:26" ht="15.6" x14ac:dyDescent="0.3">
      <c r="H592" s="8" t="s">
        <v>3200</v>
      </c>
      <c r="X592" s="18" t="s">
        <v>768</v>
      </c>
      <c r="Z592" s="2" t="s">
        <v>155</v>
      </c>
    </row>
    <row r="593" spans="8:26" ht="15.6" x14ac:dyDescent="0.3">
      <c r="H593" s="7" t="s">
        <v>3201</v>
      </c>
      <c r="X593" s="18" t="s">
        <v>769</v>
      </c>
      <c r="Z593" s="16" t="s">
        <v>1996</v>
      </c>
    </row>
    <row r="594" spans="8:26" ht="15.6" x14ac:dyDescent="0.3">
      <c r="H594" s="8" t="s">
        <v>2763</v>
      </c>
      <c r="X594" s="18" t="s">
        <v>657</v>
      </c>
      <c r="Z594" s="16" t="s">
        <v>1997</v>
      </c>
    </row>
    <row r="595" spans="8:26" ht="15.6" x14ac:dyDescent="0.3">
      <c r="H595" s="7" t="s">
        <v>3202</v>
      </c>
      <c r="X595" s="18" t="s">
        <v>2743</v>
      </c>
      <c r="Z595" s="16" t="s">
        <v>1998</v>
      </c>
    </row>
    <row r="596" spans="8:26" ht="15.6" x14ac:dyDescent="0.3">
      <c r="H596" s="8" t="s">
        <v>2552</v>
      </c>
      <c r="X596" s="18" t="s">
        <v>658</v>
      </c>
      <c r="Z596" s="16" t="s">
        <v>2007</v>
      </c>
    </row>
    <row r="597" spans="8:26" ht="15.6" x14ac:dyDescent="0.3">
      <c r="H597" s="7" t="s">
        <v>3203</v>
      </c>
      <c r="X597" s="18" t="s">
        <v>659</v>
      </c>
      <c r="Z597" s="16" t="s">
        <v>2028</v>
      </c>
    </row>
    <row r="598" spans="8:26" ht="15.6" x14ac:dyDescent="0.3">
      <c r="H598" s="8" t="s">
        <v>3204</v>
      </c>
      <c r="X598" s="18" t="s">
        <v>660</v>
      </c>
      <c r="Z598" s="16" t="s">
        <v>1979</v>
      </c>
    </row>
    <row r="599" spans="8:26" ht="15.6" x14ac:dyDescent="0.3">
      <c r="H599" s="7" t="s">
        <v>3205</v>
      </c>
      <c r="X599" s="18" t="s">
        <v>735</v>
      </c>
      <c r="Z599" s="16" t="s">
        <v>2009</v>
      </c>
    </row>
    <row r="600" spans="8:26" ht="15.6" x14ac:dyDescent="0.3">
      <c r="H600" s="8" t="s">
        <v>3206</v>
      </c>
      <c r="X600" s="18" t="s">
        <v>661</v>
      </c>
      <c r="Z600" s="16" t="s">
        <v>2008</v>
      </c>
    </row>
    <row r="601" spans="8:26" ht="15.6" x14ac:dyDescent="0.3">
      <c r="H601" s="7" t="s">
        <v>3207</v>
      </c>
      <c r="X601" s="18" t="s">
        <v>662</v>
      </c>
      <c r="Z601" s="16" t="s">
        <v>2010</v>
      </c>
    </row>
    <row r="602" spans="8:26" ht="15.6" x14ac:dyDescent="0.3">
      <c r="H602" s="8" t="s">
        <v>2781</v>
      </c>
      <c r="X602" s="18" t="s">
        <v>663</v>
      </c>
      <c r="Z602" s="16" t="s">
        <v>1980</v>
      </c>
    </row>
    <row r="603" spans="8:26" ht="15.6" x14ac:dyDescent="0.3">
      <c r="H603" s="7" t="s">
        <v>3208</v>
      </c>
      <c r="X603" s="18" t="s">
        <v>664</v>
      </c>
      <c r="Z603" s="16" t="s">
        <v>2029</v>
      </c>
    </row>
    <row r="604" spans="8:26" ht="15.6" x14ac:dyDescent="0.3">
      <c r="H604" s="8" t="s">
        <v>2776</v>
      </c>
      <c r="X604" s="18" t="s">
        <v>665</v>
      </c>
      <c r="Z604" s="16" t="s">
        <v>1981</v>
      </c>
    </row>
    <row r="605" spans="8:26" ht="15.6" x14ac:dyDescent="0.3">
      <c r="H605" s="7" t="s">
        <v>3209</v>
      </c>
      <c r="X605" s="18" t="s">
        <v>666</v>
      </c>
      <c r="Z605" s="16" t="s">
        <v>2011</v>
      </c>
    </row>
    <row r="606" spans="8:26" ht="15.6" x14ac:dyDescent="0.3">
      <c r="H606" s="8" t="s">
        <v>3210</v>
      </c>
      <c r="X606" s="18" t="s">
        <v>616</v>
      </c>
      <c r="Z606" s="16" t="s">
        <v>2021</v>
      </c>
    </row>
    <row r="607" spans="8:26" ht="15.6" x14ac:dyDescent="0.3">
      <c r="H607" s="7" t="s">
        <v>3211</v>
      </c>
      <c r="X607" s="18" t="s">
        <v>667</v>
      </c>
      <c r="Z607" s="16" t="s">
        <v>2015</v>
      </c>
    </row>
    <row r="608" spans="8:26" ht="31.2" x14ac:dyDescent="0.3">
      <c r="H608" s="8" t="s">
        <v>3212</v>
      </c>
      <c r="X608" s="18" t="s">
        <v>668</v>
      </c>
      <c r="Z608" s="16" t="s">
        <v>2022</v>
      </c>
    </row>
    <row r="609" spans="8:26" ht="15.6" x14ac:dyDescent="0.3">
      <c r="H609" s="7" t="s">
        <v>2782</v>
      </c>
      <c r="X609" s="18" t="s">
        <v>669</v>
      </c>
      <c r="Z609" s="16" t="s">
        <v>1982</v>
      </c>
    </row>
    <row r="610" spans="8:26" ht="15.6" x14ac:dyDescent="0.3">
      <c r="H610" s="8" t="s">
        <v>2783</v>
      </c>
      <c r="X610" s="18" t="s">
        <v>670</v>
      </c>
      <c r="Z610" s="16" t="s">
        <v>2012</v>
      </c>
    </row>
    <row r="611" spans="8:26" ht="19.8" x14ac:dyDescent="0.3">
      <c r="H611" s="7" t="s">
        <v>3213</v>
      </c>
      <c r="X611" s="18" t="s">
        <v>671</v>
      </c>
      <c r="Z611" s="16" t="s">
        <v>2023</v>
      </c>
    </row>
    <row r="612" spans="8:26" ht="15.6" x14ac:dyDescent="0.3">
      <c r="H612" s="8" t="s">
        <v>3214</v>
      </c>
      <c r="X612" s="18" t="s">
        <v>672</v>
      </c>
      <c r="Z612" s="16" t="s">
        <v>2024</v>
      </c>
    </row>
    <row r="613" spans="8:26" ht="15.6" x14ac:dyDescent="0.3">
      <c r="H613" s="7" t="s">
        <v>3215</v>
      </c>
      <c r="X613" s="18" t="s">
        <v>673</v>
      </c>
      <c r="Z613" s="16" t="s">
        <v>1983</v>
      </c>
    </row>
    <row r="614" spans="8:26" ht="15.6" x14ac:dyDescent="0.3">
      <c r="H614" s="8" t="s">
        <v>3216</v>
      </c>
      <c r="X614" s="18" t="s">
        <v>674</v>
      </c>
      <c r="Z614" s="16" t="s">
        <v>1984</v>
      </c>
    </row>
    <row r="615" spans="8:26" ht="15.6" x14ac:dyDescent="0.3">
      <c r="H615" s="8" t="s">
        <v>55</v>
      </c>
      <c r="X615" s="18" t="s">
        <v>675</v>
      </c>
      <c r="Z615" s="16" t="s">
        <v>1985</v>
      </c>
    </row>
    <row r="616" spans="8:26" ht="15.6" x14ac:dyDescent="0.3">
      <c r="H616" s="7" t="s">
        <v>3217</v>
      </c>
      <c r="X616" s="18" t="s">
        <v>676</v>
      </c>
      <c r="Z616" s="16" t="s">
        <v>1986</v>
      </c>
    </row>
    <row r="617" spans="8:26" ht="15.6" x14ac:dyDescent="0.3">
      <c r="H617" s="7" t="s">
        <v>3218</v>
      </c>
      <c r="X617" s="18" t="s">
        <v>677</v>
      </c>
      <c r="Z617" s="16" t="s">
        <v>1999</v>
      </c>
    </row>
    <row r="618" spans="8:26" ht="15.6" x14ac:dyDescent="0.3">
      <c r="H618" s="8" t="s">
        <v>2790</v>
      </c>
      <c r="X618" s="18" t="s">
        <v>678</v>
      </c>
      <c r="Z618" s="16" t="s">
        <v>2025</v>
      </c>
    </row>
    <row r="619" spans="8:26" ht="15.6" x14ac:dyDescent="0.3">
      <c r="H619" s="7" t="s">
        <v>2869</v>
      </c>
      <c r="X619" s="18" t="s">
        <v>679</v>
      </c>
      <c r="Z619" s="16" t="s">
        <v>1978</v>
      </c>
    </row>
    <row r="620" spans="8:26" ht="15.6" x14ac:dyDescent="0.3">
      <c r="H620" s="8" t="s">
        <v>3219</v>
      </c>
      <c r="X620" s="18" t="s">
        <v>736</v>
      </c>
      <c r="Z620" s="16" t="s">
        <v>2013</v>
      </c>
    </row>
    <row r="621" spans="8:26" ht="31.2" x14ac:dyDescent="0.3">
      <c r="H621" s="7" t="s">
        <v>2760</v>
      </c>
      <c r="X621" s="18" t="s">
        <v>2556</v>
      </c>
      <c r="Z621" s="16" t="s">
        <v>2014</v>
      </c>
    </row>
    <row r="622" spans="8:26" ht="15.6" x14ac:dyDescent="0.3">
      <c r="H622" s="8" t="s">
        <v>92</v>
      </c>
      <c r="X622" s="18" t="s">
        <v>680</v>
      </c>
      <c r="Z622" s="16" t="s">
        <v>1987</v>
      </c>
    </row>
    <row r="623" spans="8:26" ht="15.6" x14ac:dyDescent="0.3">
      <c r="H623" s="7" t="s">
        <v>3220</v>
      </c>
      <c r="X623" s="18" t="s">
        <v>737</v>
      </c>
      <c r="Z623" s="16" t="s">
        <v>2026</v>
      </c>
    </row>
    <row r="624" spans="8:26" ht="15.6" x14ac:dyDescent="0.3">
      <c r="H624" s="8" t="s">
        <v>2777</v>
      </c>
      <c r="X624" s="18" t="s">
        <v>681</v>
      </c>
      <c r="Z624" s="16" t="s">
        <v>2000</v>
      </c>
    </row>
    <row r="625" spans="8:26" ht="15.6" x14ac:dyDescent="0.3">
      <c r="H625" s="7" t="s">
        <v>2765</v>
      </c>
      <c r="X625" s="18" t="s">
        <v>681</v>
      </c>
      <c r="Z625" s="16" t="s">
        <v>2016</v>
      </c>
    </row>
    <row r="626" spans="8:26" ht="15.6" x14ac:dyDescent="0.3">
      <c r="H626" s="8" t="s">
        <v>3221</v>
      </c>
      <c r="X626" s="18" t="s">
        <v>593</v>
      </c>
      <c r="Z626" s="16" t="s">
        <v>2001</v>
      </c>
    </row>
    <row r="627" spans="8:26" ht="15.6" x14ac:dyDescent="0.3">
      <c r="H627" s="7" t="s">
        <v>3222</v>
      </c>
      <c r="X627" s="18" t="s">
        <v>778</v>
      </c>
      <c r="Z627" s="16" t="s">
        <v>2030</v>
      </c>
    </row>
    <row r="628" spans="8:26" ht="31.2" x14ac:dyDescent="0.3">
      <c r="H628" s="8" t="s">
        <v>3223</v>
      </c>
      <c r="X628" s="18" t="s">
        <v>779</v>
      </c>
      <c r="Z628" s="16" t="s">
        <v>2002</v>
      </c>
    </row>
    <row r="629" spans="8:26" ht="15.6" x14ac:dyDescent="0.3">
      <c r="H629" s="7" t="s">
        <v>96</v>
      </c>
      <c r="X629" s="18" t="s">
        <v>594</v>
      </c>
      <c r="Z629" s="16" t="s">
        <v>2027</v>
      </c>
    </row>
    <row r="630" spans="8:26" ht="31.2" x14ac:dyDescent="0.3">
      <c r="H630" s="8" t="s">
        <v>3224</v>
      </c>
      <c r="X630" s="18" t="s">
        <v>682</v>
      </c>
      <c r="Z630" s="16" t="s">
        <v>1988</v>
      </c>
    </row>
    <row r="631" spans="8:26" ht="15.6" x14ac:dyDescent="0.3">
      <c r="H631" s="7" t="s">
        <v>106</v>
      </c>
      <c r="X631" s="18" t="s">
        <v>683</v>
      </c>
      <c r="Z631" s="16" t="s">
        <v>1989</v>
      </c>
    </row>
    <row r="632" spans="8:26" ht="31.2" x14ac:dyDescent="0.3">
      <c r="H632" s="8" t="s">
        <v>3225</v>
      </c>
      <c r="X632" s="18" t="s">
        <v>684</v>
      </c>
      <c r="Z632" s="16" t="s">
        <v>2031</v>
      </c>
    </row>
    <row r="633" spans="8:26" ht="15.6" x14ac:dyDescent="0.3">
      <c r="H633" s="7" t="s">
        <v>2620</v>
      </c>
      <c r="X633" s="18" t="s">
        <v>685</v>
      </c>
      <c r="Z633" s="16" t="s">
        <v>1990</v>
      </c>
    </row>
    <row r="634" spans="8:26" ht="31.2" x14ac:dyDescent="0.3">
      <c r="H634" s="8" t="s">
        <v>2784</v>
      </c>
      <c r="X634" s="18" t="s">
        <v>738</v>
      </c>
      <c r="Z634" s="16" t="s">
        <v>2032</v>
      </c>
    </row>
    <row r="635" spans="8:26" ht="15.6" x14ac:dyDescent="0.3">
      <c r="H635" s="7" t="s">
        <v>2769</v>
      </c>
      <c r="X635" s="18" t="s">
        <v>739</v>
      </c>
      <c r="Z635" s="16" t="s">
        <v>1991</v>
      </c>
    </row>
    <row r="636" spans="8:26" ht="15.6" x14ac:dyDescent="0.3">
      <c r="H636" s="8" t="s">
        <v>3226</v>
      </c>
      <c r="X636" s="18" t="s">
        <v>686</v>
      </c>
      <c r="Z636" s="16" t="s">
        <v>2017</v>
      </c>
    </row>
    <row r="637" spans="8:26" ht="15.6" x14ac:dyDescent="0.3">
      <c r="H637" s="7" t="s">
        <v>3227</v>
      </c>
      <c r="X637" s="18" t="s">
        <v>687</v>
      </c>
      <c r="Z637" s="16" t="s">
        <v>2018</v>
      </c>
    </row>
    <row r="638" spans="8:26" ht="15.6" x14ac:dyDescent="0.3">
      <c r="H638" s="7" t="s">
        <v>39</v>
      </c>
      <c r="X638" s="18" t="s">
        <v>740</v>
      </c>
      <c r="Z638" s="16" t="s">
        <v>2019</v>
      </c>
    </row>
    <row r="639" spans="8:26" ht="15.6" x14ac:dyDescent="0.3">
      <c r="H639" s="8" t="s">
        <v>3228</v>
      </c>
      <c r="X639" s="18" t="s">
        <v>741</v>
      </c>
      <c r="Z639" s="16" t="s">
        <v>2020</v>
      </c>
    </row>
    <row r="640" spans="8:26" ht="15.6" x14ac:dyDescent="0.3">
      <c r="H640" s="7" t="s">
        <v>2778</v>
      </c>
      <c r="X640" s="18" t="s">
        <v>688</v>
      </c>
      <c r="Z640" s="16" t="s">
        <v>1992</v>
      </c>
    </row>
    <row r="641" spans="8:26" ht="15.6" x14ac:dyDescent="0.3">
      <c r="H641" s="8" t="s">
        <v>2770</v>
      </c>
      <c r="X641" s="18" t="s">
        <v>689</v>
      </c>
      <c r="Z641" s="16" t="s">
        <v>2003</v>
      </c>
    </row>
    <row r="642" spans="8:26" ht="15.6" x14ac:dyDescent="0.3">
      <c r="H642" s="7" t="s">
        <v>2791</v>
      </c>
      <c r="X642" s="18" t="s">
        <v>742</v>
      </c>
      <c r="Z642" s="16" t="s">
        <v>2004</v>
      </c>
    </row>
    <row r="643" spans="8:26" ht="15.6" x14ac:dyDescent="0.3">
      <c r="H643" s="8" t="s">
        <v>3229</v>
      </c>
      <c r="X643" s="18" t="s">
        <v>690</v>
      </c>
      <c r="Z643" s="16" t="s">
        <v>1993</v>
      </c>
    </row>
    <row r="644" spans="8:26" ht="15.6" x14ac:dyDescent="0.3">
      <c r="H644" s="7" t="s">
        <v>3230</v>
      </c>
      <c r="X644" s="18" t="s">
        <v>691</v>
      </c>
      <c r="Z644" s="16" t="s">
        <v>1994</v>
      </c>
    </row>
    <row r="645" spans="8:26" ht="15.6" x14ac:dyDescent="0.3">
      <c r="H645" s="8" t="s">
        <v>3231</v>
      </c>
      <c r="X645" s="18" t="s">
        <v>743</v>
      </c>
      <c r="Z645" s="16" t="s">
        <v>2005</v>
      </c>
    </row>
    <row r="646" spans="8:26" ht="15.6" x14ac:dyDescent="0.3">
      <c r="H646" s="7" t="s">
        <v>3232</v>
      </c>
      <c r="X646" s="18" t="s">
        <v>744</v>
      </c>
      <c r="Z646" s="16" t="s">
        <v>1995</v>
      </c>
    </row>
    <row r="647" spans="8:26" ht="15.6" x14ac:dyDescent="0.3">
      <c r="H647" s="8" t="s">
        <v>2761</v>
      </c>
      <c r="X647" s="18" t="s">
        <v>745</v>
      </c>
      <c r="Z647" s="16" t="s">
        <v>2006</v>
      </c>
    </row>
    <row r="648" spans="8:26" ht="15.6" x14ac:dyDescent="0.3">
      <c r="H648" s="7" t="s">
        <v>2766</v>
      </c>
      <c r="X648" s="18" t="s">
        <v>595</v>
      </c>
    </row>
    <row r="649" spans="8:26" ht="15.6" x14ac:dyDescent="0.3">
      <c r="H649" s="8" t="s">
        <v>2734</v>
      </c>
      <c r="X649" s="18" t="s">
        <v>770</v>
      </c>
      <c r="Z649" s="2" t="s">
        <v>154</v>
      </c>
    </row>
    <row r="650" spans="8:26" ht="15.6" x14ac:dyDescent="0.3">
      <c r="H650" s="7" t="s">
        <v>3233</v>
      </c>
      <c r="X650" s="18" t="s">
        <v>746</v>
      </c>
      <c r="Z650" s="16" t="s">
        <v>2034</v>
      </c>
    </row>
    <row r="651" spans="8:26" x14ac:dyDescent="0.3">
      <c r="X651" s="18" t="s">
        <v>747</v>
      </c>
      <c r="Z651" s="16" t="s">
        <v>2035</v>
      </c>
    </row>
    <row r="652" spans="8:26" ht="20.399999999999999" x14ac:dyDescent="0.3">
      <c r="H652" s="8" t="s">
        <v>34</v>
      </c>
      <c r="X652" s="18" t="s">
        <v>617</v>
      </c>
      <c r="Z652" s="16" t="s">
        <v>2036</v>
      </c>
    </row>
    <row r="653" spans="8:26" ht="46.8" x14ac:dyDescent="0.3">
      <c r="H653" s="8" t="s">
        <v>91</v>
      </c>
      <c r="X653" s="18" t="s">
        <v>692</v>
      </c>
      <c r="Z653" s="16" t="s">
        <v>2037</v>
      </c>
    </row>
    <row r="654" spans="8:26" ht="15.6" x14ac:dyDescent="0.3">
      <c r="H654" s="7" t="s">
        <v>92</v>
      </c>
      <c r="X654" s="18" t="s">
        <v>596</v>
      </c>
      <c r="Z654" s="16" t="s">
        <v>2038</v>
      </c>
    </row>
    <row r="655" spans="8:26" x14ac:dyDescent="0.3">
      <c r="X655" s="18" t="s">
        <v>693</v>
      </c>
      <c r="Z655" s="16" t="s">
        <v>2039</v>
      </c>
    </row>
    <row r="656" spans="8:26" ht="20.399999999999999" x14ac:dyDescent="0.3">
      <c r="H656" s="7" t="s">
        <v>37</v>
      </c>
      <c r="X656" s="18" t="s">
        <v>694</v>
      </c>
      <c r="Z656" s="16" t="s">
        <v>2033</v>
      </c>
    </row>
    <row r="657" spans="8:26" ht="15.6" x14ac:dyDescent="0.3">
      <c r="H657" s="8" t="s">
        <v>3234</v>
      </c>
      <c r="X657" s="18" t="s">
        <v>695</v>
      </c>
      <c r="Z657" s="25" t="s">
        <v>2040</v>
      </c>
    </row>
    <row r="658" spans="8:26" ht="15.6" x14ac:dyDescent="0.3">
      <c r="H658" s="7" t="s">
        <v>3235</v>
      </c>
    </row>
    <row r="659" spans="8:26" ht="15.6" x14ac:dyDescent="0.3">
      <c r="H659" s="8" t="s">
        <v>3236</v>
      </c>
      <c r="X659" s="2" t="s">
        <v>150</v>
      </c>
      <c r="Z659" s="2" t="s">
        <v>2041</v>
      </c>
    </row>
    <row r="660" spans="8:26" ht="20.399999999999999" x14ac:dyDescent="0.3">
      <c r="H660" s="7" t="s">
        <v>3237</v>
      </c>
      <c r="X660" s="19" t="s">
        <v>810</v>
      </c>
      <c r="Z660" s="18" t="s">
        <v>2077</v>
      </c>
    </row>
    <row r="661" spans="8:26" ht="15.6" x14ac:dyDescent="0.3">
      <c r="H661" s="8" t="s">
        <v>3238</v>
      </c>
      <c r="X661" s="19" t="s">
        <v>806</v>
      </c>
      <c r="Z661" s="18" t="s">
        <v>2113</v>
      </c>
    </row>
    <row r="662" spans="8:26" ht="20.399999999999999" x14ac:dyDescent="0.3">
      <c r="H662" s="7" t="s">
        <v>3239</v>
      </c>
      <c r="X662" s="19" t="s">
        <v>787</v>
      </c>
      <c r="Z662" s="18" t="s">
        <v>2078</v>
      </c>
    </row>
    <row r="663" spans="8:26" ht="30.6" x14ac:dyDescent="0.3">
      <c r="H663" s="8" t="s">
        <v>3240</v>
      </c>
      <c r="X663" s="19" t="s">
        <v>788</v>
      </c>
      <c r="Z663" s="18" t="s">
        <v>2046</v>
      </c>
    </row>
    <row r="664" spans="8:26" ht="15.6" x14ac:dyDescent="0.3">
      <c r="H664" s="7" t="s">
        <v>1413</v>
      </c>
      <c r="X664" s="19" t="s">
        <v>789</v>
      </c>
      <c r="Z664" s="18" t="s">
        <v>2114</v>
      </c>
    </row>
    <row r="665" spans="8:26" ht="40.799999999999997" x14ac:dyDescent="0.3">
      <c r="H665" s="8" t="s">
        <v>3241</v>
      </c>
      <c r="X665" s="19" t="s">
        <v>790</v>
      </c>
      <c r="Z665" s="18" t="s">
        <v>2079</v>
      </c>
    </row>
    <row r="666" spans="8:26" ht="15.6" x14ac:dyDescent="0.3">
      <c r="H666" s="7" t="s">
        <v>93</v>
      </c>
      <c r="X666" s="19" t="s">
        <v>791</v>
      </c>
      <c r="Z666" s="18" t="s">
        <v>2058</v>
      </c>
    </row>
    <row r="667" spans="8:26" ht="15.6" x14ac:dyDescent="0.3">
      <c r="H667" s="8" t="s">
        <v>3242</v>
      </c>
      <c r="X667" s="19" t="s">
        <v>792</v>
      </c>
      <c r="Z667" s="18" t="s">
        <v>2059</v>
      </c>
    </row>
    <row r="668" spans="8:26" ht="15.6" x14ac:dyDescent="0.3">
      <c r="H668" s="7" t="s">
        <v>3243</v>
      </c>
      <c r="X668" s="19" t="s">
        <v>793</v>
      </c>
      <c r="Z668" s="18" t="s">
        <v>2047</v>
      </c>
    </row>
    <row r="669" spans="8:26" ht="31.2" x14ac:dyDescent="0.3">
      <c r="H669" s="8" t="s">
        <v>3244</v>
      </c>
      <c r="X669" s="19" t="s">
        <v>794</v>
      </c>
      <c r="Z669" s="18" t="s">
        <v>2080</v>
      </c>
    </row>
    <row r="670" spans="8:26" ht="15.6" x14ac:dyDescent="0.3">
      <c r="H670" s="7" t="s">
        <v>3245</v>
      </c>
      <c r="X670" s="20" t="s">
        <v>795</v>
      </c>
      <c r="Z670" s="18" t="s">
        <v>2048</v>
      </c>
    </row>
    <row r="671" spans="8:26" ht="30.6" x14ac:dyDescent="0.3">
      <c r="X671" s="19" t="s">
        <v>796</v>
      </c>
      <c r="Z671" s="18" t="s">
        <v>2081</v>
      </c>
    </row>
    <row r="672" spans="8:26" ht="20.399999999999999" x14ac:dyDescent="0.3">
      <c r="H672" s="7" t="s">
        <v>36</v>
      </c>
      <c r="X672" s="19" t="s">
        <v>797</v>
      </c>
      <c r="Z672" s="18" t="s">
        <v>2115</v>
      </c>
    </row>
    <row r="673" spans="8:26" ht="20.399999999999999" x14ac:dyDescent="0.3">
      <c r="H673" s="7" t="s">
        <v>94</v>
      </c>
      <c r="X673" s="19" t="s">
        <v>798</v>
      </c>
      <c r="Z673" s="18" t="s">
        <v>2116</v>
      </c>
    </row>
    <row r="674" spans="8:26" ht="20.399999999999999" x14ac:dyDescent="0.3">
      <c r="H674" s="8" t="s">
        <v>2643</v>
      </c>
      <c r="X674" s="19" t="s">
        <v>799</v>
      </c>
      <c r="Z674" s="18" t="s">
        <v>2117</v>
      </c>
    </row>
    <row r="675" spans="8:26" ht="20.399999999999999" x14ac:dyDescent="0.3">
      <c r="H675" s="7" t="s">
        <v>3246</v>
      </c>
      <c r="X675" s="19" t="s">
        <v>800</v>
      </c>
      <c r="Z675" s="18" t="s">
        <v>2118</v>
      </c>
    </row>
    <row r="676" spans="8:26" ht="15.6" x14ac:dyDescent="0.3">
      <c r="H676" s="8" t="s">
        <v>3247</v>
      </c>
      <c r="X676" s="19" t="s">
        <v>801</v>
      </c>
      <c r="Z676" s="18" t="s">
        <v>2082</v>
      </c>
    </row>
    <row r="677" spans="8:26" ht="15.6" x14ac:dyDescent="0.3">
      <c r="H677" s="7" t="s">
        <v>3248</v>
      </c>
      <c r="X677" s="19" t="s">
        <v>811</v>
      </c>
      <c r="Z677" s="18" t="s">
        <v>2083</v>
      </c>
    </row>
    <row r="678" spans="8:26" ht="15.6" x14ac:dyDescent="0.3">
      <c r="H678" s="8" t="s">
        <v>3249</v>
      </c>
      <c r="X678" s="19" t="s">
        <v>812</v>
      </c>
      <c r="Z678" s="18" t="s">
        <v>2084</v>
      </c>
    </row>
    <row r="679" spans="8:26" ht="15.6" x14ac:dyDescent="0.3">
      <c r="H679" s="7" t="s">
        <v>3250</v>
      </c>
      <c r="X679" s="20" t="s">
        <v>802</v>
      </c>
      <c r="Z679" s="18" t="s">
        <v>2085</v>
      </c>
    </row>
    <row r="680" spans="8:26" ht="20.399999999999999" x14ac:dyDescent="0.3">
      <c r="H680" s="8" t="s">
        <v>2724</v>
      </c>
      <c r="X680" s="19" t="s">
        <v>803</v>
      </c>
      <c r="Z680" s="18" t="s">
        <v>2119</v>
      </c>
    </row>
    <row r="681" spans="8:26" ht="15.6" x14ac:dyDescent="0.3">
      <c r="H681" s="7" t="s">
        <v>3251</v>
      </c>
      <c r="X681" s="20" t="s">
        <v>804</v>
      </c>
      <c r="Z681" s="18" t="s">
        <v>2120</v>
      </c>
    </row>
    <row r="682" spans="8:26" ht="20.399999999999999" x14ac:dyDescent="0.3">
      <c r="H682" s="8" t="s">
        <v>3252</v>
      </c>
      <c r="X682" s="19" t="s">
        <v>805</v>
      </c>
      <c r="Z682" s="18" t="s">
        <v>2086</v>
      </c>
    </row>
    <row r="683" spans="8:26" ht="15.6" x14ac:dyDescent="0.3">
      <c r="H683" s="7" t="s">
        <v>3253</v>
      </c>
      <c r="X683" s="19" t="s">
        <v>813</v>
      </c>
      <c r="Z683" s="18" t="s">
        <v>2060</v>
      </c>
    </row>
    <row r="684" spans="8:26" x14ac:dyDescent="0.3">
      <c r="X684" s="19" t="s">
        <v>814</v>
      </c>
      <c r="Z684" s="18" t="s">
        <v>2087</v>
      </c>
    </row>
    <row r="685" spans="8:26" ht="15.6" x14ac:dyDescent="0.3">
      <c r="H685" s="8" t="s">
        <v>35</v>
      </c>
      <c r="X685" s="19" t="s">
        <v>807</v>
      </c>
      <c r="Z685" s="18" t="s">
        <v>2088</v>
      </c>
    </row>
    <row r="686" spans="8:26" ht="20.399999999999999" x14ac:dyDescent="0.3">
      <c r="H686" s="8" t="s">
        <v>3254</v>
      </c>
      <c r="X686" s="19" t="s">
        <v>808</v>
      </c>
      <c r="Z686" s="18" t="s">
        <v>1100</v>
      </c>
    </row>
    <row r="687" spans="8:26" ht="15.6" x14ac:dyDescent="0.3">
      <c r="H687" s="7" t="s">
        <v>95</v>
      </c>
      <c r="X687" s="19" t="s">
        <v>809</v>
      </c>
      <c r="Z687" s="18" t="s">
        <v>2061</v>
      </c>
    </row>
    <row r="688" spans="8:26" ht="15.6" x14ac:dyDescent="0.3">
      <c r="H688" s="8" t="s">
        <v>3255</v>
      </c>
      <c r="Z688" s="18" t="s">
        <v>2089</v>
      </c>
    </row>
    <row r="689" spans="8:26" ht="15.6" x14ac:dyDescent="0.3">
      <c r="H689" s="7" t="s">
        <v>3256</v>
      </c>
      <c r="X689" s="2" t="s">
        <v>144</v>
      </c>
      <c r="Z689" s="18" t="s">
        <v>2090</v>
      </c>
    </row>
    <row r="690" spans="8:26" ht="15.6" x14ac:dyDescent="0.3">
      <c r="H690" s="8" t="s">
        <v>3257</v>
      </c>
      <c r="X690" s="18" t="s">
        <v>822</v>
      </c>
      <c r="Z690" s="18" t="s">
        <v>2062</v>
      </c>
    </row>
    <row r="691" spans="8:26" ht="15.6" x14ac:dyDescent="0.3">
      <c r="H691" s="7" t="s">
        <v>3258</v>
      </c>
      <c r="X691" s="18" t="s">
        <v>967</v>
      </c>
      <c r="Z691" s="18" t="s">
        <v>2063</v>
      </c>
    </row>
    <row r="692" spans="8:26" ht="15.6" x14ac:dyDescent="0.3">
      <c r="H692" s="8" t="s">
        <v>3259</v>
      </c>
      <c r="X692" s="18" t="s">
        <v>968</v>
      </c>
      <c r="Z692" s="18" t="s">
        <v>2091</v>
      </c>
    </row>
    <row r="693" spans="8:26" ht="15.6" x14ac:dyDescent="0.3">
      <c r="H693" s="7" t="s">
        <v>2874</v>
      </c>
      <c r="X693" s="18" t="s">
        <v>969</v>
      </c>
      <c r="Z693" s="18" t="s">
        <v>2042</v>
      </c>
    </row>
    <row r="694" spans="8:26" ht="15.6" x14ac:dyDescent="0.3">
      <c r="H694" s="8" t="s">
        <v>96</v>
      </c>
      <c r="X694" s="18" t="s">
        <v>1066</v>
      </c>
      <c r="Z694" s="18" t="s">
        <v>2043</v>
      </c>
    </row>
    <row r="695" spans="8:26" ht="15.6" x14ac:dyDescent="0.3">
      <c r="H695" s="7" t="s">
        <v>2620</v>
      </c>
      <c r="X695" s="18" t="s">
        <v>970</v>
      </c>
      <c r="Z695" s="18" t="s">
        <v>2049</v>
      </c>
    </row>
    <row r="696" spans="8:26" ht="15.6" x14ac:dyDescent="0.3">
      <c r="H696" s="8" t="s">
        <v>3260</v>
      </c>
      <c r="X696" s="18" t="s">
        <v>971</v>
      </c>
      <c r="Z696" s="18" t="s">
        <v>587</v>
      </c>
    </row>
    <row r="697" spans="8:26" ht="15.6" x14ac:dyDescent="0.3">
      <c r="H697" s="7" t="s">
        <v>97</v>
      </c>
      <c r="X697" s="18" t="s">
        <v>823</v>
      </c>
      <c r="Z697" s="18" t="s">
        <v>2121</v>
      </c>
    </row>
    <row r="698" spans="8:26" ht="15.6" x14ac:dyDescent="0.3">
      <c r="H698" s="8" t="s">
        <v>3261</v>
      </c>
      <c r="X698" s="18" t="s">
        <v>824</v>
      </c>
      <c r="Z698" s="18" t="s">
        <v>2122</v>
      </c>
    </row>
    <row r="699" spans="8:26" x14ac:dyDescent="0.3">
      <c r="X699" s="18" t="s">
        <v>625</v>
      </c>
      <c r="Z699" s="18" t="s">
        <v>2092</v>
      </c>
    </row>
    <row r="700" spans="8:26" ht="28.8" x14ac:dyDescent="0.3">
      <c r="H700" s="2" t="s">
        <v>98</v>
      </c>
      <c r="X700" s="18" t="s">
        <v>972</v>
      </c>
      <c r="Z700" s="18" t="s">
        <v>2093</v>
      </c>
    </row>
    <row r="701" spans="8:26" x14ac:dyDescent="0.3">
      <c r="H701" s="2" t="s">
        <v>2771</v>
      </c>
      <c r="X701" s="18" t="s">
        <v>825</v>
      </c>
      <c r="Z701" s="18" t="s">
        <v>893</v>
      </c>
    </row>
    <row r="702" spans="8:26" x14ac:dyDescent="0.3">
      <c r="H702" s="2" t="s">
        <v>2785</v>
      </c>
      <c r="X702" s="18" t="s">
        <v>826</v>
      </c>
      <c r="Z702" s="18" t="s">
        <v>3269</v>
      </c>
    </row>
    <row r="703" spans="8:26" ht="19.8" x14ac:dyDescent="0.3">
      <c r="H703" s="2" t="s">
        <v>2767</v>
      </c>
      <c r="X703" s="18" t="s">
        <v>827</v>
      </c>
      <c r="Z703" s="18" t="s">
        <v>2094</v>
      </c>
    </row>
    <row r="704" spans="8:26" x14ac:dyDescent="0.3">
      <c r="H704" s="2" t="s">
        <v>2772</v>
      </c>
      <c r="X704" s="18" t="s">
        <v>973</v>
      </c>
      <c r="Z704" s="18" t="s">
        <v>2123</v>
      </c>
    </row>
    <row r="705" spans="8:26" x14ac:dyDescent="0.3">
      <c r="H705" s="2" t="s">
        <v>2779</v>
      </c>
      <c r="X705" s="18" t="s">
        <v>828</v>
      </c>
      <c r="Z705" s="18" t="s">
        <v>2095</v>
      </c>
    </row>
    <row r="706" spans="8:26" x14ac:dyDescent="0.3">
      <c r="H706" s="2" t="s">
        <v>2786</v>
      </c>
      <c r="X706" s="18" t="s">
        <v>829</v>
      </c>
      <c r="Z706" s="18" t="s">
        <v>2096</v>
      </c>
    </row>
    <row r="707" spans="8:26" x14ac:dyDescent="0.3">
      <c r="H707" s="2" t="s">
        <v>2780</v>
      </c>
      <c r="X707" s="18" t="s">
        <v>830</v>
      </c>
      <c r="Z707" s="18" t="s">
        <v>2124</v>
      </c>
    </row>
    <row r="708" spans="8:26" x14ac:dyDescent="0.3">
      <c r="H708" s="2" t="s">
        <v>2773</v>
      </c>
      <c r="X708" s="18" t="s">
        <v>831</v>
      </c>
      <c r="Z708" s="18" t="s">
        <v>3272</v>
      </c>
    </row>
    <row r="709" spans="8:26" x14ac:dyDescent="0.3">
      <c r="H709" s="2" t="s">
        <v>90</v>
      </c>
      <c r="X709" s="18" t="s">
        <v>832</v>
      </c>
      <c r="Z709" s="18" t="s">
        <v>2064</v>
      </c>
    </row>
    <row r="710" spans="8:26" x14ac:dyDescent="0.3">
      <c r="H710" s="2" t="s">
        <v>2758</v>
      </c>
      <c r="X710" s="18" t="s">
        <v>833</v>
      </c>
      <c r="Z710" s="18" t="s">
        <v>2065</v>
      </c>
    </row>
    <row r="711" spans="8:26" x14ac:dyDescent="0.3">
      <c r="H711" s="2" t="s">
        <v>2787</v>
      </c>
      <c r="X711" s="18" t="s">
        <v>834</v>
      </c>
      <c r="Z711" s="18" t="s">
        <v>2066</v>
      </c>
    </row>
    <row r="712" spans="8:26" x14ac:dyDescent="0.3">
      <c r="H712" s="2" t="s">
        <v>60</v>
      </c>
      <c r="X712" s="18" t="s">
        <v>974</v>
      </c>
      <c r="Z712" s="18" t="s">
        <v>2050</v>
      </c>
    </row>
    <row r="713" spans="8:26" x14ac:dyDescent="0.3">
      <c r="H713" s="2" t="s">
        <v>2768</v>
      </c>
      <c r="X713" s="18" t="s">
        <v>3262</v>
      </c>
      <c r="Z713" s="18" t="s">
        <v>2125</v>
      </c>
    </row>
    <row r="714" spans="8:26" x14ac:dyDescent="0.3">
      <c r="H714" s="2" t="s">
        <v>2762</v>
      </c>
      <c r="X714" s="18" t="s">
        <v>3263</v>
      </c>
      <c r="Z714" s="18" t="s">
        <v>2097</v>
      </c>
    </row>
    <row r="715" spans="8:26" x14ac:dyDescent="0.3">
      <c r="H715" s="2" t="s">
        <v>2759</v>
      </c>
      <c r="X715" s="18" t="s">
        <v>1065</v>
      </c>
      <c r="Z715" s="18" t="s">
        <v>2098</v>
      </c>
    </row>
    <row r="716" spans="8:26" x14ac:dyDescent="0.3">
      <c r="H716" s="2" t="s">
        <v>2774</v>
      </c>
      <c r="X716" s="18" t="s">
        <v>835</v>
      </c>
      <c r="Z716" s="18" t="s">
        <v>2126</v>
      </c>
    </row>
    <row r="717" spans="8:26" x14ac:dyDescent="0.3">
      <c r="H717" s="2" t="s">
        <v>2788</v>
      </c>
      <c r="X717" s="18" t="s">
        <v>835</v>
      </c>
      <c r="Z717" s="18" t="s">
        <v>2067</v>
      </c>
    </row>
    <row r="718" spans="8:26" x14ac:dyDescent="0.3">
      <c r="H718" s="2" t="s">
        <v>2744</v>
      </c>
      <c r="X718" s="18" t="s">
        <v>1067</v>
      </c>
      <c r="Z718" s="18" t="s">
        <v>2068</v>
      </c>
    </row>
    <row r="719" spans="8:26" ht="19.8" x14ac:dyDescent="0.3">
      <c r="H719" s="2" t="s">
        <v>2775</v>
      </c>
      <c r="X719" s="18" t="s">
        <v>975</v>
      </c>
      <c r="Z719" s="18" t="s">
        <v>2069</v>
      </c>
    </row>
    <row r="720" spans="8:26" x14ac:dyDescent="0.3">
      <c r="H720" s="2" t="s">
        <v>2789</v>
      </c>
      <c r="X720" s="18" t="s">
        <v>976</v>
      </c>
      <c r="Z720" s="18" t="s">
        <v>2099</v>
      </c>
    </row>
    <row r="721" spans="8:26" x14ac:dyDescent="0.3">
      <c r="H721" s="2" t="s">
        <v>2763</v>
      </c>
      <c r="X721" s="18" t="s">
        <v>977</v>
      </c>
      <c r="Z721" s="18" t="s">
        <v>2100</v>
      </c>
    </row>
    <row r="722" spans="8:26" x14ac:dyDescent="0.3">
      <c r="H722" s="2" t="s">
        <v>2552</v>
      </c>
      <c r="X722" s="18" t="s">
        <v>978</v>
      </c>
      <c r="Z722" s="18" t="s">
        <v>2101</v>
      </c>
    </row>
    <row r="723" spans="8:26" x14ac:dyDescent="0.3">
      <c r="H723" s="2" t="s">
        <v>2781</v>
      </c>
      <c r="X723" s="18" t="s">
        <v>836</v>
      </c>
      <c r="Z723" s="18" t="s">
        <v>2102</v>
      </c>
    </row>
    <row r="724" spans="8:26" x14ac:dyDescent="0.3">
      <c r="H724" s="2" t="s">
        <v>2776</v>
      </c>
      <c r="X724" s="18" t="s">
        <v>979</v>
      </c>
      <c r="Z724" s="18" t="s">
        <v>2051</v>
      </c>
    </row>
    <row r="725" spans="8:26" x14ac:dyDescent="0.3">
      <c r="H725" s="2" t="s">
        <v>2782</v>
      </c>
      <c r="X725" s="18" t="s">
        <v>980</v>
      </c>
      <c r="Z725" s="18" t="s">
        <v>2103</v>
      </c>
    </row>
    <row r="726" spans="8:26" x14ac:dyDescent="0.3">
      <c r="H726" s="2" t="s">
        <v>2783</v>
      </c>
      <c r="X726" s="18" t="s">
        <v>711</v>
      </c>
      <c r="Z726" s="18" t="s">
        <v>2052</v>
      </c>
    </row>
    <row r="727" spans="8:26" x14ac:dyDescent="0.3">
      <c r="H727" s="2" t="s">
        <v>2764</v>
      </c>
      <c r="X727" s="18" t="s">
        <v>837</v>
      </c>
      <c r="Z727" s="18" t="s">
        <v>2127</v>
      </c>
    </row>
    <row r="728" spans="8:26" x14ac:dyDescent="0.3">
      <c r="H728" s="2" t="s">
        <v>2790</v>
      </c>
      <c r="X728" s="18" t="s">
        <v>838</v>
      </c>
      <c r="Z728" s="18" t="s">
        <v>2128</v>
      </c>
    </row>
    <row r="729" spans="8:26" ht="28.8" x14ac:dyDescent="0.3">
      <c r="H729" s="2" t="s">
        <v>2760</v>
      </c>
      <c r="X729" s="18" t="s">
        <v>981</v>
      </c>
      <c r="Z729" s="18" t="s">
        <v>3276</v>
      </c>
    </row>
    <row r="730" spans="8:26" x14ac:dyDescent="0.3">
      <c r="H730" s="2" t="s">
        <v>2777</v>
      </c>
      <c r="X730" s="18" t="s">
        <v>839</v>
      </c>
      <c r="Z730" s="18" t="s">
        <v>2129</v>
      </c>
    </row>
    <row r="731" spans="8:26" x14ac:dyDescent="0.3">
      <c r="H731" s="2" t="s">
        <v>2765</v>
      </c>
      <c r="X731" s="18" t="s">
        <v>840</v>
      </c>
      <c r="Z731" s="18" t="s">
        <v>2130</v>
      </c>
    </row>
    <row r="732" spans="8:26" x14ac:dyDescent="0.3">
      <c r="H732" s="2" t="s">
        <v>2620</v>
      </c>
      <c r="X732" s="18" t="s">
        <v>841</v>
      </c>
      <c r="Z732" s="18" t="s">
        <v>2131</v>
      </c>
    </row>
    <row r="733" spans="8:26" ht="28.8" x14ac:dyDescent="0.3">
      <c r="H733" s="2" t="s">
        <v>2784</v>
      </c>
      <c r="X733" s="18" t="s">
        <v>842</v>
      </c>
      <c r="Z733" s="18" t="s">
        <v>2132</v>
      </c>
    </row>
    <row r="734" spans="8:26" x14ac:dyDescent="0.3">
      <c r="H734" s="2" t="s">
        <v>2769</v>
      </c>
      <c r="X734" s="18" t="s">
        <v>843</v>
      </c>
      <c r="Z734" s="18" t="s">
        <v>2104</v>
      </c>
    </row>
    <row r="735" spans="8:26" x14ac:dyDescent="0.3">
      <c r="H735" s="2" t="s">
        <v>2778</v>
      </c>
      <c r="X735" s="18" t="s">
        <v>844</v>
      </c>
      <c r="Z735" s="18" t="s">
        <v>2105</v>
      </c>
    </row>
    <row r="736" spans="8:26" x14ac:dyDescent="0.3">
      <c r="H736" s="2" t="s">
        <v>2770</v>
      </c>
      <c r="X736" s="18" t="s">
        <v>1068</v>
      </c>
      <c r="Z736" s="18" t="s">
        <v>2106</v>
      </c>
    </row>
    <row r="737" spans="8:26" x14ac:dyDescent="0.3">
      <c r="H737" s="2" t="s">
        <v>2791</v>
      </c>
      <c r="X737" s="18" t="s">
        <v>845</v>
      </c>
      <c r="Z737" s="18" t="s">
        <v>2107</v>
      </c>
    </row>
    <row r="738" spans="8:26" x14ac:dyDescent="0.3">
      <c r="H738" s="2" t="s">
        <v>2761</v>
      </c>
      <c r="X738" s="18" t="s">
        <v>846</v>
      </c>
      <c r="Z738" s="18" t="s">
        <v>2108</v>
      </c>
    </row>
    <row r="739" spans="8:26" x14ac:dyDescent="0.3">
      <c r="H739" s="2" t="s">
        <v>2766</v>
      </c>
      <c r="X739" s="18" t="s">
        <v>1069</v>
      </c>
      <c r="Z739" s="18" t="s">
        <v>2053</v>
      </c>
    </row>
    <row r="740" spans="8:26" x14ac:dyDescent="0.3">
      <c r="X740" s="18" t="s">
        <v>847</v>
      </c>
      <c r="Z740" s="18" t="s">
        <v>2054</v>
      </c>
    </row>
    <row r="741" spans="8:26" ht="15.6" x14ac:dyDescent="0.3">
      <c r="H741" s="8" t="s">
        <v>33</v>
      </c>
      <c r="X741" s="18" t="s">
        <v>982</v>
      </c>
      <c r="Z741" s="18" t="s">
        <v>2055</v>
      </c>
    </row>
    <row r="742" spans="8:26" ht="15.6" x14ac:dyDescent="0.3">
      <c r="H742" s="8" t="s">
        <v>2629</v>
      </c>
      <c r="X742" s="18" t="s">
        <v>983</v>
      </c>
      <c r="Z742" s="18" t="s">
        <v>2070</v>
      </c>
    </row>
    <row r="743" spans="8:26" ht="15.6" x14ac:dyDescent="0.3">
      <c r="H743" s="7" t="s">
        <v>3265</v>
      </c>
      <c r="X743" s="18" t="s">
        <v>848</v>
      </c>
      <c r="Z743" s="18" t="s">
        <v>2071</v>
      </c>
    </row>
    <row r="744" spans="8:26" ht="15.6" x14ac:dyDescent="0.3">
      <c r="H744" s="8" t="s">
        <v>99</v>
      </c>
      <c r="X744" s="18" t="s">
        <v>849</v>
      </c>
      <c r="Z744" s="18" t="s">
        <v>2133</v>
      </c>
    </row>
    <row r="745" spans="8:26" ht="15.6" x14ac:dyDescent="0.3">
      <c r="H745" s="7" t="s">
        <v>3266</v>
      </c>
      <c r="X745" s="18" t="s">
        <v>849</v>
      </c>
      <c r="Z745" s="18" t="s">
        <v>2134</v>
      </c>
    </row>
    <row r="746" spans="8:26" ht="15.6" x14ac:dyDescent="0.3">
      <c r="H746" s="8" t="s">
        <v>2969</v>
      </c>
      <c r="X746" s="18" t="s">
        <v>850</v>
      </c>
      <c r="Z746" s="18" t="s">
        <v>2072</v>
      </c>
    </row>
    <row r="747" spans="8:26" ht="15.6" x14ac:dyDescent="0.3">
      <c r="H747" s="7" t="s">
        <v>3267</v>
      </c>
      <c r="X747" s="18" t="s">
        <v>984</v>
      </c>
      <c r="Z747" s="18" t="s">
        <v>2073</v>
      </c>
    </row>
    <row r="748" spans="8:26" ht="15.6" x14ac:dyDescent="0.3">
      <c r="H748" s="8" t="s">
        <v>3268</v>
      </c>
      <c r="X748" s="18" t="s">
        <v>985</v>
      </c>
      <c r="Z748" s="18" t="s">
        <v>2044</v>
      </c>
    </row>
    <row r="749" spans="8:26" ht="15.6" x14ac:dyDescent="0.3">
      <c r="H749" s="7" t="s">
        <v>100</v>
      </c>
      <c r="X749" s="18" t="s">
        <v>986</v>
      </c>
      <c r="Z749" s="18" t="s">
        <v>937</v>
      </c>
    </row>
    <row r="750" spans="8:26" ht="15.6" x14ac:dyDescent="0.3">
      <c r="H750" s="8" t="s">
        <v>3270</v>
      </c>
      <c r="X750" s="18" t="s">
        <v>987</v>
      </c>
      <c r="Z750" s="18" t="s">
        <v>2074</v>
      </c>
    </row>
    <row r="751" spans="8:26" ht="15.6" x14ac:dyDescent="0.3">
      <c r="H751" s="7" t="s">
        <v>3271</v>
      </c>
      <c r="X751" s="18" t="s">
        <v>1098</v>
      </c>
      <c r="Z751" s="18" t="s">
        <v>666</v>
      </c>
    </row>
    <row r="752" spans="8:26" ht="15.6" x14ac:dyDescent="0.3">
      <c r="H752" s="8" t="s">
        <v>101</v>
      </c>
      <c r="X752" s="18" t="s">
        <v>1099</v>
      </c>
      <c r="Z752" s="18" t="s">
        <v>1053</v>
      </c>
    </row>
    <row r="753" spans="8:26" ht="15.6" x14ac:dyDescent="0.3">
      <c r="H753" s="7" t="s">
        <v>3273</v>
      </c>
      <c r="X753" s="18" t="s">
        <v>816</v>
      </c>
      <c r="Z753" s="18" t="s">
        <v>2075</v>
      </c>
    </row>
    <row r="754" spans="8:26" ht="15.6" x14ac:dyDescent="0.3">
      <c r="H754" s="8" t="s">
        <v>3274</v>
      </c>
      <c r="X754" s="18" t="s">
        <v>988</v>
      </c>
      <c r="Z754" s="18" t="s">
        <v>2056</v>
      </c>
    </row>
    <row r="755" spans="8:26" ht="15.6" x14ac:dyDescent="0.3">
      <c r="H755" s="7" t="s">
        <v>3275</v>
      </c>
      <c r="X755" s="18" t="s">
        <v>851</v>
      </c>
      <c r="Z755" s="18" t="s">
        <v>2135</v>
      </c>
    </row>
    <row r="756" spans="8:26" ht="15.6" x14ac:dyDescent="0.3">
      <c r="H756" s="8" t="s">
        <v>2833</v>
      </c>
      <c r="X756" s="18" t="s">
        <v>752</v>
      </c>
      <c r="Z756" s="18" t="s">
        <v>2045</v>
      </c>
    </row>
    <row r="757" spans="8:26" ht="15.6" x14ac:dyDescent="0.3">
      <c r="H757" s="7" t="s">
        <v>3277</v>
      </c>
      <c r="X757" s="18" t="s">
        <v>989</v>
      </c>
      <c r="Z757" s="18" t="s">
        <v>2109</v>
      </c>
    </row>
    <row r="758" spans="8:26" ht="15.6" x14ac:dyDescent="0.3">
      <c r="H758" s="8" t="s">
        <v>3278</v>
      </c>
      <c r="X758" s="18" t="s">
        <v>852</v>
      </c>
      <c r="Z758" s="18" t="s">
        <v>2076</v>
      </c>
    </row>
    <row r="759" spans="8:26" ht="15.6" x14ac:dyDescent="0.3">
      <c r="H759" s="7" t="s">
        <v>3279</v>
      </c>
      <c r="X759" s="18" t="s">
        <v>853</v>
      </c>
      <c r="Z759" s="18" t="s">
        <v>2110</v>
      </c>
    </row>
    <row r="760" spans="8:26" ht="15.6" x14ac:dyDescent="0.3">
      <c r="H760" s="8" t="s">
        <v>3280</v>
      </c>
      <c r="X760" s="18" t="s">
        <v>602</v>
      </c>
      <c r="Z760" s="18" t="s">
        <v>2111</v>
      </c>
    </row>
    <row r="761" spans="8:26" ht="15.6" x14ac:dyDescent="0.3">
      <c r="H761" s="7" t="s">
        <v>3281</v>
      </c>
      <c r="X761" s="18" t="s">
        <v>602</v>
      </c>
      <c r="Z761" s="18" t="s">
        <v>2057</v>
      </c>
    </row>
    <row r="762" spans="8:26" ht="15.6" x14ac:dyDescent="0.3">
      <c r="H762" s="8" t="s">
        <v>3282</v>
      </c>
      <c r="X762" s="18" t="s">
        <v>603</v>
      </c>
      <c r="Z762" s="18" t="s">
        <v>2112</v>
      </c>
    </row>
    <row r="763" spans="8:26" ht="15.6" x14ac:dyDescent="0.3">
      <c r="H763" s="7" t="s">
        <v>3283</v>
      </c>
      <c r="X763" s="18" t="s">
        <v>854</v>
      </c>
      <c r="Z763" s="26" t="s">
        <v>3264</v>
      </c>
    </row>
    <row r="764" spans="8:26" ht="15.6" x14ac:dyDescent="0.3">
      <c r="H764" s="8" t="s">
        <v>3284</v>
      </c>
      <c r="X764" s="18" t="s">
        <v>854</v>
      </c>
    </row>
    <row r="765" spans="8:26" ht="15.6" x14ac:dyDescent="0.3">
      <c r="H765" s="7" t="s">
        <v>3285</v>
      </c>
      <c r="X765" s="18" t="s">
        <v>1070</v>
      </c>
      <c r="Z765" s="2" t="s">
        <v>158</v>
      </c>
    </row>
    <row r="766" spans="8:26" ht="15.6" x14ac:dyDescent="0.3">
      <c r="H766" s="8" t="s">
        <v>3286</v>
      </c>
      <c r="X766" s="18" t="s">
        <v>1071</v>
      </c>
      <c r="Z766" s="27" t="s">
        <v>2164</v>
      </c>
    </row>
    <row r="767" spans="8:26" ht="15.6" x14ac:dyDescent="0.3">
      <c r="H767" s="7" t="s">
        <v>3287</v>
      </c>
      <c r="X767" s="18" t="s">
        <v>855</v>
      </c>
      <c r="Z767" s="27" t="s">
        <v>2181</v>
      </c>
    </row>
    <row r="768" spans="8:26" ht="15.6" x14ac:dyDescent="0.3">
      <c r="H768" s="8" t="s">
        <v>3288</v>
      </c>
      <c r="X768" s="18" t="s">
        <v>1072</v>
      </c>
      <c r="Z768" s="27" t="s">
        <v>2165</v>
      </c>
    </row>
    <row r="769" spans="8:26" ht="15.6" x14ac:dyDescent="0.3">
      <c r="H769" s="7" t="s">
        <v>3289</v>
      </c>
      <c r="X769" s="18" t="s">
        <v>990</v>
      </c>
      <c r="Z769" s="27" t="s">
        <v>2223</v>
      </c>
    </row>
    <row r="770" spans="8:26" ht="15.6" x14ac:dyDescent="0.3">
      <c r="H770" s="8" t="s">
        <v>3291</v>
      </c>
      <c r="X770" s="18" t="s">
        <v>856</v>
      </c>
      <c r="Z770" s="27" t="s">
        <v>2182</v>
      </c>
    </row>
    <row r="771" spans="8:26" ht="15.6" x14ac:dyDescent="0.3">
      <c r="H771" s="7" t="s">
        <v>3292</v>
      </c>
      <c r="X771" s="18" t="s">
        <v>1073</v>
      </c>
      <c r="Z771" s="27" t="s">
        <v>2183</v>
      </c>
    </row>
    <row r="772" spans="8:26" ht="15.6" x14ac:dyDescent="0.3">
      <c r="H772" s="8" t="s">
        <v>2854</v>
      </c>
      <c r="X772" s="18" t="s">
        <v>857</v>
      </c>
      <c r="Z772" s="27" t="s">
        <v>2184</v>
      </c>
    </row>
    <row r="773" spans="8:26" ht="15.6" x14ac:dyDescent="0.3">
      <c r="H773" s="7" t="s">
        <v>2730</v>
      </c>
      <c r="X773" s="18" t="s">
        <v>1074</v>
      </c>
      <c r="Z773" s="27" t="s">
        <v>2224</v>
      </c>
    </row>
    <row r="774" spans="8:26" ht="15.6" x14ac:dyDescent="0.3">
      <c r="H774" s="8" t="s">
        <v>2618</v>
      </c>
      <c r="X774" s="18" t="s">
        <v>858</v>
      </c>
      <c r="Z774" s="27" t="s">
        <v>2356</v>
      </c>
    </row>
    <row r="775" spans="8:26" ht="15.6" x14ac:dyDescent="0.3">
      <c r="H775" s="7" t="s">
        <v>102</v>
      </c>
      <c r="X775" s="18" t="s">
        <v>859</v>
      </c>
      <c r="Z775" s="27" t="s">
        <v>2148</v>
      </c>
    </row>
    <row r="776" spans="8:26" ht="15.6" x14ac:dyDescent="0.3">
      <c r="H776" s="8" t="s">
        <v>3293</v>
      </c>
      <c r="X776" s="18" t="s">
        <v>1075</v>
      </c>
      <c r="Z776" s="27" t="s">
        <v>2149</v>
      </c>
    </row>
    <row r="777" spans="8:26" ht="15.6" x14ac:dyDescent="0.3">
      <c r="H777" s="7" t="s">
        <v>103</v>
      </c>
      <c r="X777" s="18" t="s">
        <v>1076</v>
      </c>
      <c r="Z777" s="27" t="s">
        <v>2269</v>
      </c>
    </row>
    <row r="778" spans="8:26" ht="15.6" x14ac:dyDescent="0.3">
      <c r="H778" s="8" t="s">
        <v>2722</v>
      </c>
      <c r="X778" s="18" t="s">
        <v>991</v>
      </c>
      <c r="Z778" s="27" t="s">
        <v>2141</v>
      </c>
    </row>
    <row r="779" spans="8:26" ht="15.6" x14ac:dyDescent="0.3">
      <c r="H779" s="7" t="s">
        <v>3294</v>
      </c>
      <c r="X779" s="18" t="s">
        <v>860</v>
      </c>
      <c r="Z779" s="27" t="s">
        <v>2268</v>
      </c>
    </row>
    <row r="780" spans="8:26" ht="15.6" x14ac:dyDescent="0.3">
      <c r="H780" s="8" t="s">
        <v>2624</v>
      </c>
      <c r="X780" s="18" t="s">
        <v>861</v>
      </c>
      <c r="Z780" s="27" t="s">
        <v>2185</v>
      </c>
    </row>
    <row r="781" spans="8:26" ht="15.6" x14ac:dyDescent="0.3">
      <c r="H781" s="7" t="s">
        <v>104</v>
      </c>
      <c r="X781" s="18" t="s">
        <v>718</v>
      </c>
      <c r="Z781" s="27" t="s">
        <v>2186</v>
      </c>
    </row>
    <row r="782" spans="8:26" ht="15.6" x14ac:dyDescent="0.3">
      <c r="H782" s="8" t="s">
        <v>3295</v>
      </c>
      <c r="X782" s="18" t="s">
        <v>862</v>
      </c>
      <c r="Z782" s="27" t="s">
        <v>2187</v>
      </c>
    </row>
    <row r="783" spans="8:26" ht="15.6" x14ac:dyDescent="0.3">
      <c r="H783" s="7" t="s">
        <v>3296</v>
      </c>
      <c r="X783" s="18" t="s">
        <v>992</v>
      </c>
      <c r="Z783" s="27" t="s">
        <v>2357</v>
      </c>
    </row>
    <row r="784" spans="8:26" ht="15.6" x14ac:dyDescent="0.3">
      <c r="H784" s="8" t="s">
        <v>34</v>
      </c>
      <c r="X784" s="18" t="s">
        <v>993</v>
      </c>
      <c r="Z784" s="27" t="s">
        <v>2225</v>
      </c>
    </row>
    <row r="785" spans="8:26" ht="15.6" x14ac:dyDescent="0.3">
      <c r="H785" s="7" t="s">
        <v>3297</v>
      </c>
      <c r="X785" s="18" t="s">
        <v>1100</v>
      </c>
      <c r="Z785" s="27" t="s">
        <v>2226</v>
      </c>
    </row>
    <row r="786" spans="8:26" ht="15.6" x14ac:dyDescent="0.3">
      <c r="H786" s="8" t="s">
        <v>3298</v>
      </c>
      <c r="X786" s="18" t="s">
        <v>1101</v>
      </c>
      <c r="Z786" s="27" t="s">
        <v>2270</v>
      </c>
    </row>
    <row r="787" spans="8:26" ht="15.6" x14ac:dyDescent="0.3">
      <c r="H787" s="7" t="s">
        <v>2637</v>
      </c>
      <c r="X787" s="18" t="s">
        <v>863</v>
      </c>
      <c r="Z787" s="27" t="s">
        <v>2142</v>
      </c>
    </row>
    <row r="788" spans="8:26" ht="15.6" x14ac:dyDescent="0.3">
      <c r="H788" s="8" t="s">
        <v>105</v>
      </c>
      <c r="X788" s="18" t="s">
        <v>864</v>
      </c>
      <c r="Z788" s="27" t="s">
        <v>2188</v>
      </c>
    </row>
    <row r="789" spans="8:26" ht="15.6" x14ac:dyDescent="0.3">
      <c r="H789" s="7" t="s">
        <v>3299</v>
      </c>
      <c r="X789" s="18" t="s">
        <v>865</v>
      </c>
      <c r="Z789" s="27" t="s">
        <v>2189</v>
      </c>
    </row>
    <row r="790" spans="8:26" ht="15.6" x14ac:dyDescent="0.3">
      <c r="H790" s="7" t="s">
        <v>3301</v>
      </c>
      <c r="X790" s="18" t="s">
        <v>866</v>
      </c>
      <c r="Z790" s="27" t="s">
        <v>2227</v>
      </c>
    </row>
    <row r="791" spans="8:26" ht="15.6" x14ac:dyDescent="0.3">
      <c r="H791" s="8" t="s">
        <v>3302</v>
      </c>
      <c r="X791" s="18" t="s">
        <v>722</v>
      </c>
      <c r="Z791" s="27" t="s">
        <v>2228</v>
      </c>
    </row>
    <row r="792" spans="8:26" ht="15.6" x14ac:dyDescent="0.3">
      <c r="H792" s="7" t="s">
        <v>3303</v>
      </c>
      <c r="X792" s="18" t="s">
        <v>994</v>
      </c>
      <c r="Z792" s="27" t="s">
        <v>2229</v>
      </c>
    </row>
    <row r="793" spans="8:26" ht="15.6" x14ac:dyDescent="0.3">
      <c r="H793" s="8" t="s">
        <v>2958</v>
      </c>
      <c r="X793" s="18" t="s">
        <v>995</v>
      </c>
      <c r="Z793" s="27" t="s">
        <v>2179</v>
      </c>
    </row>
    <row r="794" spans="8:26" ht="31.2" x14ac:dyDescent="0.3">
      <c r="H794" s="7" t="s">
        <v>3304</v>
      </c>
      <c r="X794" s="18" t="s">
        <v>996</v>
      </c>
      <c r="Z794" s="27" t="s">
        <v>2271</v>
      </c>
    </row>
    <row r="795" spans="8:26" ht="15.6" x14ac:dyDescent="0.3">
      <c r="H795" s="8" t="s">
        <v>3300</v>
      </c>
      <c r="X795" s="18" t="s">
        <v>997</v>
      </c>
      <c r="Z795" s="27" t="s">
        <v>2230</v>
      </c>
    </row>
    <row r="796" spans="8:26" ht="15.6" x14ac:dyDescent="0.3">
      <c r="H796" s="8" t="s">
        <v>3300</v>
      </c>
      <c r="X796" s="18" t="s">
        <v>998</v>
      </c>
      <c r="Z796" s="27" t="s">
        <v>2272</v>
      </c>
    </row>
    <row r="797" spans="8:26" ht="15.6" x14ac:dyDescent="0.3">
      <c r="H797" s="7" t="s">
        <v>106</v>
      </c>
      <c r="X797" s="18" t="s">
        <v>999</v>
      </c>
      <c r="Z797" s="27" t="s">
        <v>2273</v>
      </c>
    </row>
    <row r="798" spans="8:26" ht="15.6" x14ac:dyDescent="0.3">
      <c r="H798" s="8" t="s">
        <v>107</v>
      </c>
      <c r="X798" s="18" t="s">
        <v>867</v>
      </c>
      <c r="Z798" s="27" t="s">
        <v>2274</v>
      </c>
    </row>
    <row r="799" spans="8:26" ht="15.6" x14ac:dyDescent="0.3">
      <c r="H799" s="7" t="s">
        <v>3305</v>
      </c>
      <c r="X799" s="18" t="s">
        <v>868</v>
      </c>
      <c r="Z799" s="27" t="s">
        <v>2275</v>
      </c>
    </row>
    <row r="800" spans="8:26" ht="15.6" x14ac:dyDescent="0.3">
      <c r="H800" s="8" t="s">
        <v>3306</v>
      </c>
      <c r="X800" s="18" t="s">
        <v>869</v>
      </c>
      <c r="Z800" s="27" t="s">
        <v>2231</v>
      </c>
    </row>
    <row r="801" spans="8:26" ht="15.6" x14ac:dyDescent="0.3">
      <c r="H801" s="7" t="s">
        <v>3307</v>
      </c>
      <c r="X801" s="18" t="s">
        <v>870</v>
      </c>
      <c r="Z801" s="27" t="s">
        <v>2136</v>
      </c>
    </row>
    <row r="802" spans="8:26" ht="15.6" x14ac:dyDescent="0.3">
      <c r="H802" s="8" t="s">
        <v>3308</v>
      </c>
      <c r="X802" s="18" t="s">
        <v>871</v>
      </c>
      <c r="Z802" s="27" t="s">
        <v>2190</v>
      </c>
    </row>
    <row r="803" spans="8:26" ht="15.6" x14ac:dyDescent="0.3">
      <c r="H803" s="7" t="s">
        <v>3309</v>
      </c>
      <c r="X803" s="18" t="s">
        <v>872</v>
      </c>
      <c r="Z803" s="27" t="s">
        <v>2166</v>
      </c>
    </row>
    <row r="804" spans="8:26" ht="15.6" x14ac:dyDescent="0.3">
      <c r="H804" s="8" t="s">
        <v>3310</v>
      </c>
      <c r="X804" s="18" t="s">
        <v>1000</v>
      </c>
      <c r="Z804" s="27" t="s">
        <v>2167</v>
      </c>
    </row>
    <row r="805" spans="8:26" x14ac:dyDescent="0.3">
      <c r="X805" s="18" t="s">
        <v>1001</v>
      </c>
      <c r="Z805" s="27" t="s">
        <v>2191</v>
      </c>
    </row>
    <row r="806" spans="8:26" ht="15.6" x14ac:dyDescent="0.3">
      <c r="H806" s="7" t="s">
        <v>32</v>
      </c>
      <c r="X806" s="18" t="s">
        <v>817</v>
      </c>
      <c r="Z806" s="27" t="s">
        <v>2276</v>
      </c>
    </row>
    <row r="807" spans="8:26" ht="15.6" x14ac:dyDescent="0.3">
      <c r="H807" s="7" t="s">
        <v>3311</v>
      </c>
      <c r="X807" s="18" t="s">
        <v>1002</v>
      </c>
      <c r="Z807" s="27" t="s">
        <v>2277</v>
      </c>
    </row>
    <row r="808" spans="8:26" ht="15.6" x14ac:dyDescent="0.3">
      <c r="H808" s="8" t="s">
        <v>3312</v>
      </c>
      <c r="X808" s="18" t="s">
        <v>1003</v>
      </c>
      <c r="Z808" s="27" t="s">
        <v>2192</v>
      </c>
    </row>
    <row r="809" spans="8:26" ht="15.6" x14ac:dyDescent="0.3">
      <c r="H809" s="7" t="s">
        <v>3313</v>
      </c>
      <c r="X809" s="18" t="s">
        <v>1004</v>
      </c>
      <c r="Z809" s="27" t="s">
        <v>2150</v>
      </c>
    </row>
    <row r="810" spans="8:26" ht="15.6" x14ac:dyDescent="0.3">
      <c r="H810" s="8" t="s">
        <v>3314</v>
      </c>
      <c r="X810" s="18" t="s">
        <v>1005</v>
      </c>
      <c r="Z810" s="27" t="s">
        <v>2232</v>
      </c>
    </row>
    <row r="811" spans="8:26" ht="15.6" x14ac:dyDescent="0.3">
      <c r="H811" s="7" t="s">
        <v>3315</v>
      </c>
      <c r="X811" s="18" t="s">
        <v>1006</v>
      </c>
      <c r="Z811" s="27" t="s">
        <v>2193</v>
      </c>
    </row>
    <row r="812" spans="8:26" ht="15.6" x14ac:dyDescent="0.3">
      <c r="H812" s="8" t="s">
        <v>3316</v>
      </c>
      <c r="X812" s="18" t="s">
        <v>815</v>
      </c>
      <c r="Z812" s="27" t="s">
        <v>2194</v>
      </c>
    </row>
    <row r="813" spans="8:26" ht="15.6" x14ac:dyDescent="0.3">
      <c r="H813" s="7" t="s">
        <v>3317</v>
      </c>
      <c r="X813" s="18" t="s">
        <v>1007</v>
      </c>
      <c r="Z813" s="27" t="s">
        <v>2195</v>
      </c>
    </row>
    <row r="814" spans="8:26" ht="15.6" x14ac:dyDescent="0.3">
      <c r="H814" s="8" t="s">
        <v>3318</v>
      </c>
      <c r="X814" s="18" t="s">
        <v>1008</v>
      </c>
      <c r="Z814" s="27" t="s">
        <v>2196</v>
      </c>
    </row>
    <row r="815" spans="8:26" ht="15.6" x14ac:dyDescent="0.3">
      <c r="H815" s="7" t="s">
        <v>3319</v>
      </c>
      <c r="X815" s="18" t="s">
        <v>873</v>
      </c>
      <c r="Z815" s="27" t="s">
        <v>2197</v>
      </c>
    </row>
    <row r="816" spans="8:26" ht="15.6" x14ac:dyDescent="0.3">
      <c r="H816" s="8" t="s">
        <v>3320</v>
      </c>
      <c r="X816" s="18" t="s">
        <v>1009</v>
      </c>
      <c r="Z816" s="27" t="s">
        <v>2278</v>
      </c>
    </row>
    <row r="817" spans="8:26" ht="15.6" x14ac:dyDescent="0.3">
      <c r="H817" s="7" t="s">
        <v>2842</v>
      </c>
      <c r="X817" s="18" t="s">
        <v>1010</v>
      </c>
      <c r="Z817" s="27" t="s">
        <v>2151</v>
      </c>
    </row>
    <row r="818" spans="8:26" ht="15.6" x14ac:dyDescent="0.3">
      <c r="H818" s="8" t="s">
        <v>3321</v>
      </c>
      <c r="X818" s="18" t="s">
        <v>1011</v>
      </c>
      <c r="Z818" s="27" t="s">
        <v>2233</v>
      </c>
    </row>
    <row r="819" spans="8:26" ht="15.6" x14ac:dyDescent="0.3">
      <c r="H819" s="7" t="s">
        <v>3322</v>
      </c>
      <c r="X819" s="18" t="s">
        <v>1077</v>
      </c>
      <c r="Z819" s="27" t="s">
        <v>2279</v>
      </c>
    </row>
    <row r="820" spans="8:26" ht="15.6" x14ac:dyDescent="0.3">
      <c r="H820" s="8" t="s">
        <v>3323</v>
      </c>
      <c r="X820" s="18" t="s">
        <v>648</v>
      </c>
      <c r="Z820" s="27" t="s">
        <v>2152</v>
      </c>
    </row>
    <row r="821" spans="8:26" ht="15.6" x14ac:dyDescent="0.3">
      <c r="H821" s="7" t="s">
        <v>3324</v>
      </c>
      <c r="X821" s="18" t="s">
        <v>1012</v>
      </c>
      <c r="Z821" s="27" t="s">
        <v>2234</v>
      </c>
    </row>
    <row r="822" spans="8:26" ht="15.6" x14ac:dyDescent="0.3">
      <c r="H822" s="8" t="s">
        <v>3325</v>
      </c>
      <c r="X822" s="18" t="s">
        <v>1013</v>
      </c>
      <c r="Z822" s="27" t="s">
        <v>2198</v>
      </c>
    </row>
    <row r="823" spans="8:26" ht="15.6" x14ac:dyDescent="0.3">
      <c r="H823" s="7" t="s">
        <v>3326</v>
      </c>
      <c r="X823" s="18" t="s">
        <v>1014</v>
      </c>
      <c r="Z823" s="27" t="s">
        <v>2235</v>
      </c>
    </row>
    <row r="824" spans="8:26" ht="15.6" x14ac:dyDescent="0.3">
      <c r="H824" s="8" t="s">
        <v>3327</v>
      </c>
      <c r="X824" s="18" t="s">
        <v>1015</v>
      </c>
      <c r="Z824" s="27" t="s">
        <v>2146</v>
      </c>
    </row>
    <row r="825" spans="8:26" ht="15.6" x14ac:dyDescent="0.3">
      <c r="H825" s="7" t="s">
        <v>3328</v>
      </c>
      <c r="X825" s="18" t="s">
        <v>586</v>
      </c>
      <c r="Z825" s="27" t="s">
        <v>2199</v>
      </c>
    </row>
    <row r="826" spans="8:26" ht="15.6" x14ac:dyDescent="0.3">
      <c r="H826" s="8" t="s">
        <v>3329</v>
      </c>
      <c r="X826" s="18" t="s">
        <v>874</v>
      </c>
      <c r="Z826" s="27" t="s">
        <v>2280</v>
      </c>
    </row>
    <row r="827" spans="8:26" ht="15.6" x14ac:dyDescent="0.3">
      <c r="H827" s="7" t="s">
        <v>3330</v>
      </c>
      <c r="X827" s="18" t="s">
        <v>875</v>
      </c>
      <c r="Z827" s="27" t="s">
        <v>2281</v>
      </c>
    </row>
    <row r="828" spans="8:26" ht="15.6" x14ac:dyDescent="0.3">
      <c r="H828" s="8" t="s">
        <v>3331</v>
      </c>
      <c r="X828" s="18" t="s">
        <v>1016</v>
      </c>
      <c r="Z828" s="27" t="s">
        <v>2282</v>
      </c>
    </row>
    <row r="829" spans="8:26" ht="15.6" x14ac:dyDescent="0.3">
      <c r="H829" s="7" t="s">
        <v>2630</v>
      </c>
      <c r="X829" s="18" t="s">
        <v>876</v>
      </c>
      <c r="Z829" s="27" t="s">
        <v>2283</v>
      </c>
    </row>
    <row r="830" spans="8:26" ht="31.2" x14ac:dyDescent="0.3">
      <c r="H830" s="8" t="s">
        <v>3332</v>
      </c>
      <c r="X830" s="18" t="s">
        <v>1017</v>
      </c>
      <c r="Z830" s="27" t="s">
        <v>2236</v>
      </c>
    </row>
    <row r="831" spans="8:26" ht="15.6" x14ac:dyDescent="0.3">
      <c r="H831" s="7" t="s">
        <v>3333</v>
      </c>
      <c r="X831" s="18" t="s">
        <v>877</v>
      </c>
      <c r="Z831" s="27" t="s">
        <v>2237</v>
      </c>
    </row>
    <row r="832" spans="8:26" ht="15.6" x14ac:dyDescent="0.3">
      <c r="H832" s="8" t="s">
        <v>3334</v>
      </c>
      <c r="X832" s="18" t="s">
        <v>877</v>
      </c>
      <c r="Z832" s="27" t="s">
        <v>2284</v>
      </c>
    </row>
    <row r="833" spans="8:26" ht="15.6" x14ac:dyDescent="0.3">
      <c r="H833" s="7" t="s">
        <v>3335</v>
      </c>
      <c r="X833" s="18" t="s">
        <v>1018</v>
      </c>
      <c r="Z833" s="27" t="s">
        <v>2285</v>
      </c>
    </row>
    <row r="834" spans="8:26" ht="15.6" x14ac:dyDescent="0.3">
      <c r="H834" s="8" t="s">
        <v>108</v>
      </c>
      <c r="X834" s="18" t="s">
        <v>878</v>
      </c>
      <c r="Z834" s="27" t="s">
        <v>2200</v>
      </c>
    </row>
    <row r="835" spans="8:26" ht="15.6" x14ac:dyDescent="0.3">
      <c r="H835" s="7" t="s">
        <v>2339</v>
      </c>
      <c r="X835" s="18" t="s">
        <v>879</v>
      </c>
      <c r="Z835" s="27" t="s">
        <v>2238</v>
      </c>
    </row>
    <row r="836" spans="8:26" x14ac:dyDescent="0.3">
      <c r="X836" s="18" t="s">
        <v>1019</v>
      </c>
      <c r="Z836" s="27" t="s">
        <v>2239</v>
      </c>
    </row>
    <row r="837" spans="8:26" ht="15.6" x14ac:dyDescent="0.3">
      <c r="H837" s="8" t="s">
        <v>31</v>
      </c>
      <c r="X837" s="18" t="s">
        <v>1020</v>
      </c>
      <c r="Z837" s="27" t="s">
        <v>2201</v>
      </c>
    </row>
    <row r="838" spans="8:26" ht="15.6" x14ac:dyDescent="0.3">
      <c r="H838" s="8" t="s">
        <v>3337</v>
      </c>
      <c r="X838" s="18" t="s">
        <v>1021</v>
      </c>
      <c r="Z838" s="27" t="s">
        <v>2240</v>
      </c>
    </row>
    <row r="839" spans="8:26" ht="15.6" x14ac:dyDescent="0.3">
      <c r="H839" s="7" t="s">
        <v>3338</v>
      </c>
      <c r="X839" s="18" t="s">
        <v>880</v>
      </c>
      <c r="Z839" s="27" t="s">
        <v>2358</v>
      </c>
    </row>
    <row r="840" spans="8:26" ht="15.6" x14ac:dyDescent="0.3">
      <c r="H840" s="8" t="s">
        <v>109</v>
      </c>
      <c r="X840" s="18" t="s">
        <v>881</v>
      </c>
      <c r="Z840" s="27" t="s">
        <v>2143</v>
      </c>
    </row>
    <row r="841" spans="8:26" ht="31.2" x14ac:dyDescent="0.3">
      <c r="H841" s="7" t="s">
        <v>3339</v>
      </c>
      <c r="X841" s="18" t="s">
        <v>882</v>
      </c>
      <c r="Z841" s="27" t="s">
        <v>2286</v>
      </c>
    </row>
    <row r="842" spans="8:26" ht="15.6" x14ac:dyDescent="0.3">
      <c r="H842" s="8" t="s">
        <v>3340</v>
      </c>
      <c r="X842" s="18" t="s">
        <v>883</v>
      </c>
      <c r="Z842" s="27" t="s">
        <v>2287</v>
      </c>
    </row>
    <row r="843" spans="8:26" ht="15.6" x14ac:dyDescent="0.3">
      <c r="H843" s="7" t="s">
        <v>3340</v>
      </c>
      <c r="X843" s="18" t="s">
        <v>3290</v>
      </c>
      <c r="Z843" s="27" t="s">
        <v>2202</v>
      </c>
    </row>
    <row r="844" spans="8:26" ht="15.6" x14ac:dyDescent="0.3">
      <c r="H844" s="8" t="s">
        <v>3341</v>
      </c>
      <c r="X844" s="18" t="s">
        <v>1078</v>
      </c>
      <c r="Z844" s="27" t="s">
        <v>2203</v>
      </c>
    </row>
    <row r="845" spans="8:26" ht="15.6" x14ac:dyDescent="0.3">
      <c r="H845" s="7" t="s">
        <v>2826</v>
      </c>
      <c r="X845" s="18" t="s">
        <v>818</v>
      </c>
      <c r="Z845" s="27" t="s">
        <v>2241</v>
      </c>
    </row>
    <row r="846" spans="8:26" ht="15.6" x14ac:dyDescent="0.3">
      <c r="H846" s="8" t="s">
        <v>2793</v>
      </c>
      <c r="X846" s="18" t="s">
        <v>884</v>
      </c>
      <c r="Z846" s="27" t="s">
        <v>2288</v>
      </c>
    </row>
    <row r="847" spans="8:26" ht="15.6" x14ac:dyDescent="0.3">
      <c r="H847" s="7" t="s">
        <v>2794</v>
      </c>
      <c r="X847" s="18" t="s">
        <v>884</v>
      </c>
      <c r="Z847" s="27" t="s">
        <v>2168</v>
      </c>
    </row>
    <row r="848" spans="8:26" ht="15.6" x14ac:dyDescent="0.3">
      <c r="H848" s="8" t="s">
        <v>2795</v>
      </c>
      <c r="X848" s="18" t="s">
        <v>885</v>
      </c>
      <c r="Z848" s="27" t="s">
        <v>3336</v>
      </c>
    </row>
    <row r="849" spans="8:26" ht="15.6" x14ac:dyDescent="0.3">
      <c r="H849" s="7" t="s">
        <v>3342</v>
      </c>
      <c r="X849" s="18" t="s">
        <v>886</v>
      </c>
      <c r="Z849" s="27" t="s">
        <v>2242</v>
      </c>
    </row>
    <row r="850" spans="8:26" ht="15.6" x14ac:dyDescent="0.3">
      <c r="H850" s="8" t="s">
        <v>3321</v>
      </c>
      <c r="X850" s="18" t="s">
        <v>887</v>
      </c>
      <c r="Z850" s="27" t="s">
        <v>2289</v>
      </c>
    </row>
    <row r="851" spans="8:26" ht="15.6" x14ac:dyDescent="0.3">
      <c r="H851" s="7" t="s">
        <v>3344</v>
      </c>
      <c r="X851" s="18" t="s">
        <v>888</v>
      </c>
      <c r="Z851" s="27" t="s">
        <v>2359</v>
      </c>
    </row>
    <row r="852" spans="8:26" ht="15.6" x14ac:dyDescent="0.3">
      <c r="H852" s="8" t="s">
        <v>2712</v>
      </c>
      <c r="X852" s="18" t="s">
        <v>889</v>
      </c>
      <c r="Z852" s="27" t="s">
        <v>2360</v>
      </c>
    </row>
    <row r="853" spans="8:26" ht="15.6" x14ac:dyDescent="0.3">
      <c r="H853" s="7" t="s">
        <v>3345</v>
      </c>
      <c r="X853" s="18" t="s">
        <v>890</v>
      </c>
      <c r="Z853" s="27" t="s">
        <v>2361</v>
      </c>
    </row>
    <row r="854" spans="8:26" ht="15.6" x14ac:dyDescent="0.3">
      <c r="H854" s="8" t="s">
        <v>3346</v>
      </c>
      <c r="X854" s="18" t="s">
        <v>891</v>
      </c>
      <c r="Z854" s="27" t="s">
        <v>2362</v>
      </c>
    </row>
    <row r="855" spans="8:26" ht="15.6" x14ac:dyDescent="0.3">
      <c r="H855" s="7" t="s">
        <v>3347</v>
      </c>
      <c r="X855" s="18" t="s">
        <v>786</v>
      </c>
      <c r="Z855" s="27" t="s">
        <v>2363</v>
      </c>
    </row>
    <row r="856" spans="8:26" ht="15.6" x14ac:dyDescent="0.3">
      <c r="H856" s="8" t="s">
        <v>3348</v>
      </c>
      <c r="X856" s="18" t="s">
        <v>1022</v>
      </c>
      <c r="Z856" s="27" t="s">
        <v>2364</v>
      </c>
    </row>
    <row r="857" spans="8:26" ht="15.6" x14ac:dyDescent="0.3">
      <c r="H857" s="7" t="s">
        <v>3349</v>
      </c>
      <c r="X857" s="18" t="s">
        <v>892</v>
      </c>
      <c r="Z857" s="27" t="s">
        <v>2365</v>
      </c>
    </row>
    <row r="858" spans="8:26" ht="31.2" x14ac:dyDescent="0.3">
      <c r="H858" s="8" t="s">
        <v>3350</v>
      </c>
      <c r="X858" s="18" t="s">
        <v>893</v>
      </c>
      <c r="Z858" s="27" t="s">
        <v>2366</v>
      </c>
    </row>
    <row r="859" spans="8:26" ht="15.6" x14ac:dyDescent="0.3">
      <c r="H859" s="7" t="s">
        <v>3351</v>
      </c>
      <c r="X859" s="18" t="s">
        <v>894</v>
      </c>
      <c r="Z859" s="27" t="s">
        <v>2367</v>
      </c>
    </row>
    <row r="860" spans="8:26" ht="31.2" x14ac:dyDescent="0.3">
      <c r="H860" s="8" t="s">
        <v>3352</v>
      </c>
      <c r="X860" s="18" t="s">
        <v>895</v>
      </c>
      <c r="Z860" s="27" t="s">
        <v>2368</v>
      </c>
    </row>
    <row r="861" spans="8:26" ht="15.6" x14ac:dyDescent="0.3">
      <c r="H861" s="7" t="s">
        <v>3353</v>
      </c>
      <c r="X861" s="18" t="s">
        <v>896</v>
      </c>
      <c r="Z861" s="27" t="s">
        <v>2369</v>
      </c>
    </row>
    <row r="862" spans="8:26" ht="15.6" x14ac:dyDescent="0.3">
      <c r="H862" s="8" t="s">
        <v>3354</v>
      </c>
      <c r="X862" s="18" t="s">
        <v>897</v>
      </c>
      <c r="Z862" s="27" t="s">
        <v>2370</v>
      </c>
    </row>
    <row r="863" spans="8:26" ht="31.2" x14ac:dyDescent="0.3">
      <c r="H863" s="7" t="s">
        <v>3355</v>
      </c>
      <c r="X863" s="18" t="s">
        <v>898</v>
      </c>
      <c r="Z863" s="27" t="s">
        <v>2371</v>
      </c>
    </row>
    <row r="864" spans="8:26" ht="15.6" x14ac:dyDescent="0.3">
      <c r="H864" s="8" t="s">
        <v>110</v>
      </c>
      <c r="X864" s="18" t="s">
        <v>899</v>
      </c>
      <c r="Z864" s="27" t="s">
        <v>2169</v>
      </c>
    </row>
    <row r="865" spans="8:26" ht="15.6" x14ac:dyDescent="0.3">
      <c r="H865" s="7" t="s">
        <v>3356</v>
      </c>
      <c r="X865" s="18" t="s">
        <v>900</v>
      </c>
      <c r="Z865" s="27" t="s">
        <v>2170</v>
      </c>
    </row>
    <row r="866" spans="8:26" ht="15.6" x14ac:dyDescent="0.3">
      <c r="H866" s="8" t="s">
        <v>3357</v>
      </c>
      <c r="X866" s="18" t="s">
        <v>901</v>
      </c>
      <c r="Z866" s="27" t="s">
        <v>2204</v>
      </c>
    </row>
    <row r="867" spans="8:26" ht="15.6" x14ac:dyDescent="0.3">
      <c r="H867" s="7" t="s">
        <v>3358</v>
      </c>
      <c r="X867" s="18" t="s">
        <v>1023</v>
      </c>
      <c r="Z867" s="27" t="s">
        <v>2205</v>
      </c>
    </row>
    <row r="868" spans="8:26" ht="15.6" x14ac:dyDescent="0.3">
      <c r="H868" s="8" t="s">
        <v>111</v>
      </c>
      <c r="X868" s="18" t="s">
        <v>1024</v>
      </c>
      <c r="Z868" s="27" t="s">
        <v>2206</v>
      </c>
    </row>
    <row r="869" spans="8:26" x14ac:dyDescent="0.3">
      <c r="X869" s="18" t="s">
        <v>1079</v>
      </c>
      <c r="Z869" s="27" t="s">
        <v>2207</v>
      </c>
    </row>
    <row r="870" spans="8:26" ht="15.6" x14ac:dyDescent="0.3">
      <c r="H870" s="7" t="s">
        <v>30</v>
      </c>
      <c r="X870" s="18" t="s">
        <v>1025</v>
      </c>
      <c r="Z870" s="27" t="s">
        <v>2290</v>
      </c>
    </row>
    <row r="871" spans="8:26" ht="15.6" x14ac:dyDescent="0.3">
      <c r="H871" s="7" t="s">
        <v>3162</v>
      </c>
      <c r="X871" s="18" t="s">
        <v>1080</v>
      </c>
      <c r="Z871" s="27" t="s">
        <v>2291</v>
      </c>
    </row>
    <row r="872" spans="8:26" ht="15.6" x14ac:dyDescent="0.3">
      <c r="H872" s="8" t="s">
        <v>3359</v>
      </c>
      <c r="X872" s="18" t="s">
        <v>1102</v>
      </c>
      <c r="Z872" s="27" t="s">
        <v>2243</v>
      </c>
    </row>
    <row r="873" spans="8:26" ht="15.6" x14ac:dyDescent="0.3">
      <c r="H873" s="7" t="s">
        <v>3360</v>
      </c>
      <c r="X873" s="18" t="s">
        <v>902</v>
      </c>
      <c r="Z873" s="27" t="s">
        <v>2208</v>
      </c>
    </row>
    <row r="874" spans="8:26" ht="15.6" x14ac:dyDescent="0.3">
      <c r="H874" s="8" t="s">
        <v>3361</v>
      </c>
      <c r="X874" s="18" t="s">
        <v>903</v>
      </c>
      <c r="Z874" s="27" t="s">
        <v>2209</v>
      </c>
    </row>
    <row r="875" spans="8:26" ht="15.6" x14ac:dyDescent="0.3">
      <c r="H875" s="7" t="s">
        <v>3362</v>
      </c>
      <c r="X875" s="18" t="s">
        <v>904</v>
      </c>
      <c r="Z875" s="27" t="s">
        <v>2292</v>
      </c>
    </row>
    <row r="876" spans="8:26" ht="15.6" x14ac:dyDescent="0.3">
      <c r="H876" s="8" t="s">
        <v>2635</v>
      </c>
      <c r="X876" s="18" t="s">
        <v>1026</v>
      </c>
      <c r="Z876" s="27" t="s">
        <v>2210</v>
      </c>
    </row>
    <row r="877" spans="8:26" ht="15.6" x14ac:dyDescent="0.3">
      <c r="H877" s="7" t="s">
        <v>3363</v>
      </c>
      <c r="X877" s="18" t="s">
        <v>1026</v>
      </c>
      <c r="Z877" s="27" t="s">
        <v>2153</v>
      </c>
    </row>
    <row r="878" spans="8:26" ht="15.6" x14ac:dyDescent="0.3">
      <c r="H878" s="8" t="s">
        <v>3364</v>
      </c>
      <c r="X878" s="18" t="s">
        <v>905</v>
      </c>
      <c r="Z878" s="27" t="s">
        <v>2154</v>
      </c>
    </row>
    <row r="879" spans="8:26" ht="15.6" x14ac:dyDescent="0.3">
      <c r="H879" s="7" t="s">
        <v>3365</v>
      </c>
      <c r="X879" s="18" t="s">
        <v>906</v>
      </c>
      <c r="Z879" s="27" t="s">
        <v>2372</v>
      </c>
    </row>
    <row r="880" spans="8:26" ht="15.6" x14ac:dyDescent="0.3">
      <c r="H880" s="8" t="s">
        <v>3366</v>
      </c>
      <c r="X880" s="18" t="s">
        <v>1027</v>
      </c>
      <c r="Z880" s="27" t="s">
        <v>2293</v>
      </c>
    </row>
    <row r="881" spans="8:26" ht="15.6" x14ac:dyDescent="0.3">
      <c r="H881" s="7" t="s">
        <v>112</v>
      </c>
      <c r="X881" s="18" t="s">
        <v>907</v>
      </c>
      <c r="Z881" s="27" t="s">
        <v>2211</v>
      </c>
    </row>
    <row r="882" spans="8:26" ht="15.6" x14ac:dyDescent="0.3">
      <c r="H882" s="8" t="s">
        <v>3367</v>
      </c>
      <c r="X882" s="18" t="s">
        <v>1028</v>
      </c>
      <c r="Z882" s="27" t="s">
        <v>2294</v>
      </c>
    </row>
    <row r="883" spans="8:26" ht="15.6" x14ac:dyDescent="0.3">
      <c r="H883" s="7" t="s">
        <v>3368</v>
      </c>
      <c r="X883" s="18" t="s">
        <v>1029</v>
      </c>
      <c r="Z883" s="27" t="s">
        <v>2144</v>
      </c>
    </row>
    <row r="884" spans="8:26" ht="15.6" x14ac:dyDescent="0.3">
      <c r="H884" s="8" t="s">
        <v>3369</v>
      </c>
      <c r="X884" s="18" t="s">
        <v>1030</v>
      </c>
      <c r="Z884" s="27" t="s">
        <v>2171</v>
      </c>
    </row>
    <row r="885" spans="8:26" ht="15.6" x14ac:dyDescent="0.3">
      <c r="H885" s="7" t="s">
        <v>2734</v>
      </c>
      <c r="X885" s="18" t="s">
        <v>1031</v>
      </c>
      <c r="Z885" s="27" t="s">
        <v>2373</v>
      </c>
    </row>
    <row r="886" spans="8:26" x14ac:dyDescent="0.3">
      <c r="X886" s="18" t="s">
        <v>1081</v>
      </c>
      <c r="Z886" s="27" t="s">
        <v>2212</v>
      </c>
    </row>
    <row r="887" spans="8:26" ht="15.6" x14ac:dyDescent="0.3">
      <c r="H887" s="8" t="s">
        <v>29</v>
      </c>
      <c r="X887" s="18" t="s">
        <v>908</v>
      </c>
      <c r="Z887" s="27" t="s">
        <v>2137</v>
      </c>
    </row>
    <row r="888" spans="8:26" ht="15.6" x14ac:dyDescent="0.3">
      <c r="H888" s="8" t="s">
        <v>2632</v>
      </c>
      <c r="X888" s="18" t="s">
        <v>909</v>
      </c>
      <c r="Z888" s="27" t="s">
        <v>2213</v>
      </c>
    </row>
    <row r="889" spans="8:26" ht="15.6" x14ac:dyDescent="0.3">
      <c r="H889" s="7" t="s">
        <v>3370</v>
      </c>
      <c r="X889" s="18" t="s">
        <v>910</v>
      </c>
      <c r="Z889" s="27" t="s">
        <v>2214</v>
      </c>
    </row>
    <row r="890" spans="8:26" ht="15.6" x14ac:dyDescent="0.3">
      <c r="H890" s="8" t="s">
        <v>3371</v>
      </c>
      <c r="X890" s="18" t="s">
        <v>911</v>
      </c>
      <c r="Z890" s="27" t="s">
        <v>2374</v>
      </c>
    </row>
    <row r="891" spans="8:26" ht="15.6" x14ac:dyDescent="0.3">
      <c r="H891" s="7" t="s">
        <v>3372</v>
      </c>
      <c r="X891" s="18" t="s">
        <v>1032</v>
      </c>
      <c r="Z891" s="27" t="s">
        <v>2215</v>
      </c>
    </row>
    <row r="892" spans="8:26" ht="15.6" x14ac:dyDescent="0.3">
      <c r="H892" s="8" t="s">
        <v>3373</v>
      </c>
      <c r="X892" s="18" t="s">
        <v>912</v>
      </c>
      <c r="Z892" s="27" t="s">
        <v>2216</v>
      </c>
    </row>
    <row r="893" spans="8:26" ht="15.6" x14ac:dyDescent="0.3">
      <c r="H893" s="7" t="s">
        <v>3374</v>
      </c>
      <c r="X893" s="18" t="s">
        <v>1033</v>
      </c>
      <c r="Z893" s="27" t="s">
        <v>2244</v>
      </c>
    </row>
    <row r="894" spans="8:26" ht="15.6" x14ac:dyDescent="0.3">
      <c r="H894" s="8" t="s">
        <v>3375</v>
      </c>
      <c r="X894" s="18" t="s">
        <v>1034</v>
      </c>
      <c r="Z894" s="27" t="s">
        <v>2295</v>
      </c>
    </row>
    <row r="895" spans="8:26" ht="15.6" x14ac:dyDescent="0.3">
      <c r="H895" s="7" t="s">
        <v>8</v>
      </c>
      <c r="X895" s="18" t="s">
        <v>1035</v>
      </c>
      <c r="Z895" s="27" t="s">
        <v>2217</v>
      </c>
    </row>
    <row r="896" spans="8:26" ht="15.6" x14ac:dyDescent="0.3">
      <c r="H896" s="8" t="s">
        <v>3376</v>
      </c>
      <c r="X896" s="18" t="s">
        <v>913</v>
      </c>
      <c r="Z896" s="27" t="s">
        <v>2218</v>
      </c>
    </row>
    <row r="897" spans="8:26" ht="15.6" x14ac:dyDescent="0.3">
      <c r="H897" s="7" t="s">
        <v>3377</v>
      </c>
      <c r="X897" s="18" t="s">
        <v>1036</v>
      </c>
      <c r="Z897" s="27" t="s">
        <v>3343</v>
      </c>
    </row>
    <row r="898" spans="8:26" ht="15.6" x14ac:dyDescent="0.3">
      <c r="H898" s="8" t="s">
        <v>2750</v>
      </c>
      <c r="X898" s="18" t="s">
        <v>914</v>
      </c>
      <c r="Z898" s="27" t="s">
        <v>2219</v>
      </c>
    </row>
    <row r="899" spans="8:26" ht="15.6" x14ac:dyDescent="0.3">
      <c r="H899" s="7" t="s">
        <v>3378</v>
      </c>
      <c r="X899" s="18" t="s">
        <v>915</v>
      </c>
      <c r="Z899" s="27" t="s">
        <v>2220</v>
      </c>
    </row>
    <row r="900" spans="8:26" ht="15.6" x14ac:dyDescent="0.3">
      <c r="H900" s="8" t="s">
        <v>2625</v>
      </c>
      <c r="X900" s="18" t="s">
        <v>916</v>
      </c>
      <c r="Z900" s="27" t="s">
        <v>2155</v>
      </c>
    </row>
    <row r="901" spans="8:26" ht="15.6" x14ac:dyDescent="0.3">
      <c r="H901" s="7" t="s">
        <v>3379</v>
      </c>
      <c r="X901" s="18" t="s">
        <v>917</v>
      </c>
      <c r="Z901" s="27" t="s">
        <v>2221</v>
      </c>
    </row>
    <row r="902" spans="8:26" ht="15.6" x14ac:dyDescent="0.3">
      <c r="H902" s="8" t="s">
        <v>3380</v>
      </c>
      <c r="X902" s="18" t="s">
        <v>918</v>
      </c>
      <c r="Z902" s="27" t="s">
        <v>2296</v>
      </c>
    </row>
    <row r="903" spans="8:26" ht="15.6" x14ac:dyDescent="0.3">
      <c r="H903" s="7" t="s">
        <v>3381</v>
      </c>
      <c r="X903" s="18" t="s">
        <v>615</v>
      </c>
      <c r="Z903" s="27" t="s">
        <v>2222</v>
      </c>
    </row>
    <row r="904" spans="8:26" ht="15.6" x14ac:dyDescent="0.3">
      <c r="H904" s="8" t="s">
        <v>3382</v>
      </c>
      <c r="X904" s="18" t="s">
        <v>1037</v>
      </c>
      <c r="Z904" s="27" t="s">
        <v>2319</v>
      </c>
    </row>
    <row r="905" spans="8:26" ht="15.6" x14ac:dyDescent="0.3">
      <c r="H905" s="7" t="s">
        <v>3383</v>
      </c>
      <c r="X905" s="18" t="s">
        <v>1038</v>
      </c>
      <c r="Z905" s="27" t="s">
        <v>2172</v>
      </c>
    </row>
    <row r="906" spans="8:26" ht="15.6" x14ac:dyDescent="0.3">
      <c r="H906" s="8" t="s">
        <v>3384</v>
      </c>
      <c r="X906" s="18" t="s">
        <v>1039</v>
      </c>
      <c r="Z906" s="27" t="s">
        <v>2245</v>
      </c>
    </row>
    <row r="907" spans="8:26" ht="15.6" x14ac:dyDescent="0.3">
      <c r="H907" s="7" t="s">
        <v>113</v>
      </c>
      <c r="X907" s="18" t="s">
        <v>1040</v>
      </c>
      <c r="Z907" s="27" t="s">
        <v>2297</v>
      </c>
    </row>
    <row r="908" spans="8:26" ht="15.6" x14ac:dyDescent="0.3">
      <c r="H908" s="8" t="s">
        <v>2741</v>
      </c>
      <c r="X908" s="18" t="s">
        <v>819</v>
      </c>
      <c r="Z908" s="27" t="s">
        <v>2298</v>
      </c>
    </row>
    <row r="909" spans="8:26" ht="15.6" x14ac:dyDescent="0.3">
      <c r="H909" s="7" t="s">
        <v>3385</v>
      </c>
      <c r="X909" s="18" t="s">
        <v>820</v>
      </c>
      <c r="Z909" s="27" t="s">
        <v>2320</v>
      </c>
    </row>
    <row r="910" spans="8:26" ht="15.6" x14ac:dyDescent="0.3">
      <c r="H910" s="8" t="s">
        <v>3386</v>
      </c>
      <c r="X910" s="18" t="s">
        <v>1082</v>
      </c>
      <c r="Z910" s="27" t="s">
        <v>2138</v>
      </c>
    </row>
    <row r="911" spans="8:26" ht="15.6" x14ac:dyDescent="0.3">
      <c r="H911" s="7" t="s">
        <v>3387</v>
      </c>
      <c r="X911" s="18" t="s">
        <v>1083</v>
      </c>
      <c r="Z911" s="27" t="s">
        <v>2246</v>
      </c>
    </row>
    <row r="912" spans="8:26" ht="15.6" x14ac:dyDescent="0.3">
      <c r="H912" s="8" t="s">
        <v>3388</v>
      </c>
      <c r="X912" s="18" t="s">
        <v>1041</v>
      </c>
      <c r="Z912" s="27" t="s">
        <v>2321</v>
      </c>
    </row>
    <row r="913" spans="8:26" ht="15.6" x14ac:dyDescent="0.3">
      <c r="H913" s="7" t="s">
        <v>2633</v>
      </c>
      <c r="X913" s="18" t="s">
        <v>1042</v>
      </c>
      <c r="Z913" s="27" t="s">
        <v>2322</v>
      </c>
    </row>
    <row r="914" spans="8:26" ht="15.6" x14ac:dyDescent="0.3">
      <c r="H914" s="8" t="s">
        <v>3389</v>
      </c>
      <c r="X914" s="18" t="s">
        <v>1084</v>
      </c>
      <c r="Z914" s="27" t="s">
        <v>2323</v>
      </c>
    </row>
    <row r="915" spans="8:26" ht="15.6" x14ac:dyDescent="0.3">
      <c r="H915" s="7" t="s">
        <v>3390</v>
      </c>
      <c r="X915" s="18" t="s">
        <v>1043</v>
      </c>
      <c r="Z915" s="27" t="s">
        <v>2247</v>
      </c>
    </row>
    <row r="916" spans="8:26" ht="15.6" x14ac:dyDescent="0.3">
      <c r="H916" s="8" t="s">
        <v>3037</v>
      </c>
      <c r="X916" s="18" t="s">
        <v>1044</v>
      </c>
      <c r="Z916" s="27" t="s">
        <v>2248</v>
      </c>
    </row>
    <row r="917" spans="8:26" ht="15.6" x14ac:dyDescent="0.3">
      <c r="H917" s="7" t="s">
        <v>2752</v>
      </c>
      <c r="X917" s="18" t="s">
        <v>919</v>
      </c>
      <c r="Z917" s="27" t="s">
        <v>2145</v>
      </c>
    </row>
    <row r="918" spans="8:26" ht="15.6" x14ac:dyDescent="0.3">
      <c r="H918" s="8" t="s">
        <v>3391</v>
      </c>
      <c r="X918" s="18" t="s">
        <v>920</v>
      </c>
      <c r="Z918" s="27" t="s">
        <v>2299</v>
      </c>
    </row>
    <row r="919" spans="8:26" ht="15.6" x14ac:dyDescent="0.3">
      <c r="H919" s="7" t="s">
        <v>3392</v>
      </c>
      <c r="X919" s="18" t="s">
        <v>921</v>
      </c>
      <c r="Z919" s="27" t="s">
        <v>2300</v>
      </c>
    </row>
    <row r="920" spans="8:26" ht="15.6" x14ac:dyDescent="0.3">
      <c r="H920" s="8" t="s">
        <v>3393</v>
      </c>
      <c r="X920" s="18" t="s">
        <v>922</v>
      </c>
      <c r="Z920" s="27" t="s">
        <v>2375</v>
      </c>
    </row>
    <row r="921" spans="8:26" ht="15.6" x14ac:dyDescent="0.3">
      <c r="H921" s="7" t="s">
        <v>3394</v>
      </c>
      <c r="X921" s="18" t="s">
        <v>922</v>
      </c>
      <c r="Z921" s="27" t="s">
        <v>2249</v>
      </c>
    </row>
    <row r="922" spans="8:26" ht="15.6" x14ac:dyDescent="0.3">
      <c r="H922" s="8" t="s">
        <v>3395</v>
      </c>
      <c r="X922" s="18" t="s">
        <v>1045</v>
      </c>
      <c r="Z922" s="27" t="s">
        <v>2301</v>
      </c>
    </row>
    <row r="923" spans="8:26" ht="15.6" x14ac:dyDescent="0.3">
      <c r="H923" s="7" t="s">
        <v>3396</v>
      </c>
      <c r="X923" s="18" t="s">
        <v>1046</v>
      </c>
      <c r="Z923" s="27" t="s">
        <v>2302</v>
      </c>
    </row>
    <row r="924" spans="8:26" ht="15.6" x14ac:dyDescent="0.3">
      <c r="H924" s="8" t="s">
        <v>3397</v>
      </c>
      <c r="X924" s="18" t="s">
        <v>923</v>
      </c>
      <c r="Z924" s="27" t="s">
        <v>2173</v>
      </c>
    </row>
    <row r="925" spans="8:26" x14ac:dyDescent="0.3">
      <c r="X925" s="18" t="s">
        <v>924</v>
      </c>
      <c r="Z925" s="27" t="s">
        <v>2250</v>
      </c>
    </row>
    <row r="926" spans="8:26" ht="15.6" x14ac:dyDescent="0.3">
      <c r="H926" s="7" t="s">
        <v>28</v>
      </c>
      <c r="X926" s="18" t="s">
        <v>925</v>
      </c>
      <c r="Z926" s="27" t="s">
        <v>2251</v>
      </c>
    </row>
    <row r="927" spans="8:26" ht="15.6" x14ac:dyDescent="0.3">
      <c r="H927" s="7" t="s">
        <v>3072</v>
      </c>
      <c r="X927" s="18" t="s">
        <v>926</v>
      </c>
      <c r="Z927" s="27" t="s">
        <v>2156</v>
      </c>
    </row>
    <row r="928" spans="8:26" ht="15.6" x14ac:dyDescent="0.3">
      <c r="H928" s="7" t="s">
        <v>65</v>
      </c>
      <c r="X928" s="18" t="s">
        <v>927</v>
      </c>
      <c r="Z928" s="27" t="s">
        <v>2252</v>
      </c>
    </row>
    <row r="929" spans="8:26" ht="15.6" x14ac:dyDescent="0.3">
      <c r="H929" s="8" t="s">
        <v>2937</v>
      </c>
      <c r="X929" s="18" t="s">
        <v>1085</v>
      </c>
      <c r="Z929" s="27" t="s">
        <v>2253</v>
      </c>
    </row>
    <row r="930" spans="8:26" ht="15.6" x14ac:dyDescent="0.3">
      <c r="H930" s="7" t="s">
        <v>3398</v>
      </c>
      <c r="X930" s="18" t="s">
        <v>928</v>
      </c>
      <c r="Z930" s="27" t="s">
        <v>2303</v>
      </c>
    </row>
    <row r="931" spans="8:26" ht="15.6" x14ac:dyDescent="0.3">
      <c r="H931" s="8" t="s">
        <v>3073</v>
      </c>
      <c r="X931" s="18" t="s">
        <v>1103</v>
      </c>
      <c r="Z931" s="27" t="s">
        <v>2304</v>
      </c>
    </row>
    <row r="932" spans="8:26" ht="15.6" x14ac:dyDescent="0.3">
      <c r="H932" s="8" t="s">
        <v>66</v>
      </c>
      <c r="X932" s="18" t="s">
        <v>929</v>
      </c>
      <c r="Z932" s="27" t="s">
        <v>2305</v>
      </c>
    </row>
    <row r="933" spans="8:26" ht="15.6" x14ac:dyDescent="0.3">
      <c r="H933" s="7" t="s">
        <v>67</v>
      </c>
      <c r="X933" s="18" t="s">
        <v>930</v>
      </c>
      <c r="Z933" s="27" t="s">
        <v>2254</v>
      </c>
    </row>
    <row r="934" spans="8:26" ht="15.6" x14ac:dyDescent="0.3">
      <c r="H934" s="8" t="s">
        <v>3008</v>
      </c>
      <c r="X934" s="18" t="s">
        <v>1104</v>
      </c>
      <c r="Z934" s="27" t="s">
        <v>2324</v>
      </c>
    </row>
    <row r="935" spans="8:26" ht="15.6" x14ac:dyDescent="0.3">
      <c r="H935" s="8" t="s">
        <v>68</v>
      </c>
      <c r="X935" s="18" t="s">
        <v>1105</v>
      </c>
      <c r="Z935" s="27" t="s">
        <v>2306</v>
      </c>
    </row>
    <row r="936" spans="8:26" ht="15.6" x14ac:dyDescent="0.3">
      <c r="H936" s="7" t="s">
        <v>69</v>
      </c>
      <c r="X936" s="18" t="s">
        <v>1106</v>
      </c>
      <c r="Z936" s="27" t="s">
        <v>2174</v>
      </c>
    </row>
    <row r="937" spans="8:26" ht="15.6" x14ac:dyDescent="0.3">
      <c r="H937" s="8" t="s">
        <v>70</v>
      </c>
      <c r="X937" s="18" t="s">
        <v>1107</v>
      </c>
      <c r="Z937" s="27" t="s">
        <v>2175</v>
      </c>
    </row>
    <row r="938" spans="8:26" ht="15.6" x14ac:dyDescent="0.3">
      <c r="H938" s="7" t="s">
        <v>71</v>
      </c>
      <c r="X938" s="18" t="s">
        <v>1108</v>
      </c>
      <c r="Z938" s="27" t="s">
        <v>2307</v>
      </c>
    </row>
    <row r="939" spans="8:26" ht="31.2" x14ac:dyDescent="0.3">
      <c r="H939" s="7" t="s">
        <v>3399</v>
      </c>
      <c r="X939" s="18" t="s">
        <v>1109</v>
      </c>
      <c r="Z939" s="27" t="s">
        <v>2308</v>
      </c>
    </row>
    <row r="940" spans="8:26" ht="15.6" x14ac:dyDescent="0.3">
      <c r="X940" s="18" t="s">
        <v>931</v>
      </c>
      <c r="Z940" s="27" t="s">
        <v>2309</v>
      </c>
    </row>
    <row r="941" spans="8:26" ht="15.6" x14ac:dyDescent="0.3">
      <c r="H941" s="8" t="s">
        <v>44</v>
      </c>
      <c r="X941" s="18" t="s">
        <v>1047</v>
      </c>
      <c r="Z941" s="27" t="s">
        <v>2310</v>
      </c>
    </row>
    <row r="942" spans="8:26" ht="31.2" x14ac:dyDescent="0.3">
      <c r="H942" s="8" t="s">
        <v>114</v>
      </c>
      <c r="X942" s="18" t="s">
        <v>1048</v>
      </c>
      <c r="Z942" s="27" t="s">
        <v>2311</v>
      </c>
    </row>
    <row r="943" spans="8:26" x14ac:dyDescent="0.3">
      <c r="X943" s="18" t="s">
        <v>932</v>
      </c>
      <c r="Z943" s="27" t="s">
        <v>2312</v>
      </c>
    </row>
    <row r="944" spans="8:26" ht="15.6" x14ac:dyDescent="0.3">
      <c r="H944" s="7" t="s">
        <v>26</v>
      </c>
      <c r="X944" s="18" t="s">
        <v>933</v>
      </c>
      <c r="Z944" s="27" t="s">
        <v>2255</v>
      </c>
    </row>
    <row r="945" spans="8:26" ht="15.6" x14ac:dyDescent="0.3">
      <c r="H945" s="8" t="s">
        <v>3400</v>
      </c>
      <c r="X945" s="18" t="s">
        <v>934</v>
      </c>
      <c r="Z945" s="27" t="s">
        <v>2256</v>
      </c>
    </row>
    <row r="946" spans="8:26" ht="15.6" x14ac:dyDescent="0.3">
      <c r="H946" s="7" t="s">
        <v>3402</v>
      </c>
      <c r="X946" s="18" t="s">
        <v>935</v>
      </c>
      <c r="Z946" s="27" t="s">
        <v>2257</v>
      </c>
    </row>
    <row r="947" spans="8:26" ht="15.6" x14ac:dyDescent="0.3">
      <c r="H947" s="8" t="s">
        <v>3403</v>
      </c>
      <c r="X947" s="18" t="s">
        <v>936</v>
      </c>
      <c r="Z947" s="27" t="s">
        <v>2176</v>
      </c>
    </row>
    <row r="948" spans="8:26" ht="15.6" x14ac:dyDescent="0.3">
      <c r="H948" s="7" t="s">
        <v>3404</v>
      </c>
      <c r="X948" s="18" t="s">
        <v>1049</v>
      </c>
      <c r="Z948" s="27" t="s">
        <v>2325</v>
      </c>
    </row>
    <row r="949" spans="8:26" ht="15.6" x14ac:dyDescent="0.3">
      <c r="H949" s="8" t="s">
        <v>3405</v>
      </c>
      <c r="X949" s="18" t="s">
        <v>937</v>
      </c>
      <c r="Z949" s="27" t="s">
        <v>2258</v>
      </c>
    </row>
    <row r="950" spans="8:26" ht="15.6" x14ac:dyDescent="0.3">
      <c r="H950" s="7" t="s">
        <v>3406</v>
      </c>
      <c r="X950" s="18" t="s">
        <v>1050</v>
      </c>
      <c r="Z950" s="27" t="s">
        <v>3401</v>
      </c>
    </row>
    <row r="951" spans="8:26" ht="15.6" x14ac:dyDescent="0.3">
      <c r="H951" s="8" t="s">
        <v>2715</v>
      </c>
      <c r="X951" s="18" t="s">
        <v>666</v>
      </c>
      <c r="Z951" s="27" t="s">
        <v>2157</v>
      </c>
    </row>
    <row r="952" spans="8:26" ht="15.6" x14ac:dyDescent="0.3">
      <c r="H952" s="7" t="s">
        <v>3407</v>
      </c>
      <c r="X952" s="18" t="s">
        <v>938</v>
      </c>
      <c r="Z952" s="27" t="s">
        <v>2177</v>
      </c>
    </row>
    <row r="953" spans="8:26" ht="15.6" x14ac:dyDescent="0.3">
      <c r="H953" s="7" t="s">
        <v>3408</v>
      </c>
      <c r="X953" s="18" t="s">
        <v>616</v>
      </c>
      <c r="Z953" s="27" t="s">
        <v>2158</v>
      </c>
    </row>
    <row r="954" spans="8:26" ht="15.6" x14ac:dyDescent="0.3">
      <c r="H954" s="8" t="s">
        <v>2721</v>
      </c>
      <c r="X954" s="18" t="s">
        <v>1086</v>
      </c>
      <c r="Z954" s="27" t="s">
        <v>2313</v>
      </c>
    </row>
    <row r="955" spans="8:26" ht="15.6" x14ac:dyDescent="0.3">
      <c r="H955" s="7" t="s">
        <v>3409</v>
      </c>
      <c r="X955" s="18" t="s">
        <v>667</v>
      </c>
      <c r="Z955" s="27" t="s">
        <v>2314</v>
      </c>
    </row>
    <row r="956" spans="8:26" ht="15.6" x14ac:dyDescent="0.3">
      <c r="H956" s="8" t="s">
        <v>3410</v>
      </c>
      <c r="X956" s="18" t="s">
        <v>1051</v>
      </c>
      <c r="Z956" s="27" t="s">
        <v>2315</v>
      </c>
    </row>
    <row r="957" spans="8:26" ht="15.6" x14ac:dyDescent="0.3">
      <c r="H957" s="7" t="s">
        <v>3411</v>
      </c>
      <c r="X957" s="18" t="s">
        <v>1052</v>
      </c>
      <c r="Z957" s="27" t="s">
        <v>2178</v>
      </c>
    </row>
    <row r="958" spans="8:26" ht="15.6" x14ac:dyDescent="0.3">
      <c r="H958" s="8" t="s">
        <v>3412</v>
      </c>
      <c r="X958" s="18" t="s">
        <v>939</v>
      </c>
      <c r="Z958" s="27" t="s">
        <v>2316</v>
      </c>
    </row>
    <row r="959" spans="8:26" ht="15.6" x14ac:dyDescent="0.3">
      <c r="H959" s="7" t="s">
        <v>3413</v>
      </c>
      <c r="X959" s="18" t="s">
        <v>939</v>
      </c>
      <c r="Z959" s="27" t="s">
        <v>2259</v>
      </c>
    </row>
    <row r="960" spans="8:26" ht="15.6" x14ac:dyDescent="0.3">
      <c r="H960" s="8" t="s">
        <v>3414</v>
      </c>
      <c r="X960" s="18" t="s">
        <v>940</v>
      </c>
      <c r="Z960" s="27" t="s">
        <v>2326</v>
      </c>
    </row>
    <row r="961" spans="8:26" ht="15.6" x14ac:dyDescent="0.3">
      <c r="H961" s="7" t="s">
        <v>3415</v>
      </c>
      <c r="X961" s="18" t="s">
        <v>941</v>
      </c>
      <c r="Z961" s="27" t="s">
        <v>2327</v>
      </c>
    </row>
    <row r="962" spans="8:26" ht="15.6" x14ac:dyDescent="0.3">
      <c r="H962" s="8" t="s">
        <v>3416</v>
      </c>
      <c r="X962" s="18" t="s">
        <v>942</v>
      </c>
      <c r="Z962" s="27" t="s">
        <v>2317</v>
      </c>
    </row>
    <row r="963" spans="8:26" ht="15.6" x14ac:dyDescent="0.3">
      <c r="H963" s="7" t="s">
        <v>3417</v>
      </c>
      <c r="X963" s="18" t="s">
        <v>1087</v>
      </c>
      <c r="Z963" s="27" t="s">
        <v>2318</v>
      </c>
    </row>
    <row r="964" spans="8:26" ht="15.6" x14ac:dyDescent="0.3">
      <c r="H964" s="8" t="s">
        <v>3418</v>
      </c>
      <c r="X964" s="18" t="s">
        <v>1088</v>
      </c>
      <c r="Z964" s="27" t="s">
        <v>2376</v>
      </c>
    </row>
    <row r="965" spans="8:26" ht="15.6" x14ac:dyDescent="0.3">
      <c r="H965" s="7" t="s">
        <v>2737</v>
      </c>
      <c r="X965" s="18" t="s">
        <v>1089</v>
      </c>
      <c r="Z965" s="27" t="s">
        <v>2377</v>
      </c>
    </row>
    <row r="966" spans="8:26" ht="15.6" x14ac:dyDescent="0.3">
      <c r="H966" s="8" t="s">
        <v>3419</v>
      </c>
      <c r="X966" s="18" t="s">
        <v>1090</v>
      </c>
      <c r="Z966" s="27" t="s">
        <v>2343</v>
      </c>
    </row>
    <row r="967" spans="8:26" ht="15.6" x14ac:dyDescent="0.3">
      <c r="H967" s="7" t="s">
        <v>3420</v>
      </c>
      <c r="X967" s="18" t="s">
        <v>943</v>
      </c>
      <c r="Z967" s="27" t="s">
        <v>2344</v>
      </c>
    </row>
    <row r="968" spans="8:26" ht="15.6" x14ac:dyDescent="0.3">
      <c r="H968" s="8" t="s">
        <v>3421</v>
      </c>
      <c r="X968" s="18" t="s">
        <v>1091</v>
      </c>
      <c r="Z968" s="27" t="s">
        <v>2345</v>
      </c>
    </row>
    <row r="969" spans="8:26" ht="15.6" x14ac:dyDescent="0.3">
      <c r="H969" s="7" t="s">
        <v>2941</v>
      </c>
      <c r="X969" s="18" t="s">
        <v>1053</v>
      </c>
      <c r="Z969" s="27" t="s">
        <v>2160</v>
      </c>
    </row>
    <row r="970" spans="8:26" ht="15.6" x14ac:dyDescent="0.3">
      <c r="H970" s="8" t="s">
        <v>3422</v>
      </c>
      <c r="X970" s="18" t="s">
        <v>1092</v>
      </c>
      <c r="Z970" s="27" t="s">
        <v>2346</v>
      </c>
    </row>
    <row r="971" spans="8:26" ht="15.6" x14ac:dyDescent="0.3">
      <c r="H971" s="7" t="s">
        <v>3423</v>
      </c>
      <c r="X971" s="18" t="s">
        <v>944</v>
      </c>
      <c r="Z971" s="27" t="s">
        <v>2347</v>
      </c>
    </row>
    <row r="972" spans="8:26" ht="15.6" x14ac:dyDescent="0.3">
      <c r="H972" s="8" t="s">
        <v>3424</v>
      </c>
      <c r="X972" s="18" t="s">
        <v>945</v>
      </c>
      <c r="Z972" s="27" t="s">
        <v>2260</v>
      </c>
    </row>
    <row r="973" spans="8:26" ht="15.6" x14ac:dyDescent="0.3">
      <c r="H973" s="7" t="s">
        <v>3425</v>
      </c>
      <c r="X973" s="18" t="s">
        <v>946</v>
      </c>
      <c r="Z973" s="27" t="s">
        <v>2348</v>
      </c>
    </row>
    <row r="974" spans="8:26" ht="15.6" x14ac:dyDescent="0.3">
      <c r="H974" s="8" t="s">
        <v>3426</v>
      </c>
      <c r="X974" s="18" t="s">
        <v>1054</v>
      </c>
      <c r="Z974" s="27" t="s">
        <v>2161</v>
      </c>
    </row>
    <row r="975" spans="8:26" ht="15.6" x14ac:dyDescent="0.3">
      <c r="H975" s="7" t="s">
        <v>3427</v>
      </c>
      <c r="X975" s="18" t="s">
        <v>1055</v>
      </c>
      <c r="Z975" s="27" t="s">
        <v>2261</v>
      </c>
    </row>
    <row r="976" spans="8:26" ht="15.6" x14ac:dyDescent="0.3">
      <c r="H976" s="8" t="s">
        <v>3428</v>
      </c>
      <c r="X976" s="18" t="s">
        <v>1056</v>
      </c>
      <c r="Z976" s="27" t="s">
        <v>2262</v>
      </c>
    </row>
    <row r="977" spans="8:26" ht="15.6" x14ac:dyDescent="0.3">
      <c r="H977" s="7" t="s">
        <v>3429</v>
      </c>
      <c r="X977" s="18" t="s">
        <v>1057</v>
      </c>
      <c r="Z977" s="27" t="s">
        <v>2328</v>
      </c>
    </row>
    <row r="978" spans="8:26" ht="15.6" x14ac:dyDescent="0.3">
      <c r="H978" s="8" t="s">
        <v>3430</v>
      </c>
      <c r="X978" s="18" t="s">
        <v>947</v>
      </c>
      <c r="Z978" s="27" t="s">
        <v>2263</v>
      </c>
    </row>
    <row r="979" spans="8:26" ht="15.6" x14ac:dyDescent="0.3">
      <c r="H979" s="7" t="s">
        <v>3431</v>
      </c>
      <c r="X979" s="18" t="s">
        <v>1058</v>
      </c>
      <c r="Z979" s="27" t="s">
        <v>2329</v>
      </c>
    </row>
    <row r="980" spans="8:26" ht="15.6" x14ac:dyDescent="0.3">
      <c r="H980" s="8" t="s">
        <v>3432</v>
      </c>
      <c r="X980" s="18" t="s">
        <v>1059</v>
      </c>
      <c r="Z980" s="27" t="s">
        <v>2349</v>
      </c>
    </row>
    <row r="981" spans="8:26" ht="15.6" x14ac:dyDescent="0.3">
      <c r="H981" s="7" t="s">
        <v>3433</v>
      </c>
      <c r="X981" s="18" t="s">
        <v>1093</v>
      </c>
      <c r="Z981" s="27" t="s">
        <v>2147</v>
      </c>
    </row>
    <row r="982" spans="8:26" ht="15.6" x14ac:dyDescent="0.3">
      <c r="H982" s="8" t="s">
        <v>2842</v>
      </c>
      <c r="X982" s="18" t="s">
        <v>948</v>
      </c>
      <c r="Z982" s="27" t="s">
        <v>2350</v>
      </c>
    </row>
    <row r="983" spans="8:26" ht="15.6" x14ac:dyDescent="0.3">
      <c r="H983" s="7" t="s">
        <v>3434</v>
      </c>
      <c r="X983" s="18" t="s">
        <v>1060</v>
      </c>
      <c r="Z983" s="27" t="s">
        <v>2330</v>
      </c>
    </row>
    <row r="984" spans="8:26" ht="15.6" x14ac:dyDescent="0.3">
      <c r="H984" s="8" t="s">
        <v>3435</v>
      </c>
      <c r="X984" s="18" t="s">
        <v>949</v>
      </c>
      <c r="Z984" s="27" t="s">
        <v>2331</v>
      </c>
    </row>
    <row r="985" spans="8:26" ht="15.6" x14ac:dyDescent="0.3">
      <c r="H985" s="7" t="s">
        <v>3436</v>
      </c>
      <c r="X985" s="18" t="s">
        <v>1094</v>
      </c>
      <c r="Z985" s="27" t="s">
        <v>2162</v>
      </c>
    </row>
    <row r="986" spans="8:26" ht="15.6" x14ac:dyDescent="0.3">
      <c r="H986" s="8" t="s">
        <v>3437</v>
      </c>
      <c r="X986" s="18" t="s">
        <v>1095</v>
      </c>
      <c r="Z986" s="27" t="s">
        <v>2332</v>
      </c>
    </row>
    <row r="987" spans="8:26" ht="15.6" x14ac:dyDescent="0.3">
      <c r="H987" s="7" t="s">
        <v>3438</v>
      </c>
      <c r="X987" s="18" t="s">
        <v>1061</v>
      </c>
      <c r="Z987" s="27" t="s">
        <v>2351</v>
      </c>
    </row>
    <row r="988" spans="8:26" ht="31.2" x14ac:dyDescent="0.3">
      <c r="H988" s="8" t="s">
        <v>3439</v>
      </c>
      <c r="X988" s="18" t="s">
        <v>1062</v>
      </c>
      <c r="Z988" s="27" t="s">
        <v>2352</v>
      </c>
    </row>
    <row r="989" spans="8:26" ht="15.6" x14ac:dyDescent="0.3">
      <c r="H989" s="7" t="s">
        <v>3440</v>
      </c>
      <c r="X989" s="18" t="s">
        <v>1063</v>
      </c>
      <c r="Z989" s="27" t="s">
        <v>2378</v>
      </c>
    </row>
    <row r="990" spans="8:26" ht="15.6" x14ac:dyDescent="0.3">
      <c r="H990" s="8" t="s">
        <v>3441</v>
      </c>
      <c r="X990" s="18" t="s">
        <v>950</v>
      </c>
      <c r="Z990" s="27" t="s">
        <v>2353</v>
      </c>
    </row>
    <row r="991" spans="8:26" ht="15.6" x14ac:dyDescent="0.3">
      <c r="H991" s="7" t="s">
        <v>3442</v>
      </c>
      <c r="X991" s="18" t="s">
        <v>951</v>
      </c>
      <c r="Z991" s="27" t="s">
        <v>2354</v>
      </c>
    </row>
    <row r="992" spans="8:26" ht="15.6" x14ac:dyDescent="0.3">
      <c r="H992" s="8" t="s">
        <v>3443</v>
      </c>
      <c r="X992" s="18" t="s">
        <v>952</v>
      </c>
      <c r="Z992" s="27" t="s">
        <v>2333</v>
      </c>
    </row>
    <row r="993" spans="8:26" ht="15.6" x14ac:dyDescent="0.3">
      <c r="H993" s="7" t="s">
        <v>3444</v>
      </c>
      <c r="X993" s="18" t="s">
        <v>953</v>
      </c>
      <c r="Z993" s="27" t="s">
        <v>2264</v>
      </c>
    </row>
    <row r="994" spans="8:26" ht="15.6" x14ac:dyDescent="0.3">
      <c r="H994" s="8" t="s">
        <v>3445</v>
      </c>
      <c r="X994" s="18" t="s">
        <v>954</v>
      </c>
      <c r="Z994" s="27" t="s">
        <v>2355</v>
      </c>
    </row>
    <row r="995" spans="8:26" ht="15.6" x14ac:dyDescent="0.3">
      <c r="H995" s="7" t="s">
        <v>3446</v>
      </c>
      <c r="X995" s="18" t="s">
        <v>955</v>
      </c>
      <c r="Z995" s="27" t="s">
        <v>2159</v>
      </c>
    </row>
    <row r="996" spans="8:26" ht="15.6" x14ac:dyDescent="0.3">
      <c r="H996" s="8" t="s">
        <v>3447</v>
      </c>
      <c r="X996" s="18" t="s">
        <v>956</v>
      </c>
      <c r="Z996" s="27" t="s">
        <v>2265</v>
      </c>
    </row>
    <row r="997" spans="8:26" ht="15.6" x14ac:dyDescent="0.3">
      <c r="H997" s="7" t="s">
        <v>3448</v>
      </c>
      <c r="X997" s="18" t="s">
        <v>1096</v>
      </c>
      <c r="Z997" s="27" t="s">
        <v>2334</v>
      </c>
    </row>
    <row r="998" spans="8:26" ht="15.6" x14ac:dyDescent="0.3">
      <c r="H998" s="8" t="s">
        <v>3449</v>
      </c>
      <c r="X998" s="18" t="s">
        <v>1097</v>
      </c>
      <c r="Z998" s="27" t="s">
        <v>2139</v>
      </c>
    </row>
    <row r="999" spans="8:26" ht="15.6" x14ac:dyDescent="0.3">
      <c r="H999" s="7" t="s">
        <v>3450</v>
      </c>
      <c r="X999" s="18" t="s">
        <v>957</v>
      </c>
      <c r="Z999" s="27" t="s">
        <v>2379</v>
      </c>
    </row>
    <row r="1000" spans="8:26" ht="15.6" x14ac:dyDescent="0.3">
      <c r="H1000" s="8" t="s">
        <v>2733</v>
      </c>
      <c r="X1000" s="18" t="s">
        <v>958</v>
      </c>
      <c r="Z1000" s="27" t="s">
        <v>2380</v>
      </c>
    </row>
    <row r="1001" spans="8:26" ht="15.6" x14ac:dyDescent="0.3">
      <c r="H1001" s="7" t="s">
        <v>3451</v>
      </c>
      <c r="X1001" s="18" t="s">
        <v>959</v>
      </c>
      <c r="Z1001" s="27" t="s">
        <v>2266</v>
      </c>
    </row>
    <row r="1002" spans="8:26" ht="15.6" x14ac:dyDescent="0.3">
      <c r="H1002" s="8" t="s">
        <v>2627</v>
      </c>
      <c r="X1002" s="18" t="s">
        <v>960</v>
      </c>
      <c r="Z1002" s="27" t="s">
        <v>2335</v>
      </c>
    </row>
    <row r="1003" spans="8:26" ht="15.6" x14ac:dyDescent="0.3">
      <c r="H1003" s="7" t="s">
        <v>2722</v>
      </c>
      <c r="X1003" s="18" t="s">
        <v>960</v>
      </c>
      <c r="Z1003" s="27" t="s">
        <v>2336</v>
      </c>
    </row>
    <row r="1004" spans="8:26" ht="15.6" x14ac:dyDescent="0.3">
      <c r="H1004" s="7" t="s">
        <v>33</v>
      </c>
      <c r="X1004" s="18" t="s">
        <v>961</v>
      </c>
      <c r="Z1004" s="27" t="s">
        <v>2163</v>
      </c>
    </row>
    <row r="1005" spans="8:26" ht="15.6" x14ac:dyDescent="0.3">
      <c r="H1005" s="8" t="s">
        <v>3452</v>
      </c>
      <c r="X1005" s="18" t="s">
        <v>962</v>
      </c>
      <c r="Z1005" s="27" t="s">
        <v>2140</v>
      </c>
    </row>
    <row r="1006" spans="8:26" ht="15.6" x14ac:dyDescent="0.3">
      <c r="H1006" s="7" t="s">
        <v>3453</v>
      </c>
      <c r="X1006" s="18" t="s">
        <v>963</v>
      </c>
      <c r="Z1006" s="27" t="s">
        <v>2180</v>
      </c>
    </row>
    <row r="1007" spans="8:26" ht="15.6" x14ac:dyDescent="0.3">
      <c r="H1007" s="8" t="s">
        <v>3454</v>
      </c>
      <c r="X1007" s="18" t="s">
        <v>964</v>
      </c>
      <c r="Z1007" s="27" t="s">
        <v>2267</v>
      </c>
    </row>
    <row r="1008" spans="8:26" ht="15.6" x14ac:dyDescent="0.3">
      <c r="H1008" s="7" t="s">
        <v>3455</v>
      </c>
      <c r="X1008" s="18" t="s">
        <v>965</v>
      </c>
      <c r="Z1008" s="27" t="s">
        <v>2337</v>
      </c>
    </row>
    <row r="1009" spans="8:26" ht="15.6" x14ac:dyDescent="0.3">
      <c r="H1009" s="8" t="s">
        <v>3456</v>
      </c>
      <c r="X1009" s="18" t="s">
        <v>821</v>
      </c>
      <c r="Z1009" s="27" t="s">
        <v>2338</v>
      </c>
    </row>
    <row r="1010" spans="8:26" ht="15.6" x14ac:dyDescent="0.3">
      <c r="H1010" s="7" t="s">
        <v>3457</v>
      </c>
      <c r="X1010" s="18" t="s">
        <v>966</v>
      </c>
      <c r="Z1010" s="27" t="s">
        <v>2339</v>
      </c>
    </row>
    <row r="1011" spans="8:26" ht="15.6" x14ac:dyDescent="0.3">
      <c r="H1011" s="8" t="s">
        <v>3458</v>
      </c>
      <c r="X1011" s="18" t="s">
        <v>1064</v>
      </c>
      <c r="Z1011" s="27" t="s">
        <v>2340</v>
      </c>
    </row>
    <row r="1012" spans="8:26" ht="15.6" x14ac:dyDescent="0.3">
      <c r="H1012" s="7" t="s">
        <v>3459</v>
      </c>
      <c r="Z1012" s="27" t="s">
        <v>2341</v>
      </c>
    </row>
    <row r="1013" spans="8:26" ht="15.6" x14ac:dyDescent="0.3">
      <c r="H1013" s="8" t="s">
        <v>3460</v>
      </c>
      <c r="X1013" s="2" t="s">
        <v>146</v>
      </c>
      <c r="Z1013" s="27" t="s">
        <v>2342</v>
      </c>
    </row>
    <row r="1014" spans="8:26" ht="15.6" x14ac:dyDescent="0.3">
      <c r="H1014" s="7" t="s">
        <v>3461</v>
      </c>
      <c r="X1014" s="21" t="s">
        <v>1321</v>
      </c>
    </row>
    <row r="1015" spans="8:26" ht="15.6" x14ac:dyDescent="0.3">
      <c r="H1015" s="8" t="s">
        <v>3462</v>
      </c>
      <c r="X1015" s="21" t="s">
        <v>1362</v>
      </c>
    </row>
    <row r="1016" spans="8:26" ht="15.6" x14ac:dyDescent="0.3">
      <c r="H1016" s="7" t="s">
        <v>3463</v>
      </c>
      <c r="X1016" s="21" t="s">
        <v>1322</v>
      </c>
    </row>
    <row r="1017" spans="8:26" ht="15.6" x14ac:dyDescent="0.3">
      <c r="H1017" s="8" t="s">
        <v>3464</v>
      </c>
      <c r="X1017" s="21" t="s">
        <v>1323</v>
      </c>
    </row>
    <row r="1018" spans="8:26" ht="15.6" x14ac:dyDescent="0.3">
      <c r="H1018" s="7" t="s">
        <v>3465</v>
      </c>
      <c r="X1018" s="21" t="s">
        <v>1184</v>
      </c>
    </row>
    <row r="1019" spans="8:26" ht="26.4" x14ac:dyDescent="0.3">
      <c r="H1019" s="8" t="s">
        <v>2637</v>
      </c>
      <c r="X1019" s="21" t="s">
        <v>1143</v>
      </c>
    </row>
    <row r="1020" spans="8:26" ht="31.2" x14ac:dyDescent="0.3">
      <c r="H1020" s="7" t="s">
        <v>3466</v>
      </c>
      <c r="X1020" s="21" t="s">
        <v>1111</v>
      </c>
    </row>
    <row r="1021" spans="8:26" ht="15.6" x14ac:dyDescent="0.3">
      <c r="H1021" s="8" t="s">
        <v>3301</v>
      </c>
      <c r="X1021" s="21" t="s">
        <v>1110</v>
      </c>
    </row>
    <row r="1022" spans="8:26" ht="15.6" x14ac:dyDescent="0.3">
      <c r="H1022" s="7" t="s">
        <v>2765</v>
      </c>
      <c r="X1022" s="21" t="s">
        <v>1363</v>
      </c>
    </row>
    <row r="1023" spans="8:26" ht="15.6" x14ac:dyDescent="0.3">
      <c r="H1023" s="8" t="s">
        <v>2874</v>
      </c>
      <c r="X1023" s="21" t="s">
        <v>1112</v>
      </c>
    </row>
    <row r="1024" spans="8:26" ht="31.2" x14ac:dyDescent="0.3">
      <c r="H1024" s="7" t="s">
        <v>3467</v>
      </c>
      <c r="X1024" s="21" t="s">
        <v>1249</v>
      </c>
    </row>
    <row r="1025" spans="8:24" ht="15.6" x14ac:dyDescent="0.3">
      <c r="H1025" s="8" t="s">
        <v>3468</v>
      </c>
      <c r="X1025" s="21" t="s">
        <v>1364</v>
      </c>
    </row>
    <row r="1026" spans="8:24" ht="15.6" x14ac:dyDescent="0.3">
      <c r="H1026" s="7" t="s">
        <v>3469</v>
      </c>
      <c r="X1026" s="21" t="s">
        <v>1308</v>
      </c>
    </row>
    <row r="1027" spans="8:24" ht="15.6" x14ac:dyDescent="0.3">
      <c r="H1027" s="8" t="s">
        <v>3470</v>
      </c>
      <c r="X1027" s="21" t="s">
        <v>1183</v>
      </c>
    </row>
    <row r="1028" spans="8:24" ht="15.6" x14ac:dyDescent="0.3">
      <c r="H1028" s="7" t="s">
        <v>3471</v>
      </c>
      <c r="X1028" s="21" t="s">
        <v>1144</v>
      </c>
    </row>
    <row r="1029" spans="8:24" ht="15.6" x14ac:dyDescent="0.3">
      <c r="H1029" s="8" t="s">
        <v>3472</v>
      </c>
      <c r="X1029" s="21" t="s">
        <v>1145</v>
      </c>
    </row>
    <row r="1030" spans="8:24" ht="15.6" x14ac:dyDescent="0.3">
      <c r="H1030" s="7" t="s">
        <v>2740</v>
      </c>
      <c r="X1030" s="21" t="s">
        <v>1146</v>
      </c>
    </row>
    <row r="1031" spans="8:24" ht="19.8" x14ac:dyDescent="0.3">
      <c r="H1031" s="8" t="s">
        <v>3473</v>
      </c>
      <c r="X1031" s="21" t="s">
        <v>1147</v>
      </c>
    </row>
    <row r="1032" spans="8:24" ht="15.6" x14ac:dyDescent="0.3">
      <c r="H1032" s="7" t="s">
        <v>3474</v>
      </c>
      <c r="X1032" s="21" t="s">
        <v>1309</v>
      </c>
    </row>
    <row r="1033" spans="8:24" ht="15.6" x14ac:dyDescent="0.3">
      <c r="H1033" s="8" t="s">
        <v>3475</v>
      </c>
      <c r="X1033" s="21" t="s">
        <v>1266</v>
      </c>
    </row>
    <row r="1034" spans="8:24" ht="15.6" x14ac:dyDescent="0.3">
      <c r="H1034" s="7" t="s">
        <v>3476</v>
      </c>
      <c r="X1034" s="21" t="s">
        <v>1113</v>
      </c>
    </row>
    <row r="1035" spans="8:24" ht="19.8" x14ac:dyDescent="0.3">
      <c r="H1035" s="8" t="s">
        <v>2748</v>
      </c>
      <c r="X1035" s="21" t="s">
        <v>1114</v>
      </c>
    </row>
    <row r="1036" spans="8:24" ht="15.6" x14ac:dyDescent="0.3">
      <c r="H1036" s="7" t="s">
        <v>3477</v>
      </c>
      <c r="X1036" s="21" t="s">
        <v>1228</v>
      </c>
    </row>
    <row r="1037" spans="8:24" ht="15.6" x14ac:dyDescent="0.3">
      <c r="H1037" s="8" t="s">
        <v>2749</v>
      </c>
      <c r="X1037" s="21" t="s">
        <v>1185</v>
      </c>
    </row>
    <row r="1038" spans="8:24" ht="15.6" x14ac:dyDescent="0.3">
      <c r="H1038" s="7" t="s">
        <v>3478</v>
      </c>
      <c r="X1038" s="21" t="s">
        <v>1186</v>
      </c>
    </row>
    <row r="1039" spans="8:24" ht="15.6" x14ac:dyDescent="0.3">
      <c r="H1039" s="8" t="s">
        <v>3479</v>
      </c>
      <c r="X1039" s="21" t="s">
        <v>1115</v>
      </c>
    </row>
    <row r="1040" spans="8:24" ht="15.6" x14ac:dyDescent="0.3">
      <c r="H1040" s="7" t="s">
        <v>3480</v>
      </c>
      <c r="X1040" s="21" t="s">
        <v>1409</v>
      </c>
    </row>
    <row r="1041" spans="8:24" ht="15.6" x14ac:dyDescent="0.3">
      <c r="H1041" s="8" t="s">
        <v>3481</v>
      </c>
      <c r="X1041" s="21" t="s">
        <v>1267</v>
      </c>
    </row>
    <row r="1042" spans="8:24" ht="15.6" x14ac:dyDescent="0.3">
      <c r="H1042" s="7" t="s">
        <v>3482</v>
      </c>
      <c r="X1042" s="21" t="s">
        <v>1268</v>
      </c>
    </row>
    <row r="1043" spans="8:24" ht="15.6" x14ac:dyDescent="0.3">
      <c r="H1043" s="8" t="s">
        <v>3483</v>
      </c>
      <c r="X1043" s="21" t="s">
        <v>1187</v>
      </c>
    </row>
    <row r="1044" spans="8:24" ht="15.6" x14ac:dyDescent="0.3">
      <c r="H1044" s="7" t="s">
        <v>3484</v>
      </c>
      <c r="X1044" s="21" t="s">
        <v>1269</v>
      </c>
    </row>
    <row r="1045" spans="8:24" ht="15.6" x14ac:dyDescent="0.3">
      <c r="H1045" s="8" t="s">
        <v>3485</v>
      </c>
      <c r="X1045" s="21" t="s">
        <v>1365</v>
      </c>
    </row>
    <row r="1046" spans="8:24" ht="15.6" x14ac:dyDescent="0.3">
      <c r="H1046" s="7" t="s">
        <v>3486</v>
      </c>
      <c r="X1046" s="21" t="s">
        <v>1366</v>
      </c>
    </row>
    <row r="1047" spans="8:24" ht="15.6" x14ac:dyDescent="0.3">
      <c r="H1047" s="8" t="s">
        <v>3487</v>
      </c>
      <c r="X1047" s="21" t="s">
        <v>1367</v>
      </c>
    </row>
    <row r="1048" spans="8:24" ht="15.6" x14ac:dyDescent="0.3">
      <c r="H1048" s="7" t="s">
        <v>3488</v>
      </c>
      <c r="X1048" s="21" t="s">
        <v>1368</v>
      </c>
    </row>
    <row r="1049" spans="8:24" ht="15.6" x14ac:dyDescent="0.3">
      <c r="H1049" s="8" t="s">
        <v>3489</v>
      </c>
      <c r="X1049" s="21" t="s">
        <v>1148</v>
      </c>
    </row>
    <row r="1050" spans="8:24" ht="15.6" x14ac:dyDescent="0.3">
      <c r="H1050" s="7" t="s">
        <v>3490</v>
      </c>
      <c r="X1050" s="21" t="s">
        <v>1188</v>
      </c>
    </row>
    <row r="1051" spans="8:24" ht="15.6" x14ac:dyDescent="0.3">
      <c r="H1051" s="8" t="s">
        <v>115</v>
      </c>
      <c r="X1051" s="21" t="s">
        <v>1250</v>
      </c>
    </row>
    <row r="1052" spans="8:24" ht="15.6" x14ac:dyDescent="0.3">
      <c r="H1052" s="7" t="s">
        <v>2729</v>
      </c>
      <c r="X1052" s="21" t="s">
        <v>1223</v>
      </c>
    </row>
    <row r="1053" spans="8:24" ht="15.6" x14ac:dyDescent="0.3">
      <c r="H1053" s="8" t="s">
        <v>3491</v>
      </c>
      <c r="X1053" s="21" t="s">
        <v>1251</v>
      </c>
    </row>
    <row r="1054" spans="8:24" ht="15.6" x14ac:dyDescent="0.3">
      <c r="H1054" s="7" t="s">
        <v>3492</v>
      </c>
      <c r="X1054" s="21" t="s">
        <v>1252</v>
      </c>
    </row>
    <row r="1055" spans="8:24" ht="15.6" x14ac:dyDescent="0.3">
      <c r="H1055" s="8" t="s">
        <v>3493</v>
      </c>
      <c r="X1055" s="21" t="s">
        <v>1270</v>
      </c>
    </row>
    <row r="1056" spans="8:24" ht="15.6" x14ac:dyDescent="0.3">
      <c r="H1056" s="7" t="s">
        <v>3494</v>
      </c>
      <c r="X1056" s="21" t="s">
        <v>1149</v>
      </c>
    </row>
    <row r="1057" spans="8:24" ht="15.6" x14ac:dyDescent="0.3">
      <c r="H1057" s="8" t="s">
        <v>3495</v>
      </c>
      <c r="X1057" s="21" t="s">
        <v>1150</v>
      </c>
    </row>
    <row r="1058" spans="8:24" ht="15.6" x14ac:dyDescent="0.3">
      <c r="H1058" s="7" t="s">
        <v>3496</v>
      </c>
      <c r="X1058" s="21" t="s">
        <v>1116</v>
      </c>
    </row>
    <row r="1059" spans="8:24" ht="15.6" x14ac:dyDescent="0.3">
      <c r="H1059" s="8" t="s">
        <v>3586</v>
      </c>
      <c r="X1059" s="21" t="s">
        <v>1151</v>
      </c>
    </row>
    <row r="1060" spans="8:24" x14ac:dyDescent="0.3">
      <c r="X1060" s="21" t="s">
        <v>1152</v>
      </c>
    </row>
    <row r="1061" spans="8:24" x14ac:dyDescent="0.3">
      <c r="X1061" s="21" t="s">
        <v>1324</v>
      </c>
    </row>
    <row r="1062" spans="8:24" ht="15.6" x14ac:dyDescent="0.3">
      <c r="H1062" s="10" t="s">
        <v>116</v>
      </c>
      <c r="X1062" s="21" t="s">
        <v>1325</v>
      </c>
    </row>
    <row r="1063" spans="8:24" ht="15.6" x14ac:dyDescent="0.3">
      <c r="H1063" s="11" t="s">
        <v>116</v>
      </c>
      <c r="X1063" s="21" t="s">
        <v>1253</v>
      </c>
    </row>
    <row r="1064" spans="8:24" x14ac:dyDescent="0.3">
      <c r="X1064" s="21" t="s">
        <v>1369</v>
      </c>
    </row>
    <row r="1065" spans="8:24" ht="15.6" x14ac:dyDescent="0.3">
      <c r="H1065" s="12" t="s">
        <v>20</v>
      </c>
      <c r="X1065" s="21" t="s">
        <v>1370</v>
      </c>
    </row>
    <row r="1066" spans="8:24" ht="15.6" x14ac:dyDescent="0.3">
      <c r="H1066" s="5" t="s">
        <v>3497</v>
      </c>
      <c r="X1066" s="21" t="s">
        <v>1371</v>
      </c>
    </row>
    <row r="1067" spans="8:24" ht="15.6" x14ac:dyDescent="0.3">
      <c r="H1067" s="6" t="s">
        <v>3498</v>
      </c>
      <c r="X1067" s="21" t="s">
        <v>1326</v>
      </c>
    </row>
    <row r="1068" spans="8:24" ht="15.6" x14ac:dyDescent="0.3">
      <c r="H1068" s="5" t="s">
        <v>3499</v>
      </c>
      <c r="X1068" s="21" t="s">
        <v>1117</v>
      </c>
    </row>
    <row r="1069" spans="8:24" ht="15.6" x14ac:dyDescent="0.3">
      <c r="H1069" s="6" t="s">
        <v>3500</v>
      </c>
      <c r="X1069" s="21" t="s">
        <v>1229</v>
      </c>
    </row>
    <row r="1070" spans="8:24" ht="15.6" x14ac:dyDescent="0.3">
      <c r="H1070" s="5" t="s">
        <v>3501</v>
      </c>
      <c r="X1070" s="21" t="s">
        <v>1271</v>
      </c>
    </row>
    <row r="1071" spans="8:24" ht="15.6" x14ac:dyDescent="0.3">
      <c r="H1071" s="6" t="s">
        <v>3502</v>
      </c>
      <c r="X1071" s="21" t="s">
        <v>1189</v>
      </c>
    </row>
    <row r="1072" spans="8:24" ht="15.6" x14ac:dyDescent="0.3">
      <c r="H1072" s="5" t="s">
        <v>3503</v>
      </c>
      <c r="X1072" s="21" t="s">
        <v>1190</v>
      </c>
    </row>
    <row r="1073" spans="8:24" ht="15.6" x14ac:dyDescent="0.3">
      <c r="H1073" s="6" t="s">
        <v>3504</v>
      </c>
      <c r="X1073" s="21" t="s">
        <v>1272</v>
      </c>
    </row>
    <row r="1074" spans="8:24" ht="15.6" x14ac:dyDescent="0.3">
      <c r="H1074" s="5" t="s">
        <v>117</v>
      </c>
      <c r="X1074" s="21" t="s">
        <v>1273</v>
      </c>
    </row>
    <row r="1075" spans="8:24" ht="15.6" x14ac:dyDescent="0.3">
      <c r="H1075" s="6" t="s">
        <v>3505</v>
      </c>
      <c r="X1075" s="21" t="s">
        <v>1118</v>
      </c>
    </row>
    <row r="1076" spans="8:24" ht="15.6" x14ac:dyDescent="0.3">
      <c r="H1076" s="5" t="s">
        <v>3506</v>
      </c>
      <c r="X1076" s="21" t="s">
        <v>1327</v>
      </c>
    </row>
    <row r="1077" spans="8:24" ht="15.6" x14ac:dyDescent="0.3">
      <c r="H1077" s="6" t="s">
        <v>3507</v>
      </c>
      <c r="X1077" s="21" t="s">
        <v>1328</v>
      </c>
    </row>
    <row r="1078" spans="8:24" ht="15.6" x14ac:dyDescent="0.3">
      <c r="H1078" s="5" t="s">
        <v>2727</v>
      </c>
      <c r="X1078" s="21" t="s">
        <v>1329</v>
      </c>
    </row>
    <row r="1079" spans="8:24" ht="15.6" x14ac:dyDescent="0.3">
      <c r="H1079" s="6" t="s">
        <v>2674</v>
      </c>
      <c r="X1079" s="21" t="s">
        <v>1330</v>
      </c>
    </row>
    <row r="1080" spans="8:24" ht="15.6" x14ac:dyDescent="0.3">
      <c r="H1080" s="5" t="s">
        <v>3508</v>
      </c>
      <c r="X1080" s="21" t="s">
        <v>1331</v>
      </c>
    </row>
    <row r="1081" spans="8:24" ht="15.6" x14ac:dyDescent="0.3">
      <c r="H1081" s="6" t="s">
        <v>3509</v>
      </c>
      <c r="X1081" s="21" t="s">
        <v>1332</v>
      </c>
    </row>
    <row r="1082" spans="8:24" ht="15.6" x14ac:dyDescent="0.3">
      <c r="H1082" s="5" t="s">
        <v>3387</v>
      </c>
      <c r="X1082" s="21" t="s">
        <v>1333</v>
      </c>
    </row>
    <row r="1083" spans="8:24" ht="15.6" x14ac:dyDescent="0.3">
      <c r="H1083" s="6" t="s">
        <v>3510</v>
      </c>
      <c r="X1083" s="21" t="s">
        <v>1191</v>
      </c>
    </row>
    <row r="1084" spans="8:24" ht="15.6" x14ac:dyDescent="0.3">
      <c r="H1084" s="5" t="s">
        <v>2699</v>
      </c>
      <c r="X1084" s="21" t="s">
        <v>1254</v>
      </c>
    </row>
    <row r="1085" spans="8:24" ht="15.6" x14ac:dyDescent="0.3">
      <c r="H1085" s="6" t="s">
        <v>3351</v>
      </c>
      <c r="X1085" s="21" t="s">
        <v>1153</v>
      </c>
    </row>
    <row r="1086" spans="8:24" ht="15.6" x14ac:dyDescent="0.3">
      <c r="H1086" s="5" t="s">
        <v>3511</v>
      </c>
      <c r="X1086" s="21" t="s">
        <v>1119</v>
      </c>
    </row>
    <row r="1087" spans="8:24" ht="15.6" x14ac:dyDescent="0.3">
      <c r="H1087" s="6" t="s">
        <v>3512</v>
      </c>
      <c r="X1087" s="21" t="s">
        <v>1334</v>
      </c>
    </row>
    <row r="1088" spans="8:24" ht="19.8" x14ac:dyDescent="0.3">
      <c r="H1088" s="5" t="s">
        <v>3513</v>
      </c>
      <c r="X1088" s="21" t="s">
        <v>1224</v>
      </c>
    </row>
    <row r="1089" spans="8:24" ht="15.6" x14ac:dyDescent="0.3">
      <c r="H1089" s="6" t="s">
        <v>2622</v>
      </c>
      <c r="X1089" s="21" t="s">
        <v>1410</v>
      </c>
    </row>
    <row r="1090" spans="8:24" ht="15.6" x14ac:dyDescent="0.3">
      <c r="H1090" s="5" t="s">
        <v>3514</v>
      </c>
      <c r="X1090" s="21" t="s">
        <v>1154</v>
      </c>
    </row>
    <row r="1091" spans="8:24" ht="15.6" x14ac:dyDescent="0.3">
      <c r="H1091" s="6" t="s">
        <v>3515</v>
      </c>
      <c r="X1091" s="21" t="s">
        <v>1155</v>
      </c>
    </row>
    <row r="1092" spans="8:24" x14ac:dyDescent="0.3">
      <c r="H1092"/>
      <c r="X1092" s="21" t="s">
        <v>1274</v>
      </c>
    </row>
    <row r="1093" spans="8:24" x14ac:dyDescent="0.3">
      <c r="H1093" s="2" t="s">
        <v>21</v>
      </c>
      <c r="X1093" s="21" t="s">
        <v>1255</v>
      </c>
    </row>
    <row r="1094" spans="8:24" ht="15.6" x14ac:dyDescent="0.3">
      <c r="H1094" s="7" t="s">
        <v>3162</v>
      </c>
      <c r="X1094" s="21" t="s">
        <v>1230</v>
      </c>
    </row>
    <row r="1095" spans="8:24" ht="31.2" x14ac:dyDescent="0.3">
      <c r="H1095" s="8" t="s">
        <v>3516</v>
      </c>
      <c r="X1095" s="21" t="s">
        <v>1256</v>
      </c>
    </row>
    <row r="1096" spans="8:24" ht="31.2" x14ac:dyDescent="0.3">
      <c r="H1096" s="7" t="s">
        <v>3517</v>
      </c>
      <c r="X1096" s="21" t="s">
        <v>1192</v>
      </c>
    </row>
    <row r="1097" spans="8:24" ht="15.6" x14ac:dyDescent="0.3">
      <c r="H1097" s="8" t="s">
        <v>3518</v>
      </c>
      <c r="X1097" s="21" t="s">
        <v>1372</v>
      </c>
    </row>
    <row r="1098" spans="8:24" ht="15.6" x14ac:dyDescent="0.3">
      <c r="H1098" s="7" t="s">
        <v>3519</v>
      </c>
      <c r="X1098" s="21" t="s">
        <v>1193</v>
      </c>
    </row>
    <row r="1099" spans="8:24" ht="15.6" x14ac:dyDescent="0.3">
      <c r="H1099" s="8" t="s">
        <v>3520</v>
      </c>
      <c r="X1099" s="21" t="s">
        <v>1335</v>
      </c>
    </row>
    <row r="1100" spans="8:24" ht="15.6" x14ac:dyDescent="0.3">
      <c r="H1100" s="7" t="s">
        <v>118</v>
      </c>
      <c r="X1100" s="21" t="s">
        <v>1373</v>
      </c>
    </row>
    <row r="1101" spans="8:24" ht="15.6" x14ac:dyDescent="0.3">
      <c r="H1101" s="8" t="s">
        <v>3521</v>
      </c>
      <c r="X1101" s="21" t="s">
        <v>1374</v>
      </c>
    </row>
    <row r="1102" spans="8:24" ht="15.6" x14ac:dyDescent="0.3">
      <c r="H1102" s="7" t="s">
        <v>3522</v>
      </c>
      <c r="X1102" s="21" t="s">
        <v>1231</v>
      </c>
    </row>
    <row r="1103" spans="8:24" ht="15.6" x14ac:dyDescent="0.3">
      <c r="H1103" s="8" t="s">
        <v>3523</v>
      </c>
      <c r="X1103" s="21" t="s">
        <v>1232</v>
      </c>
    </row>
    <row r="1104" spans="8:24" ht="15.6" x14ac:dyDescent="0.3">
      <c r="H1104" s="7" t="s">
        <v>3331</v>
      </c>
      <c r="X1104" s="21" t="s">
        <v>1375</v>
      </c>
    </row>
    <row r="1105" spans="8:24" ht="31.2" x14ac:dyDescent="0.3">
      <c r="H1105" s="8" t="s">
        <v>3524</v>
      </c>
      <c r="X1105" s="21" t="s">
        <v>536</v>
      </c>
    </row>
    <row r="1106" spans="8:24" ht="31.2" x14ac:dyDescent="0.3">
      <c r="H1106" s="7" t="s">
        <v>3525</v>
      </c>
      <c r="X1106" s="21" t="s">
        <v>1275</v>
      </c>
    </row>
    <row r="1107" spans="8:24" ht="15.6" x14ac:dyDescent="0.3">
      <c r="H1107" s="8" t="s">
        <v>2725</v>
      </c>
      <c r="X1107" s="21" t="s">
        <v>1156</v>
      </c>
    </row>
    <row r="1108" spans="8:24" ht="15.6" x14ac:dyDescent="0.3">
      <c r="H1108" s="7" t="s">
        <v>3526</v>
      </c>
      <c r="X1108" s="21" t="s">
        <v>1194</v>
      </c>
    </row>
    <row r="1109" spans="8:24" ht="15.6" x14ac:dyDescent="0.3">
      <c r="H1109" s="8" t="s">
        <v>2898</v>
      </c>
      <c r="X1109" s="21" t="s">
        <v>1233</v>
      </c>
    </row>
    <row r="1110" spans="8:24" x14ac:dyDescent="0.3">
      <c r="H1110"/>
      <c r="X1110" s="21" t="s">
        <v>1376</v>
      </c>
    </row>
    <row r="1111" spans="8:24" x14ac:dyDescent="0.3">
      <c r="H1111" s="2" t="s">
        <v>22</v>
      </c>
      <c r="X1111" s="21" t="s">
        <v>1377</v>
      </c>
    </row>
    <row r="1112" spans="8:24" ht="15.6" x14ac:dyDescent="0.3">
      <c r="H1112" s="7" t="s">
        <v>3527</v>
      </c>
      <c r="X1112" s="21" t="s">
        <v>1157</v>
      </c>
    </row>
    <row r="1113" spans="8:24" ht="15.6" x14ac:dyDescent="0.3">
      <c r="H1113" s="8" t="s">
        <v>3528</v>
      </c>
      <c r="X1113" s="21" t="s">
        <v>1195</v>
      </c>
    </row>
    <row r="1114" spans="8:24" ht="15.6" x14ac:dyDescent="0.3">
      <c r="H1114" s="7" t="s">
        <v>3529</v>
      </c>
      <c r="X1114" s="21" t="s">
        <v>1196</v>
      </c>
    </row>
    <row r="1115" spans="8:24" ht="15.6" x14ac:dyDescent="0.3">
      <c r="H1115" s="8" t="s">
        <v>3530</v>
      </c>
      <c r="X1115" s="21" t="s">
        <v>1276</v>
      </c>
    </row>
    <row r="1116" spans="8:24" ht="15.6" x14ac:dyDescent="0.3">
      <c r="H1116" s="7" t="s">
        <v>3531</v>
      </c>
      <c r="X1116" s="21" t="s">
        <v>1277</v>
      </c>
    </row>
    <row r="1117" spans="8:24" ht="15.6" x14ac:dyDescent="0.3">
      <c r="H1117" s="8" t="s">
        <v>3532</v>
      </c>
      <c r="X1117" s="21" t="s">
        <v>1378</v>
      </c>
    </row>
    <row r="1118" spans="8:24" ht="15.6" x14ac:dyDescent="0.3">
      <c r="H1118" s="7" t="s">
        <v>3533</v>
      </c>
      <c r="X1118" s="21" t="s">
        <v>1234</v>
      </c>
    </row>
    <row r="1119" spans="8:24" ht="15.6" x14ac:dyDescent="0.3">
      <c r="H1119" s="8" t="s">
        <v>3534</v>
      </c>
      <c r="X1119" s="21" t="s">
        <v>1197</v>
      </c>
    </row>
    <row r="1120" spans="8:24" ht="15.6" x14ac:dyDescent="0.3">
      <c r="H1120" s="7" t="s">
        <v>3535</v>
      </c>
      <c r="X1120" s="21" t="s">
        <v>1158</v>
      </c>
    </row>
    <row r="1121" spans="8:24" ht="15.6" x14ac:dyDescent="0.3">
      <c r="H1121" s="8" t="s">
        <v>3536</v>
      </c>
      <c r="X1121" s="21" t="s">
        <v>538</v>
      </c>
    </row>
    <row r="1122" spans="8:24" ht="15.6" x14ac:dyDescent="0.3">
      <c r="H1122" s="7" t="s">
        <v>3537</v>
      </c>
      <c r="X1122" s="21" t="s">
        <v>1198</v>
      </c>
    </row>
    <row r="1123" spans="8:24" ht="15.6" x14ac:dyDescent="0.3">
      <c r="H1123" s="8" t="s">
        <v>2870</v>
      </c>
      <c r="X1123" s="21" t="s">
        <v>1199</v>
      </c>
    </row>
    <row r="1124" spans="8:24" ht="15.6" x14ac:dyDescent="0.3">
      <c r="H1124" s="7" t="s">
        <v>3538</v>
      </c>
      <c r="X1124" s="21" t="s">
        <v>1200</v>
      </c>
    </row>
    <row r="1125" spans="8:24" ht="31.2" x14ac:dyDescent="0.3">
      <c r="H1125" s="8" t="s">
        <v>3539</v>
      </c>
      <c r="X1125" s="21" t="s">
        <v>1159</v>
      </c>
    </row>
    <row r="1126" spans="8:24" ht="15.6" x14ac:dyDescent="0.3">
      <c r="H1126" s="7" t="s">
        <v>3540</v>
      </c>
      <c r="X1126" s="21" t="s">
        <v>1120</v>
      </c>
    </row>
    <row r="1127" spans="8:24" ht="15.6" x14ac:dyDescent="0.3">
      <c r="H1127" s="8" t="s">
        <v>3541</v>
      </c>
      <c r="X1127" s="21" t="s">
        <v>1121</v>
      </c>
    </row>
    <row r="1128" spans="8:24" ht="15.6" x14ac:dyDescent="0.3">
      <c r="H1128" s="7" t="s">
        <v>2751</v>
      </c>
      <c r="X1128" s="21" t="s">
        <v>1225</v>
      </c>
    </row>
    <row r="1129" spans="8:24" ht="15.6" x14ac:dyDescent="0.3">
      <c r="H1129" s="8" t="s">
        <v>2734</v>
      </c>
      <c r="X1129" s="21" t="s">
        <v>1160</v>
      </c>
    </row>
    <row r="1130" spans="8:24" ht="15.6" x14ac:dyDescent="0.3">
      <c r="H1130" s="7" t="s">
        <v>119</v>
      </c>
      <c r="X1130" s="21" t="s">
        <v>1122</v>
      </c>
    </row>
    <row r="1131" spans="8:24" x14ac:dyDescent="0.3">
      <c r="H1131"/>
      <c r="X1131" s="21" t="s">
        <v>1257</v>
      </c>
    </row>
    <row r="1132" spans="8:24" x14ac:dyDescent="0.3">
      <c r="H1132" s="2" t="s">
        <v>23</v>
      </c>
      <c r="X1132" s="21" t="s">
        <v>1161</v>
      </c>
    </row>
    <row r="1133" spans="8:24" ht="15.6" x14ac:dyDescent="0.3">
      <c r="H1133" s="8" t="s">
        <v>3558</v>
      </c>
      <c r="X1133" s="21" t="s">
        <v>1123</v>
      </c>
    </row>
    <row r="1134" spans="8:24" ht="15.6" x14ac:dyDescent="0.3">
      <c r="H1134" s="7" t="s">
        <v>3077</v>
      </c>
      <c r="X1134" s="21" t="s">
        <v>1278</v>
      </c>
    </row>
    <row r="1135" spans="8:24" ht="15.6" x14ac:dyDescent="0.3">
      <c r="H1135" s="7" t="s">
        <v>3542</v>
      </c>
      <c r="X1135" s="21" t="s">
        <v>1124</v>
      </c>
    </row>
    <row r="1136" spans="8:24" ht="15.6" x14ac:dyDescent="0.3">
      <c r="H1136" s="8" t="s">
        <v>3078</v>
      </c>
      <c r="X1136" s="21" t="s">
        <v>1125</v>
      </c>
    </row>
    <row r="1137" spans="8:24" ht="15.6" x14ac:dyDescent="0.3">
      <c r="H1137" s="7" t="s">
        <v>3079</v>
      </c>
      <c r="X1137" s="21" t="s">
        <v>1379</v>
      </c>
    </row>
    <row r="1138" spans="8:24" ht="15.6" x14ac:dyDescent="0.3">
      <c r="H1138" s="8" t="s">
        <v>2809</v>
      </c>
      <c r="X1138" s="21" t="s">
        <v>1279</v>
      </c>
    </row>
    <row r="1139" spans="8:24" ht="15.6" x14ac:dyDescent="0.3">
      <c r="H1139" s="8" t="s">
        <v>2809</v>
      </c>
      <c r="X1139" s="21" t="s">
        <v>1380</v>
      </c>
    </row>
    <row r="1140" spans="8:24" ht="15.6" x14ac:dyDescent="0.3">
      <c r="H1140" s="7" t="s">
        <v>3235</v>
      </c>
      <c r="X1140" s="21" t="s">
        <v>1336</v>
      </c>
    </row>
    <row r="1141" spans="8:24" ht="15.6" x14ac:dyDescent="0.3">
      <c r="H1141" s="7" t="s">
        <v>80</v>
      </c>
      <c r="X1141" s="21" t="s">
        <v>1337</v>
      </c>
    </row>
    <row r="1142" spans="8:24" ht="15.6" x14ac:dyDescent="0.3">
      <c r="H1142" s="8" t="s">
        <v>3543</v>
      </c>
      <c r="X1142" s="21" t="s">
        <v>1338</v>
      </c>
    </row>
    <row r="1143" spans="8:24" ht="15.6" x14ac:dyDescent="0.3">
      <c r="H1143" s="8" t="s">
        <v>3080</v>
      </c>
      <c r="X1143" s="21" t="s">
        <v>1339</v>
      </c>
    </row>
    <row r="1144" spans="8:24" ht="15.6" x14ac:dyDescent="0.3">
      <c r="H1144" s="7" t="s">
        <v>3081</v>
      </c>
      <c r="X1144" s="21" t="s">
        <v>1340</v>
      </c>
    </row>
    <row r="1145" spans="8:24" ht="15.6" x14ac:dyDescent="0.3">
      <c r="H1145" s="8" t="s">
        <v>3082</v>
      </c>
      <c r="X1145" s="21" t="s">
        <v>1341</v>
      </c>
    </row>
    <row r="1146" spans="8:24" ht="15.6" x14ac:dyDescent="0.3">
      <c r="H1146" s="7" t="s">
        <v>3544</v>
      </c>
      <c r="X1146" s="21" t="s">
        <v>1342</v>
      </c>
    </row>
    <row r="1147" spans="8:24" ht="15.6" x14ac:dyDescent="0.3">
      <c r="H1147" s="8" t="s">
        <v>3545</v>
      </c>
      <c r="X1147" s="21" t="s">
        <v>3585</v>
      </c>
    </row>
    <row r="1148" spans="8:24" ht="15.6" x14ac:dyDescent="0.3">
      <c r="H1148" s="7" t="s">
        <v>81</v>
      </c>
      <c r="X1148" s="21" t="s">
        <v>1343</v>
      </c>
    </row>
    <row r="1149" spans="8:24" ht="15.6" x14ac:dyDescent="0.3">
      <c r="H1149" s="8" t="s">
        <v>82</v>
      </c>
      <c r="X1149" s="21" t="s">
        <v>1162</v>
      </c>
    </row>
    <row r="1150" spans="8:24" ht="15.6" x14ac:dyDescent="0.3">
      <c r="H1150" s="7" t="s">
        <v>3546</v>
      </c>
      <c r="X1150" s="21" t="s">
        <v>1381</v>
      </c>
    </row>
    <row r="1151" spans="8:24" ht="15.6" x14ac:dyDescent="0.3">
      <c r="H1151" s="7" t="s">
        <v>2913</v>
      </c>
      <c r="X1151" s="21" t="s">
        <v>1163</v>
      </c>
    </row>
    <row r="1152" spans="8:24" ht="15.6" x14ac:dyDescent="0.3">
      <c r="H1152" s="8" t="s">
        <v>3083</v>
      </c>
      <c r="X1152" s="21" t="s">
        <v>1235</v>
      </c>
    </row>
    <row r="1153" spans="8:24" ht="15.6" x14ac:dyDescent="0.3">
      <c r="H1153" s="8" t="s">
        <v>3547</v>
      </c>
      <c r="X1153" s="21" t="s">
        <v>1236</v>
      </c>
    </row>
    <row r="1154" spans="8:24" ht="15.6" x14ac:dyDescent="0.3">
      <c r="H1154" s="7" t="s">
        <v>3084</v>
      </c>
      <c r="X1154" s="21" t="s">
        <v>1126</v>
      </c>
    </row>
    <row r="1155" spans="8:24" ht="15.6" x14ac:dyDescent="0.3">
      <c r="H1155" s="8" t="s">
        <v>3085</v>
      </c>
      <c r="X1155" s="21" t="s">
        <v>1344</v>
      </c>
    </row>
    <row r="1156" spans="8:24" ht="15.6" x14ac:dyDescent="0.3">
      <c r="H1156" s="7" t="s">
        <v>3086</v>
      </c>
      <c r="X1156" s="21" t="s">
        <v>1345</v>
      </c>
    </row>
    <row r="1157" spans="8:24" ht="15.6" x14ac:dyDescent="0.3">
      <c r="H1157" s="8" t="s">
        <v>3087</v>
      </c>
      <c r="X1157" s="21" t="s">
        <v>1127</v>
      </c>
    </row>
    <row r="1158" spans="8:24" ht="15.6" x14ac:dyDescent="0.3">
      <c r="H1158" s="7" t="s">
        <v>3088</v>
      </c>
      <c r="X1158" s="21" t="s">
        <v>1128</v>
      </c>
    </row>
    <row r="1159" spans="8:24" ht="15.6" x14ac:dyDescent="0.3">
      <c r="H1159" s="7" t="s">
        <v>3279</v>
      </c>
      <c r="X1159" s="21" t="s">
        <v>1129</v>
      </c>
    </row>
    <row r="1160" spans="8:24" ht="15.6" x14ac:dyDescent="0.3">
      <c r="H1160" s="8" t="s">
        <v>118</v>
      </c>
      <c r="X1160" s="21" t="s">
        <v>450</v>
      </c>
    </row>
    <row r="1161" spans="8:24" ht="15.6" x14ac:dyDescent="0.3">
      <c r="H1161" s="8" t="s">
        <v>3089</v>
      </c>
      <c r="X1161" s="21" t="s">
        <v>1280</v>
      </c>
    </row>
    <row r="1162" spans="8:24" ht="15.6" x14ac:dyDescent="0.3">
      <c r="H1162" s="7" t="s">
        <v>3090</v>
      </c>
      <c r="X1162" s="21" t="s">
        <v>1281</v>
      </c>
    </row>
    <row r="1163" spans="8:24" ht="15.6" x14ac:dyDescent="0.3">
      <c r="H1163" s="8" t="s">
        <v>3091</v>
      </c>
      <c r="X1163" s="21" t="s">
        <v>1382</v>
      </c>
    </row>
    <row r="1164" spans="8:24" ht="15.6" x14ac:dyDescent="0.3">
      <c r="H1164" s="7" t="s">
        <v>3548</v>
      </c>
      <c r="X1164" s="21" t="s">
        <v>1383</v>
      </c>
    </row>
    <row r="1165" spans="8:24" ht="15.6" x14ac:dyDescent="0.3">
      <c r="H1165" s="8" t="s">
        <v>3549</v>
      </c>
      <c r="X1165" s="21" t="s">
        <v>1201</v>
      </c>
    </row>
    <row r="1166" spans="8:24" ht="15.6" x14ac:dyDescent="0.3">
      <c r="H1166" s="7" t="s">
        <v>3550</v>
      </c>
      <c r="X1166" s="21" t="s">
        <v>409</v>
      </c>
    </row>
    <row r="1167" spans="8:24" ht="15.6" x14ac:dyDescent="0.3">
      <c r="H1167" s="8" t="s">
        <v>3551</v>
      </c>
      <c r="X1167" s="21" t="s">
        <v>1130</v>
      </c>
    </row>
    <row r="1168" spans="8:24" ht="15.6" x14ac:dyDescent="0.3">
      <c r="H1168" s="7" t="s">
        <v>3092</v>
      </c>
      <c r="X1168" s="21" t="s">
        <v>1131</v>
      </c>
    </row>
    <row r="1169" spans="8:24" ht="15.6" x14ac:dyDescent="0.3">
      <c r="H1169" s="8" t="s">
        <v>3093</v>
      </c>
      <c r="X1169" s="21" t="s">
        <v>451</v>
      </c>
    </row>
    <row r="1170" spans="8:24" ht="15.6" x14ac:dyDescent="0.3">
      <c r="H1170" s="7" t="s">
        <v>3552</v>
      </c>
      <c r="X1170" s="21" t="s">
        <v>1202</v>
      </c>
    </row>
    <row r="1171" spans="8:24" ht="15.6" x14ac:dyDescent="0.3">
      <c r="H1171" s="7" t="s">
        <v>2854</v>
      </c>
      <c r="X1171" s="21" t="s">
        <v>1203</v>
      </c>
    </row>
    <row r="1172" spans="8:24" ht="15.6" x14ac:dyDescent="0.3">
      <c r="H1172" s="8" t="s">
        <v>3448</v>
      </c>
      <c r="X1172" s="21" t="s">
        <v>1384</v>
      </c>
    </row>
    <row r="1173" spans="8:24" ht="15.6" x14ac:dyDescent="0.3">
      <c r="H1173" s="8" t="s">
        <v>51</v>
      </c>
      <c r="X1173" s="21" t="s">
        <v>1305</v>
      </c>
    </row>
    <row r="1174" spans="8:24" ht="15.6" x14ac:dyDescent="0.3">
      <c r="H1174" s="7" t="s">
        <v>120</v>
      </c>
      <c r="X1174" s="21" t="s">
        <v>1282</v>
      </c>
    </row>
    <row r="1175" spans="8:24" ht="15.6" x14ac:dyDescent="0.3">
      <c r="H1175" s="8" t="s">
        <v>3553</v>
      </c>
      <c r="X1175" s="21" t="s">
        <v>1283</v>
      </c>
    </row>
    <row r="1176" spans="8:24" ht="15.6" x14ac:dyDescent="0.3">
      <c r="H1176" s="7" t="s">
        <v>2626</v>
      </c>
      <c r="X1176" s="21" t="s">
        <v>1164</v>
      </c>
    </row>
    <row r="1177" spans="8:24" ht="15.6" x14ac:dyDescent="0.3">
      <c r="H1177" s="8" t="s">
        <v>2709</v>
      </c>
      <c r="X1177" s="21" t="s">
        <v>1284</v>
      </c>
    </row>
    <row r="1178" spans="8:24" ht="15.6" x14ac:dyDescent="0.3">
      <c r="H1178" s="7" t="s">
        <v>2621</v>
      </c>
      <c r="X1178" s="21" t="s">
        <v>1237</v>
      </c>
    </row>
    <row r="1179" spans="8:24" ht="15.6" x14ac:dyDescent="0.3">
      <c r="H1179" s="7" t="s">
        <v>2720</v>
      </c>
      <c r="X1179" s="21" t="s">
        <v>1285</v>
      </c>
    </row>
    <row r="1180" spans="8:24" ht="15.6" x14ac:dyDescent="0.3">
      <c r="H1180" s="8" t="s">
        <v>121</v>
      </c>
      <c r="X1180" s="21" t="s">
        <v>1165</v>
      </c>
    </row>
    <row r="1181" spans="8:24" ht="15.6" x14ac:dyDescent="0.3">
      <c r="H1181" s="8" t="s">
        <v>3094</v>
      </c>
      <c r="X1181" s="21" t="s">
        <v>1411</v>
      </c>
    </row>
    <row r="1182" spans="8:24" ht="15.6" x14ac:dyDescent="0.3">
      <c r="H1182" s="7" t="s">
        <v>122</v>
      </c>
      <c r="X1182" s="21" t="s">
        <v>1132</v>
      </c>
    </row>
    <row r="1183" spans="8:24" ht="15.6" x14ac:dyDescent="0.3">
      <c r="H1183" s="8" t="s">
        <v>3554</v>
      </c>
      <c r="X1183" s="21" t="s">
        <v>1166</v>
      </c>
    </row>
    <row r="1184" spans="8:24" ht="15.6" x14ac:dyDescent="0.3">
      <c r="H1184" s="7" t="s">
        <v>3555</v>
      </c>
      <c r="X1184" s="21" t="s">
        <v>1412</v>
      </c>
    </row>
    <row r="1185" spans="8:24" ht="15.6" x14ac:dyDescent="0.3">
      <c r="H1185" s="8" t="s">
        <v>123</v>
      </c>
      <c r="X1185" s="21" t="s">
        <v>1133</v>
      </c>
    </row>
    <row r="1186" spans="8:24" ht="15.6" x14ac:dyDescent="0.3">
      <c r="H1186" s="7" t="s">
        <v>3095</v>
      </c>
      <c r="X1186" s="21" t="s">
        <v>1134</v>
      </c>
    </row>
    <row r="1187" spans="8:24" ht="15.6" x14ac:dyDescent="0.3">
      <c r="H1187" s="7" t="s">
        <v>3556</v>
      </c>
      <c r="X1187" s="21" t="s">
        <v>1238</v>
      </c>
    </row>
    <row r="1188" spans="8:24" ht="15.6" x14ac:dyDescent="0.3">
      <c r="H1188" s="8" t="s">
        <v>124</v>
      </c>
      <c r="X1188" s="21" t="s">
        <v>1413</v>
      </c>
    </row>
    <row r="1189" spans="8:24" ht="15.6" x14ac:dyDescent="0.3">
      <c r="H1189" s="8" t="s">
        <v>2630</v>
      </c>
      <c r="X1189" s="21" t="s">
        <v>1135</v>
      </c>
    </row>
    <row r="1190" spans="8:24" ht="15.6" x14ac:dyDescent="0.3">
      <c r="H1190" s="7" t="s">
        <v>3096</v>
      </c>
      <c r="X1190" s="21" t="s">
        <v>1414</v>
      </c>
    </row>
    <row r="1191" spans="8:24" ht="15.6" x14ac:dyDescent="0.3">
      <c r="H1191" s="8" t="s">
        <v>3097</v>
      </c>
      <c r="X1191" s="21" t="s">
        <v>1167</v>
      </c>
    </row>
    <row r="1192" spans="8:24" ht="15.6" x14ac:dyDescent="0.3">
      <c r="H1192" s="7" t="s">
        <v>2728</v>
      </c>
      <c r="X1192" s="21" t="s">
        <v>1346</v>
      </c>
    </row>
    <row r="1193" spans="8:24" ht="15.6" x14ac:dyDescent="0.3">
      <c r="H1193" s="7" t="s">
        <v>3098</v>
      </c>
      <c r="X1193" s="21" t="s">
        <v>1204</v>
      </c>
    </row>
    <row r="1194" spans="8:24" ht="15.6" x14ac:dyDescent="0.3">
      <c r="H1194" s="8" t="s">
        <v>3557</v>
      </c>
      <c r="X1194" s="21" t="s">
        <v>1385</v>
      </c>
    </row>
    <row r="1195" spans="8:24" ht="15.6" x14ac:dyDescent="0.3">
      <c r="H1195" s="7" t="s">
        <v>2959</v>
      </c>
      <c r="X1195" s="21" t="s">
        <v>1168</v>
      </c>
    </row>
    <row r="1196" spans="8:24" ht="15.6" x14ac:dyDescent="0.3">
      <c r="H1196" s="8" t="s">
        <v>3099</v>
      </c>
      <c r="X1196" s="21" t="s">
        <v>1347</v>
      </c>
    </row>
    <row r="1197" spans="8:24" ht="15.6" x14ac:dyDescent="0.3">
      <c r="H1197" s="7" t="s">
        <v>3559</v>
      </c>
      <c r="X1197" s="21" t="s">
        <v>1205</v>
      </c>
    </row>
    <row r="1198" spans="8:24" ht="15.6" x14ac:dyDescent="0.3">
      <c r="H1198" s="8" t="s">
        <v>125</v>
      </c>
      <c r="X1198" s="21" t="s">
        <v>1415</v>
      </c>
    </row>
    <row r="1199" spans="8:24" ht="15.6" x14ac:dyDescent="0.3">
      <c r="H1199" s="7" t="s">
        <v>3137</v>
      </c>
      <c r="X1199" s="21" t="s">
        <v>1136</v>
      </c>
    </row>
    <row r="1200" spans="8:24" ht="15.6" x14ac:dyDescent="0.3">
      <c r="H1200" s="8" t="s">
        <v>3560</v>
      </c>
      <c r="X1200" s="21" t="s">
        <v>1206</v>
      </c>
    </row>
    <row r="1201" spans="8:24" ht="15.6" x14ac:dyDescent="0.3">
      <c r="H1201" s="7" t="s">
        <v>3561</v>
      </c>
      <c r="X1201" s="21" t="s">
        <v>1286</v>
      </c>
    </row>
    <row r="1202" spans="8:24" ht="15.6" x14ac:dyDescent="0.3">
      <c r="H1202" s="8" t="s">
        <v>3562</v>
      </c>
      <c r="X1202" s="21" t="s">
        <v>1137</v>
      </c>
    </row>
    <row r="1203" spans="8:24" ht="15.6" x14ac:dyDescent="0.3">
      <c r="H1203" s="7" t="s">
        <v>2623</v>
      </c>
      <c r="X1203" s="21" t="s">
        <v>1386</v>
      </c>
    </row>
    <row r="1204" spans="8:24" ht="15.6" x14ac:dyDescent="0.3">
      <c r="H1204" s="7" t="s">
        <v>3563</v>
      </c>
      <c r="X1204" s="21" t="s">
        <v>1169</v>
      </c>
    </row>
    <row r="1205" spans="8:24" ht="15.6" x14ac:dyDescent="0.3">
      <c r="H1205" s="8" t="s">
        <v>2714</v>
      </c>
      <c r="X1205" s="21" t="s">
        <v>1348</v>
      </c>
    </row>
    <row r="1206" spans="8:24" ht="15.6" x14ac:dyDescent="0.3">
      <c r="H1206" s="7" t="s">
        <v>3100</v>
      </c>
      <c r="X1206" s="21" t="s">
        <v>1387</v>
      </c>
    </row>
    <row r="1207" spans="8:24" ht="15.6" x14ac:dyDescent="0.3">
      <c r="H1207" s="8" t="s">
        <v>3101</v>
      </c>
      <c r="X1207" s="21" t="s">
        <v>1349</v>
      </c>
    </row>
    <row r="1208" spans="8:24" ht="15.6" x14ac:dyDescent="0.3">
      <c r="H1208" s="7" t="s">
        <v>3102</v>
      </c>
      <c r="X1208" s="21" t="s">
        <v>1350</v>
      </c>
    </row>
    <row r="1209" spans="8:24" ht="15.6" x14ac:dyDescent="0.3">
      <c r="H1209" s="8" t="s">
        <v>3103</v>
      </c>
      <c r="X1209" s="21" t="s">
        <v>1388</v>
      </c>
    </row>
    <row r="1210" spans="8:24" ht="15.6" x14ac:dyDescent="0.3">
      <c r="H1210" s="8" t="s">
        <v>1408</v>
      </c>
      <c r="X1210" s="21" t="s">
        <v>1207</v>
      </c>
    </row>
    <row r="1211" spans="8:24" ht="15.6" x14ac:dyDescent="0.3">
      <c r="H1211" s="7" t="s">
        <v>3104</v>
      </c>
      <c r="X1211" s="21" t="s">
        <v>1306</v>
      </c>
    </row>
    <row r="1212" spans="8:24" ht="15.6" x14ac:dyDescent="0.3">
      <c r="H1212" s="8" t="s">
        <v>3105</v>
      </c>
      <c r="X1212" s="21" t="s">
        <v>1307</v>
      </c>
    </row>
    <row r="1213" spans="8:24" ht="15.6" x14ac:dyDescent="0.3">
      <c r="H1213" s="7" t="s">
        <v>3106</v>
      </c>
      <c r="X1213" s="21" t="s">
        <v>1208</v>
      </c>
    </row>
    <row r="1214" spans="8:24" ht="19.8" x14ac:dyDescent="0.3">
      <c r="H1214"/>
      <c r="X1214" s="21" t="s">
        <v>1287</v>
      </c>
    </row>
    <row r="1215" spans="8:24" x14ac:dyDescent="0.3">
      <c r="H1215" s="2" t="s">
        <v>24</v>
      </c>
      <c r="X1215" s="21" t="s">
        <v>1351</v>
      </c>
    </row>
    <row r="1216" spans="8:24" x14ac:dyDescent="0.3">
      <c r="H1216" s="2" t="s">
        <v>3564</v>
      </c>
      <c r="X1216" s="21" t="s">
        <v>1258</v>
      </c>
    </row>
    <row r="1217" spans="8:24" x14ac:dyDescent="0.3">
      <c r="H1217" s="2" t="s">
        <v>3565</v>
      </c>
      <c r="X1217" s="21" t="s">
        <v>1389</v>
      </c>
    </row>
    <row r="1218" spans="8:24" x14ac:dyDescent="0.3">
      <c r="H1218" s="2" t="s">
        <v>3566</v>
      </c>
      <c r="X1218" s="22" t="s">
        <v>1288</v>
      </c>
    </row>
    <row r="1219" spans="8:24" x14ac:dyDescent="0.3">
      <c r="H1219" s="2" t="s">
        <v>3567</v>
      </c>
      <c r="X1219" s="21" t="s">
        <v>1289</v>
      </c>
    </row>
    <row r="1220" spans="8:24" x14ac:dyDescent="0.3">
      <c r="H1220" s="2" t="s">
        <v>3568</v>
      </c>
      <c r="X1220" s="21" t="s">
        <v>1390</v>
      </c>
    </row>
    <row r="1221" spans="8:24" x14ac:dyDescent="0.3">
      <c r="H1221" s="2" t="s">
        <v>3569</v>
      </c>
      <c r="X1221" s="21" t="s">
        <v>1391</v>
      </c>
    </row>
    <row r="1222" spans="8:24" x14ac:dyDescent="0.3">
      <c r="H1222" s="2" t="s">
        <v>3570</v>
      </c>
      <c r="X1222" s="21" t="s">
        <v>1239</v>
      </c>
    </row>
    <row r="1223" spans="8:24" x14ac:dyDescent="0.3">
      <c r="H1223" s="2" t="s">
        <v>3571</v>
      </c>
      <c r="X1223" s="21" t="s">
        <v>1240</v>
      </c>
    </row>
    <row r="1224" spans="8:24" x14ac:dyDescent="0.3">
      <c r="H1224" s="2" t="s">
        <v>3572</v>
      </c>
      <c r="X1224" s="21" t="s">
        <v>1209</v>
      </c>
    </row>
    <row r="1225" spans="8:24" x14ac:dyDescent="0.3">
      <c r="H1225" s="2" t="s">
        <v>3573</v>
      </c>
      <c r="X1225" s="21" t="s">
        <v>1392</v>
      </c>
    </row>
    <row r="1226" spans="8:24" x14ac:dyDescent="0.3">
      <c r="H1226" s="2" t="s">
        <v>3574</v>
      </c>
      <c r="X1226" s="21" t="s">
        <v>1170</v>
      </c>
    </row>
    <row r="1227" spans="8:24" x14ac:dyDescent="0.3">
      <c r="H1227" s="2" t="s">
        <v>2717</v>
      </c>
      <c r="X1227" s="21" t="s">
        <v>1171</v>
      </c>
    </row>
    <row r="1228" spans="8:24" x14ac:dyDescent="0.3">
      <c r="H1228" s="2" t="s">
        <v>3575</v>
      </c>
      <c r="X1228" s="21" t="s">
        <v>1138</v>
      </c>
    </row>
    <row r="1229" spans="8:24" x14ac:dyDescent="0.3">
      <c r="H1229" s="2" t="s">
        <v>3576</v>
      </c>
      <c r="X1229" s="21" t="s">
        <v>1290</v>
      </c>
    </row>
    <row r="1230" spans="8:24" x14ac:dyDescent="0.3">
      <c r="H1230" s="2" t="s">
        <v>126</v>
      </c>
      <c r="X1230" s="21" t="s">
        <v>1393</v>
      </c>
    </row>
    <row r="1231" spans="8:24" x14ac:dyDescent="0.3">
      <c r="H1231" s="2" t="s">
        <v>3577</v>
      </c>
      <c r="X1231" s="21" t="s">
        <v>1394</v>
      </c>
    </row>
    <row r="1232" spans="8:24" ht="19.8" x14ac:dyDescent="0.3">
      <c r="H1232" s="2" t="s">
        <v>3578</v>
      </c>
      <c r="X1232" s="21" t="s">
        <v>1395</v>
      </c>
    </row>
    <row r="1233" spans="8:24" x14ac:dyDescent="0.3">
      <c r="H1233" s="2" t="s">
        <v>3579</v>
      </c>
      <c r="X1233" s="21" t="s">
        <v>1396</v>
      </c>
    </row>
    <row r="1234" spans="8:24" x14ac:dyDescent="0.3">
      <c r="H1234" s="2" t="s">
        <v>3580</v>
      </c>
      <c r="X1234" s="21" t="s">
        <v>1172</v>
      </c>
    </row>
    <row r="1235" spans="8:24" x14ac:dyDescent="0.3">
      <c r="H1235" s="2" t="s">
        <v>3581</v>
      </c>
      <c r="X1235" s="21" t="s">
        <v>1173</v>
      </c>
    </row>
    <row r="1236" spans="8:24" x14ac:dyDescent="0.3">
      <c r="H1236" s="2" t="s">
        <v>3582</v>
      </c>
      <c r="X1236" s="21" t="s">
        <v>1174</v>
      </c>
    </row>
    <row r="1237" spans="8:24" x14ac:dyDescent="0.3">
      <c r="H1237" s="2" t="s">
        <v>3583</v>
      </c>
      <c r="X1237" s="21" t="s">
        <v>1241</v>
      </c>
    </row>
    <row r="1238" spans="8:24" x14ac:dyDescent="0.3">
      <c r="H1238" s="2" t="s">
        <v>3335</v>
      </c>
      <c r="X1238" s="21" t="s">
        <v>1291</v>
      </c>
    </row>
    <row r="1239" spans="8:24" x14ac:dyDescent="0.3">
      <c r="H1239" s="2" t="s">
        <v>3584</v>
      </c>
      <c r="X1239" s="21" t="s">
        <v>1210</v>
      </c>
    </row>
    <row r="1240" spans="8:24" x14ac:dyDescent="0.3">
      <c r="H1240" s="2" t="s">
        <v>127</v>
      </c>
      <c r="X1240" s="21" t="s">
        <v>1211</v>
      </c>
    </row>
    <row r="1241" spans="8:24" x14ac:dyDescent="0.3">
      <c r="H1241"/>
      <c r="X1241" s="21" t="s">
        <v>1292</v>
      </c>
    </row>
    <row r="1242" spans="8:24" x14ac:dyDescent="0.3">
      <c r="X1242" s="21" t="s">
        <v>1397</v>
      </c>
    </row>
    <row r="1243" spans="8:24" x14ac:dyDescent="0.3">
      <c r="X1243" s="21" t="s">
        <v>1398</v>
      </c>
    </row>
    <row r="1244" spans="8:24" x14ac:dyDescent="0.3">
      <c r="H1244" s="2" t="s">
        <v>2642</v>
      </c>
      <c r="X1244" s="21" t="s">
        <v>1212</v>
      </c>
    </row>
    <row r="1245" spans="8:24" x14ac:dyDescent="0.3">
      <c r="H1245" t="s">
        <v>2645</v>
      </c>
      <c r="X1245" s="21" t="s">
        <v>1213</v>
      </c>
    </row>
    <row r="1246" spans="8:24" x14ac:dyDescent="0.3">
      <c r="H1246" t="s">
        <v>2646</v>
      </c>
      <c r="X1246" s="21" t="s">
        <v>1226</v>
      </c>
    </row>
    <row r="1247" spans="8:24" x14ac:dyDescent="0.3">
      <c r="H1247" t="s">
        <v>2643</v>
      </c>
      <c r="X1247" s="21" t="s">
        <v>1259</v>
      </c>
    </row>
    <row r="1248" spans="8:24" x14ac:dyDescent="0.3">
      <c r="H1248" t="s">
        <v>2647</v>
      </c>
      <c r="X1248" s="21" t="s">
        <v>1293</v>
      </c>
    </row>
    <row r="1249" spans="8:24" x14ac:dyDescent="0.3">
      <c r="H1249" t="s">
        <v>2648</v>
      </c>
      <c r="X1249" s="21" t="s">
        <v>1220</v>
      </c>
    </row>
    <row r="1250" spans="8:24" x14ac:dyDescent="0.3">
      <c r="H1250" t="s">
        <v>2649</v>
      </c>
      <c r="X1250" s="21" t="s">
        <v>1139</v>
      </c>
    </row>
    <row r="1251" spans="8:24" x14ac:dyDescent="0.3">
      <c r="H1251" t="s">
        <v>2650</v>
      </c>
      <c r="X1251" s="21" t="s">
        <v>1294</v>
      </c>
    </row>
    <row r="1252" spans="8:24" x14ac:dyDescent="0.3">
      <c r="H1252" t="s">
        <v>2651</v>
      </c>
      <c r="X1252" s="21" t="s">
        <v>1295</v>
      </c>
    </row>
    <row r="1253" spans="8:24" x14ac:dyDescent="0.3">
      <c r="H1253" t="s">
        <v>2652</v>
      </c>
      <c r="X1253" s="21" t="s">
        <v>1175</v>
      </c>
    </row>
    <row r="1254" spans="8:24" x14ac:dyDescent="0.3">
      <c r="H1254" t="s">
        <v>2653</v>
      </c>
      <c r="X1254" s="21" t="s">
        <v>1352</v>
      </c>
    </row>
    <row r="1255" spans="8:24" x14ac:dyDescent="0.3">
      <c r="H1255" t="s">
        <v>2654</v>
      </c>
      <c r="X1255" s="21" t="s">
        <v>1353</v>
      </c>
    </row>
    <row r="1256" spans="8:24" x14ac:dyDescent="0.3">
      <c r="H1256" t="s">
        <v>2655</v>
      </c>
      <c r="X1256" s="21" t="s">
        <v>1296</v>
      </c>
    </row>
    <row r="1257" spans="8:24" x14ac:dyDescent="0.3">
      <c r="H1257" t="s">
        <v>2656</v>
      </c>
      <c r="X1257" s="21" t="s">
        <v>1176</v>
      </c>
    </row>
    <row r="1258" spans="8:24" x14ac:dyDescent="0.3">
      <c r="H1258" t="s">
        <v>2657</v>
      </c>
      <c r="X1258" s="21" t="s">
        <v>1354</v>
      </c>
    </row>
    <row r="1259" spans="8:24" x14ac:dyDescent="0.3">
      <c r="H1259" t="s">
        <v>2658</v>
      </c>
      <c r="X1259" s="21" t="s">
        <v>1399</v>
      </c>
    </row>
    <row r="1260" spans="8:24" x14ac:dyDescent="0.3">
      <c r="H1260" t="s">
        <v>2659</v>
      </c>
      <c r="X1260" s="21" t="s">
        <v>1227</v>
      </c>
    </row>
    <row r="1261" spans="8:24" x14ac:dyDescent="0.3">
      <c r="H1261" t="s">
        <v>2660</v>
      </c>
      <c r="X1261" s="21" t="s">
        <v>1297</v>
      </c>
    </row>
    <row r="1262" spans="8:24" x14ac:dyDescent="0.3">
      <c r="H1262" t="s">
        <v>2661</v>
      </c>
      <c r="X1262" s="21" t="s">
        <v>1298</v>
      </c>
    </row>
    <row r="1263" spans="8:24" x14ac:dyDescent="0.3">
      <c r="H1263" t="s">
        <v>2662</v>
      </c>
      <c r="X1263" s="21" t="s">
        <v>1299</v>
      </c>
    </row>
    <row r="1264" spans="8:24" x14ac:dyDescent="0.3">
      <c r="H1264" t="s">
        <v>2663</v>
      </c>
      <c r="X1264" s="21" t="s">
        <v>1400</v>
      </c>
    </row>
    <row r="1265" spans="8:24" x14ac:dyDescent="0.3">
      <c r="H1265" t="s">
        <v>2664</v>
      </c>
      <c r="X1265" s="21" t="s">
        <v>1401</v>
      </c>
    </row>
    <row r="1266" spans="8:24" x14ac:dyDescent="0.3">
      <c r="H1266" t="s">
        <v>2665</v>
      </c>
      <c r="X1266" s="21" t="s">
        <v>1416</v>
      </c>
    </row>
    <row r="1267" spans="8:24" x14ac:dyDescent="0.3">
      <c r="H1267" t="s">
        <v>2666</v>
      </c>
      <c r="X1267" s="21" t="s">
        <v>1355</v>
      </c>
    </row>
    <row r="1268" spans="8:24" x14ac:dyDescent="0.3">
      <c r="H1268" t="s">
        <v>2667</v>
      </c>
      <c r="X1268" s="21" t="s">
        <v>1402</v>
      </c>
    </row>
    <row r="1269" spans="8:24" x14ac:dyDescent="0.3">
      <c r="H1269" t="s">
        <v>2668</v>
      </c>
      <c r="X1269" s="21" t="s">
        <v>1214</v>
      </c>
    </row>
    <row r="1270" spans="8:24" x14ac:dyDescent="0.3">
      <c r="H1270" t="s">
        <v>2644</v>
      </c>
      <c r="X1270" s="21" t="s">
        <v>1215</v>
      </c>
    </row>
    <row r="1271" spans="8:24" x14ac:dyDescent="0.3">
      <c r="H1271" t="s">
        <v>2669</v>
      </c>
      <c r="X1271" s="21" t="s">
        <v>1403</v>
      </c>
    </row>
    <row r="1272" spans="8:24" x14ac:dyDescent="0.3">
      <c r="H1272" t="s">
        <v>2670</v>
      </c>
      <c r="X1272" s="21" t="s">
        <v>1356</v>
      </c>
    </row>
    <row r="1273" spans="8:24" x14ac:dyDescent="0.3">
      <c r="H1273" t="s">
        <v>2671</v>
      </c>
      <c r="X1273" s="21" t="s">
        <v>1140</v>
      </c>
    </row>
    <row r="1274" spans="8:24" x14ac:dyDescent="0.3">
      <c r="H1274" t="s">
        <v>2672</v>
      </c>
      <c r="X1274" s="21" t="s">
        <v>1357</v>
      </c>
    </row>
    <row r="1275" spans="8:24" x14ac:dyDescent="0.3">
      <c r="X1275" s="21" t="s">
        <v>1177</v>
      </c>
    </row>
    <row r="1276" spans="8:24" x14ac:dyDescent="0.3">
      <c r="H1276" s="2" t="s">
        <v>25</v>
      </c>
      <c r="X1276" s="21" t="s">
        <v>1178</v>
      </c>
    </row>
    <row r="1277" spans="8:24" ht="19.8" x14ac:dyDescent="0.3">
      <c r="H1277" t="s">
        <v>2676</v>
      </c>
      <c r="X1277" s="21" t="s">
        <v>1358</v>
      </c>
    </row>
    <row r="1278" spans="8:24" x14ac:dyDescent="0.3">
      <c r="H1278" t="s">
        <v>2677</v>
      </c>
      <c r="X1278" s="21" t="s">
        <v>1359</v>
      </c>
    </row>
    <row r="1279" spans="8:24" x14ac:dyDescent="0.3">
      <c r="H1279" t="s">
        <v>2678</v>
      </c>
      <c r="X1279" s="21" t="s">
        <v>1216</v>
      </c>
    </row>
    <row r="1280" spans="8:24" x14ac:dyDescent="0.3">
      <c r="H1280" t="s">
        <v>2679</v>
      </c>
      <c r="X1280" s="21" t="s">
        <v>1179</v>
      </c>
    </row>
    <row r="1281" spans="8:24" x14ac:dyDescent="0.3">
      <c r="H1281" t="s">
        <v>2680</v>
      </c>
      <c r="X1281" s="21" t="s">
        <v>1217</v>
      </c>
    </row>
    <row r="1282" spans="8:24" ht="19.8" x14ac:dyDescent="0.3">
      <c r="H1282" t="s">
        <v>2681</v>
      </c>
      <c r="X1282" s="21" t="s">
        <v>1218</v>
      </c>
    </row>
    <row r="1283" spans="8:24" x14ac:dyDescent="0.3">
      <c r="H1283" t="s">
        <v>2682</v>
      </c>
      <c r="X1283" s="21" t="s">
        <v>1219</v>
      </c>
    </row>
    <row r="1284" spans="8:24" x14ac:dyDescent="0.3">
      <c r="H1284" t="s">
        <v>2683</v>
      </c>
      <c r="X1284" s="21" t="s">
        <v>1310</v>
      </c>
    </row>
    <row r="1285" spans="8:24" x14ac:dyDescent="0.3">
      <c r="H1285" t="s">
        <v>2684</v>
      </c>
      <c r="X1285" s="21" t="s">
        <v>1311</v>
      </c>
    </row>
    <row r="1286" spans="8:24" x14ac:dyDescent="0.3">
      <c r="H1286" t="s">
        <v>2685</v>
      </c>
      <c r="X1286" s="21" t="s">
        <v>1312</v>
      </c>
    </row>
    <row r="1287" spans="8:24" x14ac:dyDescent="0.3">
      <c r="H1287" t="s">
        <v>2686</v>
      </c>
      <c r="X1287" s="21" t="s">
        <v>1300</v>
      </c>
    </row>
    <row r="1288" spans="8:24" x14ac:dyDescent="0.3">
      <c r="H1288" t="s">
        <v>2687</v>
      </c>
      <c r="X1288" s="21" t="s">
        <v>1404</v>
      </c>
    </row>
    <row r="1289" spans="8:24" ht="19.8" x14ac:dyDescent="0.3">
      <c r="H1289" t="s">
        <v>2688</v>
      </c>
      <c r="X1289" s="21" t="s">
        <v>1360</v>
      </c>
    </row>
    <row r="1290" spans="8:24" x14ac:dyDescent="0.3">
      <c r="H1290" t="s">
        <v>2689</v>
      </c>
      <c r="X1290" s="21" t="s">
        <v>1180</v>
      </c>
    </row>
    <row r="1291" spans="8:24" x14ac:dyDescent="0.3">
      <c r="H1291" t="s">
        <v>2690</v>
      </c>
      <c r="X1291" s="21" t="s">
        <v>1313</v>
      </c>
    </row>
    <row r="1292" spans="8:24" x14ac:dyDescent="0.3">
      <c r="H1292" t="s">
        <v>2691</v>
      </c>
      <c r="X1292" s="21" t="s">
        <v>1405</v>
      </c>
    </row>
    <row r="1293" spans="8:24" x14ac:dyDescent="0.3">
      <c r="H1293" t="s">
        <v>2692</v>
      </c>
      <c r="X1293" s="21" t="s">
        <v>1361</v>
      </c>
    </row>
    <row r="1294" spans="8:24" ht="19.8" x14ac:dyDescent="0.3">
      <c r="H1294" t="s">
        <v>2693</v>
      </c>
      <c r="X1294" s="21" t="s">
        <v>1222</v>
      </c>
    </row>
    <row r="1295" spans="8:24" x14ac:dyDescent="0.3">
      <c r="H1295" t="s">
        <v>2694</v>
      </c>
      <c r="X1295" s="21" t="s">
        <v>1181</v>
      </c>
    </row>
    <row r="1296" spans="8:24" x14ac:dyDescent="0.3">
      <c r="H1296" t="s">
        <v>2695</v>
      </c>
      <c r="X1296" s="21" t="s">
        <v>1314</v>
      </c>
    </row>
    <row r="1297" spans="8:24" x14ac:dyDescent="0.3">
      <c r="H1297" t="s">
        <v>2696</v>
      </c>
      <c r="X1297" s="21" t="s">
        <v>1406</v>
      </c>
    </row>
    <row r="1298" spans="8:24" x14ac:dyDescent="0.3">
      <c r="H1298" t="s">
        <v>2697</v>
      </c>
      <c r="X1298" s="21" t="s">
        <v>1260</v>
      </c>
    </row>
    <row r="1299" spans="8:24" x14ac:dyDescent="0.3">
      <c r="H1299" t="s">
        <v>2698</v>
      </c>
      <c r="X1299" s="21" t="s">
        <v>1221</v>
      </c>
    </row>
    <row r="1300" spans="8:24" x14ac:dyDescent="0.3">
      <c r="H1300" t="s">
        <v>2699</v>
      </c>
      <c r="X1300" s="21" t="s">
        <v>1141</v>
      </c>
    </row>
    <row r="1301" spans="8:24" x14ac:dyDescent="0.3">
      <c r="H1301" t="s">
        <v>2700</v>
      </c>
      <c r="X1301" s="21" t="s">
        <v>1301</v>
      </c>
    </row>
    <row r="1302" spans="8:24" x14ac:dyDescent="0.3">
      <c r="H1302" t="s">
        <v>2701</v>
      </c>
      <c r="X1302" s="21" t="s">
        <v>1315</v>
      </c>
    </row>
    <row r="1303" spans="8:24" x14ac:dyDescent="0.3">
      <c r="H1303" t="s">
        <v>2702</v>
      </c>
      <c r="X1303" s="21" t="s">
        <v>1261</v>
      </c>
    </row>
    <row r="1304" spans="8:24" x14ac:dyDescent="0.3">
      <c r="H1304" t="s">
        <v>2703</v>
      </c>
      <c r="X1304" s="21" t="s">
        <v>1302</v>
      </c>
    </row>
    <row r="1305" spans="8:24" x14ac:dyDescent="0.3">
      <c r="H1305" t="s">
        <v>2704</v>
      </c>
      <c r="X1305" s="21" t="s">
        <v>1262</v>
      </c>
    </row>
    <row r="1306" spans="8:24" x14ac:dyDescent="0.3">
      <c r="X1306" s="21" t="s">
        <v>1316</v>
      </c>
    </row>
    <row r="1307" spans="8:24" x14ac:dyDescent="0.3">
      <c r="X1307" s="21" t="s">
        <v>1142</v>
      </c>
    </row>
    <row r="1308" spans="8:24" x14ac:dyDescent="0.3">
      <c r="X1308" s="21" t="s">
        <v>1263</v>
      </c>
    </row>
    <row r="1309" spans="8:24" x14ac:dyDescent="0.3">
      <c r="X1309" s="21" t="s">
        <v>1242</v>
      </c>
    </row>
    <row r="1310" spans="8:24" x14ac:dyDescent="0.3">
      <c r="X1310" s="21" t="s">
        <v>1243</v>
      </c>
    </row>
    <row r="1311" spans="8:24" x14ac:dyDescent="0.3">
      <c r="X1311" s="21" t="s">
        <v>1244</v>
      </c>
    </row>
    <row r="1312" spans="8:24" x14ac:dyDescent="0.3">
      <c r="X1312" s="21" t="s">
        <v>1407</v>
      </c>
    </row>
    <row r="1313" spans="24:24" x14ac:dyDescent="0.3">
      <c r="X1313" s="21" t="s">
        <v>1245</v>
      </c>
    </row>
    <row r="1314" spans="24:24" x14ac:dyDescent="0.3">
      <c r="X1314" s="21" t="s">
        <v>1317</v>
      </c>
    </row>
    <row r="1315" spans="24:24" x14ac:dyDescent="0.3">
      <c r="X1315" s="21" t="s">
        <v>1303</v>
      </c>
    </row>
    <row r="1316" spans="24:24" x14ac:dyDescent="0.3">
      <c r="X1316" s="21" t="s">
        <v>1318</v>
      </c>
    </row>
    <row r="1317" spans="24:24" x14ac:dyDescent="0.3">
      <c r="X1317" s="21" t="s">
        <v>1319</v>
      </c>
    </row>
    <row r="1318" spans="24:24" x14ac:dyDescent="0.3">
      <c r="X1318" s="21" t="s">
        <v>1304</v>
      </c>
    </row>
    <row r="1319" spans="24:24" x14ac:dyDescent="0.3">
      <c r="X1319" s="21" t="s">
        <v>1246</v>
      </c>
    </row>
    <row r="1320" spans="24:24" x14ac:dyDescent="0.3">
      <c r="X1320" s="21" t="s">
        <v>1247</v>
      </c>
    </row>
    <row r="1321" spans="24:24" x14ac:dyDescent="0.3">
      <c r="X1321" s="21" t="s">
        <v>1182</v>
      </c>
    </row>
    <row r="1322" spans="24:24" x14ac:dyDescent="0.3">
      <c r="X1322" s="21" t="s">
        <v>1408</v>
      </c>
    </row>
    <row r="1323" spans="24:24" x14ac:dyDescent="0.3">
      <c r="X1323" s="21" t="s">
        <v>1264</v>
      </c>
    </row>
    <row r="1324" spans="24:24" x14ac:dyDescent="0.3">
      <c r="X1324" s="21" t="s">
        <v>1265</v>
      </c>
    </row>
    <row r="1325" spans="24:24" x14ac:dyDescent="0.3">
      <c r="X1325" s="21" t="s">
        <v>1320</v>
      </c>
    </row>
    <row r="1326" spans="24:24" x14ac:dyDescent="0.3">
      <c r="X1326" s="21" t="s">
        <v>1248</v>
      </c>
    </row>
  </sheetData>
  <phoneticPr fontId="20" type="noConversion"/>
  <conditionalFormatting sqref="X1014:X1326">
    <cfRule type="duplicateValues" dxfId="22" priority="10"/>
  </conditionalFormatting>
  <conditionalFormatting sqref="Z213:Z468">
    <cfRule type="duplicateValues" dxfId="21" priority="9"/>
  </conditionalFormatting>
  <conditionalFormatting sqref="Z517:Z547">
    <cfRule type="duplicateValues" dxfId="20" priority="8"/>
  </conditionalFormatting>
  <conditionalFormatting sqref="Z550:Z570">
    <cfRule type="duplicateValues" dxfId="19" priority="7"/>
  </conditionalFormatting>
  <conditionalFormatting sqref="Z573:Z590">
    <cfRule type="duplicateValues" dxfId="18" priority="6"/>
  </conditionalFormatting>
  <conditionalFormatting sqref="Z593:Z647">
    <cfRule type="duplicateValues" dxfId="17" priority="5"/>
  </conditionalFormatting>
  <conditionalFormatting sqref="Z650:Z657">
    <cfRule type="duplicateValues" dxfId="16" priority="4"/>
  </conditionalFormatting>
  <conditionalFormatting sqref="Z660:Z763">
    <cfRule type="duplicateValues" dxfId="15" priority="3"/>
  </conditionalFormatting>
  <conditionalFormatting sqref="Z766:Z1013">
    <cfRule type="duplicateValues" dxfId="14" priority="2"/>
  </conditionalFormatting>
  <dataValidations disablePrompts="1" count="1">
    <dataValidation type="list" allowBlank="1" showInputMessage="1" showErrorMessage="1" sqref="X483" xr:uid="{00000000-0002-0000-0000-000000000000}">
      <formula1>INDIRECT(W483)</formula1>
    </dataValidation>
  </dataValidations>
  <pageMargins left="0.7" right="0.7" top="0.75" bottom="0.75" header="0.3" footer="0.3"/>
  <pageSetup paperSize="9" orientation="portrait" r:id="rId1"/>
  <tableParts count="8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  <tablePart r:id="rId76"/>
    <tablePart r:id="rId77"/>
    <tablePart r:id="rId78"/>
    <tablePart r:id="rId79"/>
    <tablePart r:id="rId80"/>
    <tablePart r:id="rId81"/>
    <tablePart r:id="rId82"/>
    <tablePart r:id="rId83"/>
    <tablePart r:id="rId84"/>
    <tablePart r:id="rId85"/>
    <tablePart r:id="rId86"/>
    <tablePart r:id="rId87"/>
    <tablePart r:id="rId88"/>
    <tablePart r:id="rId89"/>
    <tablePart r:id="rId9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6E378-FF2E-4240-9D72-082F5F797B70}">
  <sheetPr codeName="Hoja5"/>
  <dimension ref="A2:M299"/>
  <sheetViews>
    <sheetView workbookViewId="0">
      <selection activeCell="F22" sqref="F22"/>
    </sheetView>
  </sheetViews>
  <sheetFormatPr baseColWidth="10" defaultRowHeight="14.4" x14ac:dyDescent="0.3"/>
  <cols>
    <col min="2" max="2" width="28.6640625" customWidth="1"/>
    <col min="7" max="7" width="11.109375" bestFit="1" customWidth="1"/>
  </cols>
  <sheetData>
    <row r="2" spans="2:13" x14ac:dyDescent="0.3">
      <c r="B2" t="s">
        <v>3764</v>
      </c>
      <c r="C2" t="s">
        <v>0</v>
      </c>
      <c r="D2" t="s">
        <v>3765</v>
      </c>
    </row>
    <row r="3" spans="2:13" x14ac:dyDescent="0.3">
      <c r="B3" t="s">
        <v>3766</v>
      </c>
      <c r="C3" t="s">
        <v>1</v>
      </c>
      <c r="D3">
        <v>1243858572</v>
      </c>
      <c r="E3" t="s">
        <v>3669</v>
      </c>
      <c r="G3" s="115">
        <v>1034672281</v>
      </c>
      <c r="I3" s="115">
        <v>1023004072</v>
      </c>
      <c r="J3" t="s">
        <v>2427</v>
      </c>
      <c r="L3">
        <v>1023046400</v>
      </c>
      <c r="M3" t="s">
        <v>3670</v>
      </c>
    </row>
    <row r="4" spans="2:13" x14ac:dyDescent="0.3">
      <c r="B4" t="s">
        <v>3767</v>
      </c>
      <c r="C4" t="s">
        <v>1</v>
      </c>
      <c r="D4">
        <v>1023045269</v>
      </c>
      <c r="E4" t="s">
        <v>3669</v>
      </c>
      <c r="G4">
        <v>1023046528</v>
      </c>
      <c r="I4" s="115">
        <v>1012926906</v>
      </c>
      <c r="J4" t="s">
        <v>2427</v>
      </c>
      <c r="L4">
        <v>1020849345</v>
      </c>
      <c r="M4" t="s">
        <v>3670</v>
      </c>
    </row>
    <row r="5" spans="2:13" x14ac:dyDescent="0.3">
      <c r="B5" t="s">
        <v>3768</v>
      </c>
      <c r="C5" t="s">
        <v>1</v>
      </c>
      <c r="D5">
        <v>1031544861</v>
      </c>
      <c r="E5" t="s">
        <v>3669</v>
      </c>
      <c r="G5">
        <v>11026310144</v>
      </c>
      <c r="I5" s="115">
        <v>1023047865</v>
      </c>
      <c r="J5" t="s">
        <v>2427</v>
      </c>
      <c r="L5">
        <v>1243860023</v>
      </c>
      <c r="M5" t="s">
        <v>3670</v>
      </c>
    </row>
    <row r="6" spans="2:13" x14ac:dyDescent="0.3">
      <c r="B6" t="s">
        <v>3769</v>
      </c>
      <c r="C6" t="s">
        <v>1</v>
      </c>
      <c r="D6">
        <v>1023987959</v>
      </c>
      <c r="E6" t="s">
        <v>3669</v>
      </c>
      <c r="G6">
        <v>1013698425</v>
      </c>
      <c r="I6" s="115">
        <v>1122539535</v>
      </c>
      <c r="J6" t="s">
        <v>2427</v>
      </c>
      <c r="L6">
        <v>1023988175</v>
      </c>
      <c r="M6" t="s">
        <v>3670</v>
      </c>
    </row>
    <row r="7" spans="2:13" x14ac:dyDescent="0.3">
      <c r="B7" t="s">
        <v>3770</v>
      </c>
      <c r="C7" t="s">
        <v>1</v>
      </c>
      <c r="D7">
        <v>1023045870</v>
      </c>
      <c r="E7" t="s">
        <v>3669</v>
      </c>
      <c r="G7">
        <v>1023046673</v>
      </c>
      <c r="I7" s="115">
        <v>1245078067</v>
      </c>
      <c r="J7" t="s">
        <v>2427</v>
      </c>
      <c r="L7">
        <v>1028675334</v>
      </c>
      <c r="M7" t="s">
        <v>3670</v>
      </c>
    </row>
    <row r="8" spans="2:13" x14ac:dyDescent="0.3">
      <c r="B8" t="s">
        <v>3771</v>
      </c>
      <c r="C8" t="s">
        <v>1</v>
      </c>
      <c r="D8">
        <v>1023046429</v>
      </c>
      <c r="E8" t="s">
        <v>3669</v>
      </c>
      <c r="F8" s="114"/>
      <c r="G8">
        <v>1243858630</v>
      </c>
      <c r="I8" s="115">
        <v>1245078260</v>
      </c>
      <c r="J8" t="s">
        <v>2427</v>
      </c>
      <c r="L8">
        <v>1026309444</v>
      </c>
      <c r="M8" t="s">
        <v>3670</v>
      </c>
    </row>
    <row r="9" spans="2:13" x14ac:dyDescent="0.3">
      <c r="B9" t="s">
        <v>3772</v>
      </c>
      <c r="C9" t="s">
        <v>1</v>
      </c>
      <c r="D9">
        <v>1243859299</v>
      </c>
      <c r="E9" t="s">
        <v>3669</v>
      </c>
      <c r="G9" t="s">
        <v>3717</v>
      </c>
      <c r="I9" s="115">
        <v>1018519486</v>
      </c>
      <c r="J9" t="s">
        <v>2427</v>
      </c>
      <c r="L9">
        <v>1026309443</v>
      </c>
      <c r="M9" t="s">
        <v>3670</v>
      </c>
    </row>
    <row r="10" spans="2:13" x14ac:dyDescent="0.3">
      <c r="B10" t="s">
        <v>3773</v>
      </c>
      <c r="C10" t="s">
        <v>1</v>
      </c>
      <c r="D10">
        <v>1023046408</v>
      </c>
      <c r="E10" t="s">
        <v>3669</v>
      </c>
      <c r="G10">
        <v>1243859093</v>
      </c>
      <c r="I10" s="115">
        <v>1243860754</v>
      </c>
      <c r="J10" t="s">
        <v>2427</v>
      </c>
      <c r="L10">
        <v>1026309480</v>
      </c>
      <c r="M10" t="s">
        <v>3670</v>
      </c>
    </row>
    <row r="11" spans="2:13" x14ac:dyDescent="0.3">
      <c r="B11" t="s">
        <v>3774</v>
      </c>
      <c r="C11" t="s">
        <v>1</v>
      </c>
      <c r="D11">
        <v>1248858522</v>
      </c>
      <c r="E11" t="s">
        <v>3669</v>
      </c>
      <c r="G11">
        <v>1243858675</v>
      </c>
      <c r="I11" s="115">
        <v>1016750654</v>
      </c>
      <c r="J11" t="s">
        <v>2427</v>
      </c>
      <c r="L11">
        <v>1026309481</v>
      </c>
      <c r="M11" t="s">
        <v>3670</v>
      </c>
    </row>
    <row r="12" spans="2:13" x14ac:dyDescent="0.3">
      <c r="B12" t="s">
        <v>3775</v>
      </c>
      <c r="C12" t="s">
        <v>1</v>
      </c>
      <c r="D12">
        <v>1140938208</v>
      </c>
      <c r="E12" t="s">
        <v>3669</v>
      </c>
      <c r="G12">
        <v>1243858572</v>
      </c>
      <c r="I12" s="115">
        <v>1023046490</v>
      </c>
      <c r="J12" t="s">
        <v>2427</v>
      </c>
      <c r="L12">
        <v>1023045777</v>
      </c>
      <c r="M12" t="s">
        <v>3670</v>
      </c>
    </row>
    <row r="13" spans="2:13" x14ac:dyDescent="0.3">
      <c r="B13" t="s">
        <v>3776</v>
      </c>
      <c r="C13" t="s">
        <v>1</v>
      </c>
      <c r="D13">
        <v>1023045537</v>
      </c>
      <c r="E13" t="s">
        <v>3669</v>
      </c>
      <c r="G13">
        <v>1023988175</v>
      </c>
      <c r="I13" s="115">
        <v>1023048027</v>
      </c>
      <c r="J13" t="s">
        <v>2427</v>
      </c>
      <c r="L13">
        <v>1245078200</v>
      </c>
      <c r="M13" t="s">
        <v>3670</v>
      </c>
    </row>
    <row r="14" spans="2:13" x14ac:dyDescent="0.3">
      <c r="B14" t="s">
        <v>3777</v>
      </c>
      <c r="C14" t="s">
        <v>1</v>
      </c>
      <c r="D14">
        <v>1243859909</v>
      </c>
      <c r="E14" t="s">
        <v>3669</v>
      </c>
      <c r="G14">
        <v>1140939399</v>
      </c>
      <c r="I14" s="115">
        <v>1193073564</v>
      </c>
      <c r="J14" t="s">
        <v>2428</v>
      </c>
      <c r="L14">
        <v>1206226361</v>
      </c>
      <c r="M14" t="s">
        <v>3670</v>
      </c>
    </row>
    <row r="15" spans="2:13" x14ac:dyDescent="0.3">
      <c r="B15" t="s">
        <v>3778</v>
      </c>
      <c r="C15" t="s">
        <v>3721</v>
      </c>
      <c r="D15">
        <v>1243859520</v>
      </c>
      <c r="E15" t="s">
        <v>3669</v>
      </c>
      <c r="G15">
        <v>1002646913</v>
      </c>
      <c r="I15" s="115">
        <v>1013698425</v>
      </c>
      <c r="J15" t="s">
        <v>2427</v>
      </c>
      <c r="L15">
        <v>1243859906</v>
      </c>
      <c r="M15" t="s">
        <v>3670</v>
      </c>
    </row>
    <row r="16" spans="2:13" x14ac:dyDescent="0.3">
      <c r="B16" t="s">
        <v>3779</v>
      </c>
      <c r="C16" t="s">
        <v>1</v>
      </c>
      <c r="D16">
        <v>1023046020</v>
      </c>
      <c r="E16" t="s">
        <v>3669</v>
      </c>
      <c r="G16">
        <v>1016750654</v>
      </c>
      <c r="I16" s="115">
        <v>1243860756</v>
      </c>
      <c r="J16" t="s">
        <v>2427</v>
      </c>
      <c r="L16">
        <v>1023045509</v>
      </c>
      <c r="M16" t="s">
        <v>3670</v>
      </c>
    </row>
    <row r="17" spans="2:13" x14ac:dyDescent="0.3">
      <c r="B17" t="s">
        <v>3780</v>
      </c>
      <c r="C17" t="s">
        <v>1</v>
      </c>
      <c r="D17">
        <v>1023045732</v>
      </c>
      <c r="E17" t="s">
        <v>3669</v>
      </c>
      <c r="G17">
        <v>1243860233</v>
      </c>
      <c r="I17" s="115">
        <v>1022992812</v>
      </c>
      <c r="J17" t="s">
        <v>2427</v>
      </c>
      <c r="L17">
        <v>1140939471</v>
      </c>
      <c r="M17" t="s">
        <v>3670</v>
      </c>
    </row>
    <row r="18" spans="2:13" x14ac:dyDescent="0.3">
      <c r="B18" t="s">
        <v>3781</v>
      </c>
      <c r="C18" t="s">
        <v>1</v>
      </c>
      <c r="D18">
        <v>1150190022</v>
      </c>
      <c r="E18" t="s">
        <v>3669</v>
      </c>
      <c r="G18">
        <v>1022992812</v>
      </c>
      <c r="I18" s="115" t="s">
        <v>3710</v>
      </c>
      <c r="J18" t="s">
        <v>2427</v>
      </c>
      <c r="L18">
        <v>1243859333</v>
      </c>
      <c r="M18" t="s">
        <v>3670</v>
      </c>
    </row>
    <row r="19" spans="2:13" x14ac:dyDescent="0.3">
      <c r="B19" t="s">
        <v>3782</v>
      </c>
      <c r="C19" t="s">
        <v>1</v>
      </c>
      <c r="D19">
        <v>1023045131</v>
      </c>
      <c r="E19" t="s">
        <v>3669</v>
      </c>
      <c r="G19">
        <v>1028675334</v>
      </c>
      <c r="I19" s="115">
        <v>1026604134</v>
      </c>
      <c r="J19" t="s">
        <v>2427</v>
      </c>
      <c r="L19">
        <v>1016750544</v>
      </c>
      <c r="M19" t="s">
        <v>3670</v>
      </c>
    </row>
    <row r="20" spans="2:13" x14ac:dyDescent="0.3">
      <c r="B20" t="s">
        <v>3783</v>
      </c>
      <c r="C20" t="s">
        <v>1</v>
      </c>
      <c r="D20">
        <v>1013156278</v>
      </c>
      <c r="E20" t="s">
        <v>3669</v>
      </c>
      <c r="G20">
        <v>1013156586</v>
      </c>
      <c r="I20" s="115">
        <v>1013637881</v>
      </c>
      <c r="J20" t="s">
        <v>2427</v>
      </c>
      <c r="L20">
        <v>1243859093</v>
      </c>
      <c r="M20" t="s">
        <v>3670</v>
      </c>
    </row>
    <row r="21" spans="2:13" x14ac:dyDescent="0.3">
      <c r="B21" t="s">
        <v>3784</v>
      </c>
      <c r="C21" t="s">
        <v>1</v>
      </c>
      <c r="D21">
        <v>1023044822</v>
      </c>
      <c r="E21" t="s">
        <v>3669</v>
      </c>
      <c r="G21">
        <v>1023045269</v>
      </c>
      <c r="I21" s="115" t="s">
        <v>3711</v>
      </c>
      <c r="J21" t="s">
        <v>2427</v>
      </c>
      <c r="L21" t="s">
        <v>3717</v>
      </c>
      <c r="M21" t="s">
        <v>3670</v>
      </c>
    </row>
    <row r="22" spans="2:13" x14ac:dyDescent="0.3">
      <c r="B22" t="s">
        <v>3785</v>
      </c>
      <c r="C22" t="s">
        <v>1</v>
      </c>
      <c r="D22">
        <v>1023045915</v>
      </c>
      <c r="E22" t="s">
        <v>3669</v>
      </c>
      <c r="G22">
        <v>1026309578</v>
      </c>
      <c r="I22" s="115">
        <v>1033822280</v>
      </c>
      <c r="J22" t="s">
        <v>2427</v>
      </c>
      <c r="L22">
        <v>1243858630</v>
      </c>
      <c r="M22" t="s">
        <v>3670</v>
      </c>
    </row>
    <row r="23" spans="2:13" x14ac:dyDescent="0.3">
      <c r="B23" t="s">
        <v>3786</v>
      </c>
      <c r="C23" t="s">
        <v>1</v>
      </c>
      <c r="D23">
        <v>1243859055</v>
      </c>
      <c r="E23" t="s">
        <v>3669</v>
      </c>
      <c r="G23">
        <v>1023045732</v>
      </c>
      <c r="I23" s="115">
        <v>1240693955</v>
      </c>
      <c r="J23" t="s">
        <v>2427</v>
      </c>
      <c r="L23">
        <v>1106639928</v>
      </c>
      <c r="M23" t="s">
        <v>3670</v>
      </c>
    </row>
    <row r="24" spans="2:13" x14ac:dyDescent="0.3">
      <c r="B24" t="s">
        <v>3787</v>
      </c>
      <c r="C24" t="s">
        <v>1</v>
      </c>
      <c r="D24">
        <v>1243859420</v>
      </c>
      <c r="E24" t="s">
        <v>3669</v>
      </c>
      <c r="G24">
        <v>1026604149</v>
      </c>
      <c r="I24" s="115">
        <v>1243859943</v>
      </c>
      <c r="J24" t="s">
        <v>2427</v>
      </c>
      <c r="L24" t="s">
        <v>3713</v>
      </c>
      <c r="M24" t="s">
        <v>3670</v>
      </c>
    </row>
    <row r="25" spans="2:13" x14ac:dyDescent="0.3">
      <c r="B25" t="s">
        <v>3788</v>
      </c>
      <c r="C25" t="s">
        <v>1</v>
      </c>
      <c r="D25">
        <v>1121975670</v>
      </c>
      <c r="E25" t="s">
        <v>3669</v>
      </c>
      <c r="G25">
        <v>1150190022</v>
      </c>
      <c r="I25" s="115">
        <v>1243859248</v>
      </c>
      <c r="J25" t="s">
        <v>2427</v>
      </c>
      <c r="L25">
        <v>1034404976</v>
      </c>
      <c r="M25" t="s">
        <v>3670</v>
      </c>
    </row>
    <row r="26" spans="2:13" x14ac:dyDescent="0.3">
      <c r="B26" t="s">
        <v>3789</v>
      </c>
      <c r="C26" t="s">
        <v>1</v>
      </c>
      <c r="D26">
        <v>1023045752</v>
      </c>
      <c r="E26" t="s">
        <v>3669</v>
      </c>
      <c r="G26">
        <v>1023047785</v>
      </c>
      <c r="I26" s="115">
        <v>1026293133</v>
      </c>
      <c r="J26" t="s">
        <v>2427</v>
      </c>
      <c r="L26">
        <v>1140936306</v>
      </c>
      <c r="M26" t="s">
        <v>3670</v>
      </c>
    </row>
    <row r="27" spans="2:13" x14ac:dyDescent="0.3">
      <c r="B27" t="s">
        <v>3790</v>
      </c>
      <c r="C27" t="s">
        <v>1</v>
      </c>
      <c r="D27">
        <v>1243858756</v>
      </c>
      <c r="E27" t="s">
        <v>3669</v>
      </c>
      <c r="G27">
        <v>1243860608</v>
      </c>
      <c r="I27" s="115">
        <v>1245078722</v>
      </c>
      <c r="J27" t="s">
        <v>2427</v>
      </c>
      <c r="L27">
        <v>1233698686</v>
      </c>
      <c r="M27" t="s">
        <v>3670</v>
      </c>
    </row>
    <row r="28" spans="2:13" x14ac:dyDescent="0.3">
      <c r="B28" t="s">
        <v>3791</v>
      </c>
      <c r="C28" t="s">
        <v>1</v>
      </c>
      <c r="D28">
        <v>1023046400</v>
      </c>
      <c r="E28" t="s">
        <v>3670</v>
      </c>
      <c r="G28">
        <v>1240693955</v>
      </c>
      <c r="I28" s="115">
        <v>1016921602</v>
      </c>
      <c r="J28" t="s">
        <v>2427</v>
      </c>
      <c r="L28">
        <v>1082161099</v>
      </c>
      <c r="M28" t="s">
        <v>3670</v>
      </c>
    </row>
    <row r="29" spans="2:13" x14ac:dyDescent="0.3">
      <c r="B29" t="s">
        <v>3792</v>
      </c>
      <c r="C29" t="s">
        <v>1</v>
      </c>
      <c r="D29">
        <v>1020849345</v>
      </c>
      <c r="E29" t="s">
        <v>3670</v>
      </c>
      <c r="G29">
        <v>1122539535</v>
      </c>
      <c r="I29" s="115">
        <v>1013375578</v>
      </c>
      <c r="J29" t="s">
        <v>2427</v>
      </c>
      <c r="L29">
        <v>1140937579</v>
      </c>
      <c r="M29" t="s">
        <v>3670</v>
      </c>
    </row>
    <row r="30" spans="2:13" x14ac:dyDescent="0.3">
      <c r="B30" t="s">
        <v>3793</v>
      </c>
      <c r="C30" t="s">
        <v>1</v>
      </c>
      <c r="D30">
        <v>1243860023</v>
      </c>
      <c r="E30" t="s">
        <v>3670</v>
      </c>
      <c r="G30">
        <v>1245079481</v>
      </c>
      <c r="I30" s="115">
        <v>1023046253</v>
      </c>
      <c r="J30" t="s">
        <v>2427</v>
      </c>
      <c r="L30">
        <v>1027302696</v>
      </c>
      <c r="M30" t="s">
        <v>3670</v>
      </c>
    </row>
    <row r="31" spans="2:13" x14ac:dyDescent="0.3">
      <c r="B31" t="s">
        <v>3794</v>
      </c>
      <c r="C31" t="s">
        <v>1</v>
      </c>
      <c r="D31">
        <v>1023988175</v>
      </c>
      <c r="E31" t="s">
        <v>3670</v>
      </c>
      <c r="G31">
        <v>1023047678</v>
      </c>
      <c r="I31" s="115">
        <v>1051478721</v>
      </c>
      <c r="J31" t="s">
        <v>2427</v>
      </c>
      <c r="L31">
        <v>1023047925</v>
      </c>
      <c r="M31" t="s">
        <v>3674</v>
      </c>
    </row>
    <row r="32" spans="2:13" x14ac:dyDescent="0.3">
      <c r="B32" t="s">
        <v>3795</v>
      </c>
      <c r="C32" t="s">
        <v>1</v>
      </c>
      <c r="D32">
        <v>1028675334</v>
      </c>
      <c r="E32" t="s">
        <v>3670</v>
      </c>
      <c r="G32">
        <v>1026293133</v>
      </c>
      <c r="I32" s="115">
        <v>1016750852</v>
      </c>
      <c r="J32" t="s">
        <v>2427</v>
      </c>
      <c r="L32">
        <v>1243860746</v>
      </c>
      <c r="M32" t="s">
        <v>3674</v>
      </c>
    </row>
    <row r="33" spans="2:13" x14ac:dyDescent="0.3">
      <c r="B33" t="s">
        <v>3796</v>
      </c>
      <c r="C33" t="s">
        <v>1</v>
      </c>
      <c r="D33">
        <v>1026309444</v>
      </c>
      <c r="E33" t="s">
        <v>3670</v>
      </c>
      <c r="G33">
        <v>1243860728</v>
      </c>
      <c r="I33" s="115">
        <v>1140932613</v>
      </c>
      <c r="J33" t="s">
        <v>2427</v>
      </c>
      <c r="L33">
        <v>1027544666</v>
      </c>
      <c r="M33" t="s">
        <v>3674</v>
      </c>
    </row>
    <row r="34" spans="2:13" x14ac:dyDescent="0.3">
      <c r="B34" t="s">
        <v>3797</v>
      </c>
      <c r="C34" t="s">
        <v>1</v>
      </c>
      <c r="D34">
        <v>1026309443</v>
      </c>
      <c r="E34" t="s">
        <v>3670</v>
      </c>
      <c r="G34">
        <v>1023047935</v>
      </c>
      <c r="I34" s="115">
        <v>1023041908</v>
      </c>
      <c r="J34" t="s">
        <v>2427</v>
      </c>
      <c r="L34">
        <v>1206227830</v>
      </c>
      <c r="M34" t="s">
        <v>3674</v>
      </c>
    </row>
    <row r="35" spans="2:13" x14ac:dyDescent="0.3">
      <c r="B35" t="s">
        <v>3798</v>
      </c>
      <c r="C35" t="s">
        <v>1</v>
      </c>
      <c r="D35">
        <v>1026309480</v>
      </c>
      <c r="E35" t="s">
        <v>3670</v>
      </c>
      <c r="G35">
        <v>1119187596</v>
      </c>
      <c r="I35" s="115">
        <v>1023420025</v>
      </c>
      <c r="J35" t="s">
        <v>2427</v>
      </c>
      <c r="L35">
        <v>1023047898</v>
      </c>
      <c r="M35" t="s">
        <v>3674</v>
      </c>
    </row>
    <row r="36" spans="2:13" x14ac:dyDescent="0.3">
      <c r="B36" t="s">
        <v>3799</v>
      </c>
      <c r="C36" t="s">
        <v>1</v>
      </c>
      <c r="D36">
        <v>1026309481</v>
      </c>
      <c r="E36" t="s">
        <v>3670</v>
      </c>
      <c r="G36">
        <v>1023047865</v>
      </c>
      <c r="I36" s="115">
        <v>1016749017</v>
      </c>
      <c r="J36" t="s">
        <v>2427</v>
      </c>
      <c r="L36">
        <v>1023014503</v>
      </c>
      <c r="M36" t="s">
        <v>3674</v>
      </c>
    </row>
    <row r="37" spans="2:13" x14ac:dyDescent="0.3">
      <c r="B37" t="s">
        <v>3800</v>
      </c>
      <c r="C37" t="s">
        <v>1</v>
      </c>
      <c r="D37">
        <v>1023045902</v>
      </c>
      <c r="E37" t="s">
        <v>3670</v>
      </c>
      <c r="G37">
        <v>1023046291</v>
      </c>
      <c r="I37" s="115">
        <v>1243858843</v>
      </c>
      <c r="J37" t="s">
        <v>2427</v>
      </c>
      <c r="L37">
        <v>1023047865</v>
      </c>
      <c r="M37" t="s">
        <v>3674</v>
      </c>
    </row>
    <row r="38" spans="2:13" x14ac:dyDescent="0.3">
      <c r="B38" t="s">
        <v>3801</v>
      </c>
      <c r="C38" t="s">
        <v>1</v>
      </c>
      <c r="D38">
        <v>1023045777</v>
      </c>
      <c r="E38" t="s">
        <v>3670</v>
      </c>
      <c r="G38">
        <v>1023004072</v>
      </c>
      <c r="I38" s="115">
        <v>1119187596</v>
      </c>
      <c r="J38" t="s">
        <v>2427</v>
      </c>
      <c r="L38">
        <v>1023047785</v>
      </c>
      <c r="M38" t="s">
        <v>3674</v>
      </c>
    </row>
    <row r="39" spans="2:13" x14ac:dyDescent="0.3">
      <c r="B39" t="s">
        <v>3802</v>
      </c>
      <c r="C39" t="s">
        <v>1</v>
      </c>
      <c r="D39">
        <v>1245078200</v>
      </c>
      <c r="E39" t="s">
        <v>3670</v>
      </c>
      <c r="G39">
        <v>1016753167</v>
      </c>
      <c r="I39" s="115">
        <v>1063313739</v>
      </c>
      <c r="J39" t="s">
        <v>2428</v>
      </c>
      <c r="L39">
        <v>1013698567</v>
      </c>
      <c r="M39" t="s">
        <v>3674</v>
      </c>
    </row>
    <row r="40" spans="2:13" x14ac:dyDescent="0.3">
      <c r="B40" t="s">
        <v>3803</v>
      </c>
      <c r="C40" t="s">
        <v>1</v>
      </c>
      <c r="D40">
        <v>1206226361</v>
      </c>
      <c r="E40" t="s">
        <v>3670</v>
      </c>
      <c r="G40">
        <v>1012926906</v>
      </c>
      <c r="I40" s="115">
        <v>1243860728</v>
      </c>
      <c r="J40" t="s">
        <v>2427</v>
      </c>
      <c r="L40">
        <v>1033830973</v>
      </c>
      <c r="M40" t="s">
        <v>3674</v>
      </c>
    </row>
    <row r="41" spans="2:13" x14ac:dyDescent="0.3">
      <c r="B41" t="s">
        <v>3804</v>
      </c>
      <c r="C41" t="s">
        <v>1</v>
      </c>
      <c r="D41">
        <v>1243859906</v>
      </c>
      <c r="E41" t="s">
        <v>3670</v>
      </c>
      <c r="G41">
        <v>1233698686</v>
      </c>
      <c r="I41" s="115">
        <v>1030046839</v>
      </c>
      <c r="J41" t="s">
        <v>2427</v>
      </c>
      <c r="L41">
        <v>1023047935</v>
      </c>
      <c r="M41" t="s">
        <v>3674</v>
      </c>
    </row>
    <row r="42" spans="2:13" x14ac:dyDescent="0.3">
      <c r="B42" t="s">
        <v>3805</v>
      </c>
      <c r="C42" t="s">
        <v>1</v>
      </c>
      <c r="D42">
        <v>1023045509</v>
      </c>
      <c r="E42" t="s">
        <v>3670</v>
      </c>
      <c r="G42">
        <v>1023047644</v>
      </c>
      <c r="I42" s="115">
        <v>1140939399</v>
      </c>
      <c r="J42" t="s">
        <v>2427</v>
      </c>
      <c r="L42">
        <v>1243860849</v>
      </c>
      <c r="M42" t="s">
        <v>3674</v>
      </c>
    </row>
    <row r="43" spans="2:13" x14ac:dyDescent="0.3">
      <c r="B43" t="s">
        <v>3806</v>
      </c>
      <c r="C43" t="s">
        <v>1</v>
      </c>
      <c r="D43">
        <v>1140939471</v>
      </c>
      <c r="E43" t="s">
        <v>3670</v>
      </c>
      <c r="G43">
        <v>1034319423</v>
      </c>
      <c r="I43" s="115">
        <v>1023420650</v>
      </c>
      <c r="J43" t="s">
        <v>2427</v>
      </c>
      <c r="L43">
        <v>1013030625</v>
      </c>
      <c r="M43" t="s">
        <v>3674</v>
      </c>
    </row>
    <row r="44" spans="2:13" x14ac:dyDescent="0.3">
      <c r="B44" t="s">
        <v>3807</v>
      </c>
      <c r="C44" t="s">
        <v>1</v>
      </c>
      <c r="D44">
        <v>1243859333</v>
      </c>
      <c r="E44" t="s">
        <v>3670</v>
      </c>
      <c r="G44">
        <v>1031544861</v>
      </c>
      <c r="I44" s="115" t="s">
        <v>3712</v>
      </c>
      <c r="J44" t="s">
        <v>2427</v>
      </c>
      <c r="L44">
        <v>1023047751</v>
      </c>
      <c r="M44" t="s">
        <v>3674</v>
      </c>
    </row>
    <row r="45" spans="2:13" x14ac:dyDescent="0.3">
      <c r="B45" t="s">
        <v>3808</v>
      </c>
      <c r="C45" t="s">
        <v>1</v>
      </c>
      <c r="D45">
        <v>1016750544</v>
      </c>
      <c r="E45" t="s">
        <v>3670</v>
      </c>
      <c r="G45">
        <v>1023047211</v>
      </c>
      <c r="I45" s="115">
        <v>1034672281</v>
      </c>
      <c r="J45" t="s">
        <v>2427</v>
      </c>
      <c r="L45">
        <v>1023047711</v>
      </c>
      <c r="M45" t="s">
        <v>3674</v>
      </c>
    </row>
    <row r="46" spans="2:13" x14ac:dyDescent="0.3">
      <c r="B46" t="s">
        <v>3809</v>
      </c>
      <c r="C46" t="s">
        <v>1</v>
      </c>
      <c r="D46">
        <v>1016750021</v>
      </c>
      <c r="E46" t="s">
        <v>3670</v>
      </c>
      <c r="G46">
        <v>1023046982</v>
      </c>
      <c r="I46" s="115">
        <v>1020010439</v>
      </c>
      <c r="J46" t="s">
        <v>2427</v>
      </c>
      <c r="L46">
        <v>1011262098</v>
      </c>
      <c r="M46" t="s">
        <v>3674</v>
      </c>
    </row>
    <row r="47" spans="2:13" x14ac:dyDescent="0.3">
      <c r="B47" t="s">
        <v>3810</v>
      </c>
      <c r="C47" t="s">
        <v>1</v>
      </c>
      <c r="D47">
        <v>1243859093</v>
      </c>
      <c r="E47" t="s">
        <v>3670</v>
      </c>
      <c r="G47">
        <v>1033829763</v>
      </c>
      <c r="I47" s="115">
        <v>1023047989</v>
      </c>
      <c r="J47" t="s">
        <v>2427</v>
      </c>
      <c r="L47">
        <v>1023047672</v>
      </c>
      <c r="M47" t="s">
        <v>3674</v>
      </c>
    </row>
    <row r="48" spans="2:13" x14ac:dyDescent="0.3">
      <c r="B48" t="s">
        <v>3811</v>
      </c>
      <c r="C48" t="s">
        <v>3708</v>
      </c>
      <c r="D48" t="s">
        <v>3717</v>
      </c>
      <c r="E48" t="s">
        <v>3670</v>
      </c>
      <c r="G48">
        <v>1020010439</v>
      </c>
      <c r="I48" s="115">
        <v>1022959952</v>
      </c>
      <c r="J48" t="s">
        <v>2428</v>
      </c>
      <c r="L48">
        <v>1026604149</v>
      </c>
      <c r="M48" t="s">
        <v>3674</v>
      </c>
    </row>
    <row r="49" spans="2:13" x14ac:dyDescent="0.3">
      <c r="B49" t="s">
        <v>3812</v>
      </c>
      <c r="C49" t="s">
        <v>1</v>
      </c>
      <c r="D49">
        <v>1243858630</v>
      </c>
      <c r="E49" t="s">
        <v>3670</v>
      </c>
      <c r="G49">
        <v>1023045131</v>
      </c>
      <c r="I49" s="115">
        <v>1033830973</v>
      </c>
      <c r="J49" t="s">
        <v>2427</v>
      </c>
      <c r="L49">
        <v>1206227657</v>
      </c>
      <c r="M49" t="s">
        <v>3674</v>
      </c>
    </row>
    <row r="50" spans="2:13" x14ac:dyDescent="0.3">
      <c r="B50" t="s">
        <v>3813</v>
      </c>
      <c r="C50" t="s">
        <v>1</v>
      </c>
      <c r="D50">
        <v>1106639928</v>
      </c>
      <c r="E50" t="s">
        <v>3670</v>
      </c>
      <c r="G50">
        <v>1013156278</v>
      </c>
      <c r="I50" s="115">
        <v>1023046020</v>
      </c>
      <c r="J50" t="s">
        <v>2427</v>
      </c>
      <c r="L50">
        <v>1026604134</v>
      </c>
      <c r="M50" t="s">
        <v>3674</v>
      </c>
    </row>
    <row r="51" spans="2:13" x14ac:dyDescent="0.3">
      <c r="B51" t="s">
        <v>3814</v>
      </c>
      <c r="C51" t="s">
        <v>3708</v>
      </c>
      <c r="D51" t="s">
        <v>3713</v>
      </c>
      <c r="E51" t="s">
        <v>3670</v>
      </c>
      <c r="G51">
        <v>1243762294</v>
      </c>
      <c r="I51" s="115">
        <v>1017223010</v>
      </c>
      <c r="J51" t="s">
        <v>2427</v>
      </c>
      <c r="L51">
        <v>1023047668</v>
      </c>
      <c r="M51" t="s">
        <v>3674</v>
      </c>
    </row>
    <row r="52" spans="2:13" x14ac:dyDescent="0.3">
      <c r="B52" t="s">
        <v>3815</v>
      </c>
      <c r="C52" t="s">
        <v>1</v>
      </c>
      <c r="D52">
        <v>1034404976</v>
      </c>
      <c r="E52" t="s">
        <v>3670</v>
      </c>
      <c r="G52">
        <v>1243860492</v>
      </c>
      <c r="I52" s="115">
        <v>1021696822</v>
      </c>
      <c r="J52" t="s">
        <v>2427</v>
      </c>
      <c r="L52">
        <v>1243860756</v>
      </c>
      <c r="M52" t="s">
        <v>3674</v>
      </c>
    </row>
    <row r="53" spans="2:13" x14ac:dyDescent="0.3">
      <c r="B53" t="s">
        <v>3816</v>
      </c>
      <c r="C53" t="s">
        <v>1</v>
      </c>
      <c r="D53">
        <v>1140936306</v>
      </c>
      <c r="E53" t="s">
        <v>3670</v>
      </c>
      <c r="G53">
        <v>1013375578</v>
      </c>
      <c r="I53" s="115">
        <v>1023045269</v>
      </c>
      <c r="J53" t="s">
        <v>2427</v>
      </c>
      <c r="L53">
        <v>1021696822</v>
      </c>
      <c r="M53" t="s">
        <v>3674</v>
      </c>
    </row>
    <row r="54" spans="2:13" x14ac:dyDescent="0.3">
      <c r="B54" t="s">
        <v>3817</v>
      </c>
      <c r="C54" t="s">
        <v>1</v>
      </c>
      <c r="D54">
        <v>1233698686</v>
      </c>
      <c r="E54" t="s">
        <v>3670</v>
      </c>
      <c r="G54">
        <v>1245078260</v>
      </c>
      <c r="I54" s="115">
        <v>1023047751</v>
      </c>
      <c r="J54" t="s">
        <v>2427</v>
      </c>
      <c r="L54">
        <v>1243860754</v>
      </c>
      <c r="M54" t="s">
        <v>3674</v>
      </c>
    </row>
    <row r="55" spans="2:13" x14ac:dyDescent="0.3">
      <c r="B55" t="s">
        <v>3818</v>
      </c>
      <c r="C55" t="s">
        <v>1</v>
      </c>
      <c r="D55" s="115">
        <v>1013698567</v>
      </c>
      <c r="E55" t="s">
        <v>3674</v>
      </c>
      <c r="G55">
        <v>1016752849</v>
      </c>
      <c r="I55" s="115">
        <v>1243859299</v>
      </c>
      <c r="J55" t="s">
        <v>2427</v>
      </c>
      <c r="L55">
        <v>1016753167</v>
      </c>
      <c r="M55" t="s">
        <v>3674</v>
      </c>
    </row>
    <row r="56" spans="2:13" x14ac:dyDescent="0.3">
      <c r="B56" t="s">
        <v>3819</v>
      </c>
      <c r="C56" t="s">
        <v>1</v>
      </c>
      <c r="D56" s="115">
        <v>1033830973</v>
      </c>
      <c r="E56" t="s">
        <v>3674</v>
      </c>
      <c r="G56">
        <v>1106639928</v>
      </c>
      <c r="I56" s="115">
        <v>1140937336</v>
      </c>
      <c r="J56" t="s">
        <v>2427</v>
      </c>
      <c r="L56">
        <v>1023047678</v>
      </c>
      <c r="M56" t="s">
        <v>3674</v>
      </c>
    </row>
    <row r="57" spans="2:13" x14ac:dyDescent="0.3">
      <c r="B57" t="s">
        <v>3820</v>
      </c>
      <c r="C57" t="s">
        <v>1</v>
      </c>
      <c r="D57" s="115">
        <v>1023047935</v>
      </c>
      <c r="E57" t="s">
        <v>3674</v>
      </c>
      <c r="G57">
        <v>1000990097</v>
      </c>
      <c r="I57" s="115">
        <v>1021695137</v>
      </c>
      <c r="J57" t="s">
        <v>2427</v>
      </c>
      <c r="L57">
        <v>1245079481</v>
      </c>
      <c r="M57" t="s">
        <v>3674</v>
      </c>
    </row>
    <row r="58" spans="2:13" x14ac:dyDescent="0.3">
      <c r="B58" t="s">
        <v>3821</v>
      </c>
      <c r="C58" t="s">
        <v>1</v>
      </c>
      <c r="D58" s="115">
        <v>1206227830</v>
      </c>
      <c r="E58" t="s">
        <v>3674</v>
      </c>
      <c r="G58">
        <v>1006150505</v>
      </c>
      <c r="I58" s="115">
        <v>1023046352</v>
      </c>
      <c r="J58" t="s">
        <v>2427</v>
      </c>
      <c r="L58">
        <v>1023047526</v>
      </c>
      <c r="M58" t="s">
        <v>3674</v>
      </c>
    </row>
    <row r="59" spans="2:13" x14ac:dyDescent="0.3">
      <c r="B59" t="s">
        <v>3822</v>
      </c>
      <c r="C59" t="s">
        <v>1</v>
      </c>
      <c r="D59">
        <v>1023047898</v>
      </c>
      <c r="E59" t="s">
        <v>3674</v>
      </c>
      <c r="G59">
        <v>1023046490</v>
      </c>
      <c r="I59" s="115">
        <v>1243859093</v>
      </c>
      <c r="J59" t="s">
        <v>2427</v>
      </c>
      <c r="L59">
        <v>1047520185</v>
      </c>
      <c r="M59" t="s">
        <v>3674</v>
      </c>
    </row>
    <row r="60" spans="2:13" x14ac:dyDescent="0.3">
      <c r="B60" t="s">
        <v>3823</v>
      </c>
      <c r="C60" t="s">
        <v>1</v>
      </c>
      <c r="D60" s="115">
        <v>1023047925</v>
      </c>
      <c r="E60" t="s">
        <v>3674</v>
      </c>
      <c r="G60">
        <v>1023044822</v>
      </c>
      <c r="I60" s="115">
        <v>1016750544</v>
      </c>
      <c r="J60" t="s">
        <v>2427</v>
      </c>
      <c r="L60">
        <v>1075326513</v>
      </c>
      <c r="M60" t="s">
        <v>3674</v>
      </c>
    </row>
    <row r="61" spans="2:13" x14ac:dyDescent="0.3">
      <c r="B61" t="s">
        <v>3824</v>
      </c>
      <c r="C61" t="s">
        <v>1</v>
      </c>
      <c r="D61" s="115">
        <v>1243860849</v>
      </c>
      <c r="E61" t="s">
        <v>3674</v>
      </c>
      <c r="G61">
        <v>1243859906</v>
      </c>
      <c r="I61" s="115">
        <v>1000253490</v>
      </c>
      <c r="J61" t="s">
        <v>2427</v>
      </c>
      <c r="L61">
        <v>1023047680</v>
      </c>
      <c r="M61" t="s">
        <v>3674</v>
      </c>
    </row>
    <row r="62" spans="2:13" x14ac:dyDescent="0.3">
      <c r="B62" t="s">
        <v>3825</v>
      </c>
      <c r="C62" t="s">
        <v>1</v>
      </c>
      <c r="D62" s="115">
        <v>1013030625</v>
      </c>
      <c r="E62" t="s">
        <v>3674</v>
      </c>
      <c r="G62">
        <v>1019160387</v>
      </c>
      <c r="I62" s="115">
        <v>1013698567</v>
      </c>
      <c r="J62" t="s">
        <v>2427</v>
      </c>
      <c r="L62">
        <v>1023047644</v>
      </c>
      <c r="M62" t="s">
        <v>3674</v>
      </c>
    </row>
    <row r="63" spans="2:13" x14ac:dyDescent="0.3">
      <c r="B63" t="s">
        <v>3826</v>
      </c>
      <c r="C63" t="s">
        <v>1</v>
      </c>
      <c r="D63" s="115">
        <v>1027544666</v>
      </c>
      <c r="E63" t="s">
        <v>3674</v>
      </c>
      <c r="G63">
        <v>1023045915</v>
      </c>
      <c r="I63" s="115">
        <v>1001094722</v>
      </c>
      <c r="J63" t="s">
        <v>2427</v>
      </c>
      <c r="L63">
        <v>1243860728</v>
      </c>
      <c r="M63" t="s">
        <v>3674</v>
      </c>
    </row>
    <row r="64" spans="2:13" x14ac:dyDescent="0.3">
      <c r="B64" t="s">
        <v>3827</v>
      </c>
      <c r="C64" t="s">
        <v>1</v>
      </c>
      <c r="D64" s="115">
        <v>1023014503</v>
      </c>
      <c r="E64" t="s">
        <v>3674</v>
      </c>
      <c r="G64">
        <v>1023047751</v>
      </c>
      <c r="I64" s="115">
        <v>1023046195</v>
      </c>
      <c r="J64" t="s">
        <v>2427</v>
      </c>
      <c r="L64">
        <v>1023047519</v>
      </c>
      <c r="M64" t="s">
        <v>3674</v>
      </c>
    </row>
    <row r="65" spans="2:13" x14ac:dyDescent="0.3">
      <c r="B65" t="s">
        <v>3828</v>
      </c>
      <c r="C65" t="s">
        <v>1</v>
      </c>
      <c r="D65" s="115">
        <v>1023047865</v>
      </c>
      <c r="E65" t="s">
        <v>3674</v>
      </c>
      <c r="G65">
        <v>1193073564</v>
      </c>
      <c r="I65" s="115">
        <v>1023045537</v>
      </c>
      <c r="J65" t="s">
        <v>2427</v>
      </c>
      <c r="L65">
        <v>1013698425</v>
      </c>
      <c r="M65" t="s">
        <v>3674</v>
      </c>
    </row>
    <row r="66" spans="2:13" x14ac:dyDescent="0.3">
      <c r="B66" t="s">
        <v>3829</v>
      </c>
      <c r="C66" t="s">
        <v>1</v>
      </c>
      <c r="D66" s="115">
        <v>1023047751</v>
      </c>
      <c r="E66" t="s">
        <v>3674</v>
      </c>
      <c r="G66">
        <v>1023047290</v>
      </c>
      <c r="I66" s="115">
        <v>1243859420</v>
      </c>
      <c r="J66" t="s">
        <v>2427</v>
      </c>
      <c r="L66">
        <v>1023047549</v>
      </c>
      <c r="M66" t="s">
        <v>3674</v>
      </c>
    </row>
    <row r="67" spans="2:13" x14ac:dyDescent="0.3">
      <c r="B67" t="s">
        <v>3830</v>
      </c>
      <c r="C67" t="s">
        <v>1</v>
      </c>
      <c r="D67" s="115">
        <v>1023047711</v>
      </c>
      <c r="E67" t="s">
        <v>3674</v>
      </c>
      <c r="G67">
        <v>1023047526</v>
      </c>
      <c r="I67" s="115">
        <v>52290576</v>
      </c>
      <c r="J67" t="s">
        <v>2427</v>
      </c>
      <c r="L67">
        <v>1233520293</v>
      </c>
      <c r="M67" t="s">
        <v>3674</v>
      </c>
    </row>
    <row r="68" spans="2:13" x14ac:dyDescent="0.3">
      <c r="B68" t="s">
        <v>3831</v>
      </c>
      <c r="C68" t="s">
        <v>1</v>
      </c>
      <c r="D68" s="115">
        <v>1023047785</v>
      </c>
      <c r="E68" t="s">
        <v>3674</v>
      </c>
      <c r="G68">
        <v>52290576</v>
      </c>
      <c r="I68" s="115">
        <v>1023009036</v>
      </c>
      <c r="J68" t="s">
        <v>2427</v>
      </c>
      <c r="L68">
        <v>1023047412</v>
      </c>
      <c r="M68" t="s">
        <v>3674</v>
      </c>
    </row>
    <row r="69" spans="2:13" x14ac:dyDescent="0.3">
      <c r="B69" t="s">
        <v>3832</v>
      </c>
      <c r="C69" t="s">
        <v>1</v>
      </c>
      <c r="D69" s="115">
        <v>1011262098</v>
      </c>
      <c r="E69" t="s">
        <v>3674</v>
      </c>
      <c r="G69">
        <v>1243860582</v>
      </c>
      <c r="I69" s="115">
        <v>1023915703</v>
      </c>
      <c r="J69" t="s">
        <v>2427</v>
      </c>
      <c r="L69">
        <v>11026310144</v>
      </c>
      <c r="M69" t="s">
        <v>3674</v>
      </c>
    </row>
    <row r="70" spans="2:13" x14ac:dyDescent="0.3">
      <c r="B70" t="s">
        <v>3833</v>
      </c>
      <c r="C70" t="s">
        <v>1</v>
      </c>
      <c r="D70" s="115">
        <v>1025568286</v>
      </c>
      <c r="E70" t="s">
        <v>3674</v>
      </c>
      <c r="G70">
        <v>1023047089</v>
      </c>
      <c r="I70" s="115">
        <v>1014485754</v>
      </c>
      <c r="J70" t="s">
        <v>2427</v>
      </c>
      <c r="L70">
        <v>1011261221</v>
      </c>
      <c r="M70" t="s">
        <v>3674</v>
      </c>
    </row>
    <row r="71" spans="2:13" x14ac:dyDescent="0.3">
      <c r="B71" t="s">
        <v>3834</v>
      </c>
      <c r="C71" t="s">
        <v>1</v>
      </c>
      <c r="D71" s="115">
        <v>1243860728</v>
      </c>
      <c r="E71" t="s">
        <v>3674</v>
      </c>
      <c r="G71">
        <v>1243858312</v>
      </c>
      <c r="I71" s="115">
        <v>1001300941</v>
      </c>
      <c r="J71" t="s">
        <v>2427</v>
      </c>
      <c r="L71">
        <v>1023047293</v>
      </c>
      <c r="M71" t="s">
        <v>3674</v>
      </c>
    </row>
    <row r="72" spans="2:13" x14ac:dyDescent="0.3">
      <c r="B72" t="s">
        <v>3835</v>
      </c>
      <c r="C72" t="s">
        <v>1</v>
      </c>
      <c r="D72" s="115">
        <v>1023047519</v>
      </c>
      <c r="E72" t="s">
        <v>3674</v>
      </c>
      <c r="G72">
        <v>1018519486</v>
      </c>
      <c r="I72" s="115">
        <v>1245078680</v>
      </c>
      <c r="J72" t="s">
        <v>2427</v>
      </c>
      <c r="L72">
        <v>1023047313</v>
      </c>
      <c r="M72" t="s">
        <v>3674</v>
      </c>
    </row>
    <row r="73" spans="2:13" x14ac:dyDescent="0.3">
      <c r="B73" t="s">
        <v>3836</v>
      </c>
      <c r="C73" t="s">
        <v>1</v>
      </c>
      <c r="D73" s="115">
        <v>1013698425</v>
      </c>
      <c r="E73" t="s">
        <v>3674</v>
      </c>
      <c r="G73">
        <v>1016120086</v>
      </c>
      <c r="I73" s="115">
        <v>1029155022</v>
      </c>
      <c r="J73" t="s">
        <v>2427</v>
      </c>
      <c r="L73">
        <v>1016752849</v>
      </c>
      <c r="M73" t="s">
        <v>3674</v>
      </c>
    </row>
    <row r="74" spans="2:13" x14ac:dyDescent="0.3">
      <c r="B74" t="s">
        <v>3837</v>
      </c>
      <c r="C74" t="s">
        <v>1</v>
      </c>
      <c r="D74" s="115">
        <v>1023047549</v>
      </c>
      <c r="E74" t="s">
        <v>3674</v>
      </c>
      <c r="G74">
        <v>1023047668</v>
      </c>
      <c r="I74" s="115">
        <v>1023046469</v>
      </c>
      <c r="J74" t="s">
        <v>2427</v>
      </c>
      <c r="L74">
        <v>1023047290</v>
      </c>
      <c r="M74" t="s">
        <v>3674</v>
      </c>
    </row>
    <row r="75" spans="2:13" x14ac:dyDescent="0.3">
      <c r="B75" t="s">
        <v>3838</v>
      </c>
      <c r="C75" t="s">
        <v>1</v>
      </c>
      <c r="D75" s="115">
        <v>1243860756</v>
      </c>
      <c r="E75" t="s">
        <v>3674</v>
      </c>
      <c r="G75">
        <v>1023045902</v>
      </c>
      <c r="I75" s="115">
        <v>1146150152</v>
      </c>
      <c r="J75" t="s">
        <v>2427</v>
      </c>
      <c r="L75">
        <v>1023047223</v>
      </c>
      <c r="M75" t="s">
        <v>3674</v>
      </c>
    </row>
    <row r="76" spans="2:13" x14ac:dyDescent="0.3">
      <c r="B76" t="s">
        <v>3839</v>
      </c>
      <c r="C76" t="s">
        <v>1</v>
      </c>
      <c r="D76" s="115">
        <v>1021696822</v>
      </c>
      <c r="E76" t="s">
        <v>3674</v>
      </c>
      <c r="G76">
        <v>1243859248</v>
      </c>
      <c r="I76" s="115">
        <v>1023046357</v>
      </c>
      <c r="J76" t="s">
        <v>2427</v>
      </c>
      <c r="L76">
        <v>10233047474</v>
      </c>
      <c r="M76" t="s">
        <v>3674</v>
      </c>
    </row>
    <row r="77" spans="2:13" x14ac:dyDescent="0.3">
      <c r="B77" t="s">
        <v>3840</v>
      </c>
      <c r="C77" t="s">
        <v>1</v>
      </c>
      <c r="D77" s="115">
        <v>1023047672</v>
      </c>
      <c r="E77" t="s">
        <v>3674</v>
      </c>
      <c r="G77">
        <v>1245078680</v>
      </c>
      <c r="I77" s="115">
        <v>1034322680</v>
      </c>
      <c r="J77" t="s">
        <v>2427</v>
      </c>
      <c r="L77">
        <v>1023047266</v>
      </c>
      <c r="M77" t="s">
        <v>3674</v>
      </c>
    </row>
    <row r="78" spans="2:13" x14ac:dyDescent="0.3">
      <c r="B78" t="s">
        <v>3841</v>
      </c>
      <c r="C78" t="s">
        <v>1</v>
      </c>
      <c r="D78" s="115">
        <v>1026604149</v>
      </c>
      <c r="E78" t="s">
        <v>3674</v>
      </c>
      <c r="G78">
        <v>1032946299</v>
      </c>
      <c r="I78" s="115">
        <v>1243858572</v>
      </c>
      <c r="J78" t="s">
        <v>2427</v>
      </c>
      <c r="L78">
        <v>1023047348</v>
      </c>
      <c r="M78" t="s">
        <v>3674</v>
      </c>
    </row>
    <row r="79" spans="2:13" x14ac:dyDescent="0.3">
      <c r="B79" t="s">
        <v>3842</v>
      </c>
      <c r="C79" t="s">
        <v>1</v>
      </c>
      <c r="D79" s="115">
        <v>1206227657</v>
      </c>
      <c r="E79" t="s">
        <v>3674</v>
      </c>
      <c r="G79" t="s">
        <v>3711</v>
      </c>
      <c r="I79" s="115">
        <v>1013155990</v>
      </c>
      <c r="J79" t="s">
        <v>2427</v>
      </c>
      <c r="L79">
        <v>1023047595</v>
      </c>
      <c r="M79" t="s">
        <v>3674</v>
      </c>
    </row>
    <row r="80" spans="2:13" x14ac:dyDescent="0.3">
      <c r="B80" t="s">
        <v>3843</v>
      </c>
      <c r="C80" t="s">
        <v>1</v>
      </c>
      <c r="D80" s="115">
        <v>1243860754</v>
      </c>
      <c r="E80" t="s">
        <v>3674</v>
      </c>
      <c r="G80">
        <v>1023047792</v>
      </c>
      <c r="I80" s="115">
        <v>1031544861</v>
      </c>
      <c r="J80" t="s">
        <v>2427</v>
      </c>
      <c r="L80">
        <v>1021695137</v>
      </c>
      <c r="M80" t="s">
        <v>3672</v>
      </c>
    </row>
    <row r="81" spans="2:13" x14ac:dyDescent="0.3">
      <c r="B81" t="s">
        <v>3844</v>
      </c>
      <c r="C81" t="s">
        <v>1</v>
      </c>
      <c r="D81" s="115">
        <v>1026604134</v>
      </c>
      <c r="E81" t="s">
        <v>3674</v>
      </c>
      <c r="G81">
        <v>1023046883</v>
      </c>
      <c r="I81" s="115" t="s">
        <v>3713</v>
      </c>
      <c r="J81" t="s">
        <v>2427</v>
      </c>
      <c r="L81" t="s">
        <v>3714</v>
      </c>
      <c r="M81" t="s">
        <v>3672</v>
      </c>
    </row>
    <row r="82" spans="2:13" x14ac:dyDescent="0.3">
      <c r="B82" t="s">
        <v>3845</v>
      </c>
      <c r="C82" t="s">
        <v>1</v>
      </c>
      <c r="D82" s="115">
        <v>1023047668</v>
      </c>
      <c r="E82" t="s">
        <v>3674</v>
      </c>
      <c r="G82">
        <v>1146150152</v>
      </c>
      <c r="I82" s="115">
        <v>1002646913</v>
      </c>
      <c r="J82" t="s">
        <v>2427</v>
      </c>
      <c r="L82">
        <v>1243858675</v>
      </c>
      <c r="M82" t="s">
        <v>3672</v>
      </c>
    </row>
    <row r="83" spans="2:13" x14ac:dyDescent="0.3">
      <c r="B83" t="s">
        <v>3846</v>
      </c>
      <c r="C83" t="s">
        <v>1</v>
      </c>
      <c r="D83" s="115">
        <v>1016753167</v>
      </c>
      <c r="E83" t="s">
        <v>3674</v>
      </c>
      <c r="G83">
        <v>1012927098</v>
      </c>
      <c r="I83" s="115">
        <v>1000990097</v>
      </c>
      <c r="J83" t="s">
        <v>2427</v>
      </c>
      <c r="L83">
        <v>1013156586</v>
      </c>
      <c r="M83" t="s">
        <v>3672</v>
      </c>
    </row>
    <row r="84" spans="2:13" x14ac:dyDescent="0.3">
      <c r="B84" t="s">
        <v>3847</v>
      </c>
      <c r="C84" t="s">
        <v>1</v>
      </c>
      <c r="D84" s="115">
        <v>1023047678</v>
      </c>
      <c r="E84" t="s">
        <v>3674</v>
      </c>
      <c r="G84">
        <v>1023046416</v>
      </c>
      <c r="I84" s="115">
        <v>1023035592</v>
      </c>
      <c r="J84" t="s">
        <v>2427</v>
      </c>
      <c r="L84">
        <v>1023046291</v>
      </c>
      <c r="M84" t="s">
        <v>3672</v>
      </c>
    </row>
    <row r="85" spans="2:13" x14ac:dyDescent="0.3">
      <c r="B85" t="s">
        <v>3848</v>
      </c>
      <c r="C85" t="s">
        <v>1</v>
      </c>
      <c r="D85" s="115">
        <v>1245079481</v>
      </c>
      <c r="E85" t="s">
        <v>3674</v>
      </c>
      <c r="G85">
        <v>1031187767</v>
      </c>
      <c r="I85" s="115">
        <v>1000362531</v>
      </c>
      <c r="J85" t="s">
        <v>2427</v>
      </c>
      <c r="L85">
        <v>1243858309</v>
      </c>
      <c r="M85" t="s">
        <v>3672</v>
      </c>
    </row>
    <row r="86" spans="2:13" x14ac:dyDescent="0.3">
      <c r="B86" t="s">
        <v>3849</v>
      </c>
      <c r="C86" t="s">
        <v>1</v>
      </c>
      <c r="D86" s="115">
        <v>1023047526</v>
      </c>
      <c r="E86" t="s">
        <v>3674</v>
      </c>
      <c r="G86">
        <v>1243859055</v>
      </c>
      <c r="I86" s="115">
        <v>1030695904</v>
      </c>
      <c r="J86" t="s">
        <v>2427</v>
      </c>
      <c r="L86">
        <v>1140938580</v>
      </c>
      <c r="M86" t="s">
        <v>3672</v>
      </c>
    </row>
    <row r="87" spans="2:13" x14ac:dyDescent="0.3">
      <c r="B87" t="s">
        <v>3850</v>
      </c>
      <c r="C87" t="s">
        <v>1</v>
      </c>
      <c r="D87" s="115">
        <v>1047520185</v>
      </c>
      <c r="E87" t="s">
        <v>3674</v>
      </c>
      <c r="G87">
        <v>1140939460</v>
      </c>
      <c r="I87" s="115">
        <v>1000937467</v>
      </c>
      <c r="J87" t="s">
        <v>2427</v>
      </c>
      <c r="L87">
        <v>1023046277</v>
      </c>
      <c r="M87" t="s">
        <v>3672</v>
      </c>
    </row>
    <row r="88" spans="2:13" x14ac:dyDescent="0.3">
      <c r="B88" t="s">
        <v>3851</v>
      </c>
      <c r="C88" t="s">
        <v>1</v>
      </c>
      <c r="D88" s="115">
        <v>11026310144</v>
      </c>
      <c r="E88" t="s">
        <v>3674</v>
      </c>
      <c r="G88">
        <v>1023047163</v>
      </c>
      <c r="I88" s="115">
        <v>1023001341</v>
      </c>
      <c r="J88" t="s">
        <v>2427</v>
      </c>
      <c r="L88">
        <v>1243860015</v>
      </c>
      <c r="M88" t="s">
        <v>3672</v>
      </c>
    </row>
    <row r="89" spans="2:13" x14ac:dyDescent="0.3">
      <c r="B89" t="s">
        <v>3852</v>
      </c>
      <c r="C89" t="s">
        <v>1</v>
      </c>
      <c r="D89" s="115">
        <v>1011261221</v>
      </c>
      <c r="E89" t="s">
        <v>3674</v>
      </c>
      <c r="G89">
        <v>1140937336</v>
      </c>
      <c r="I89" s="115">
        <v>1073234865</v>
      </c>
      <c r="J89" t="s">
        <v>2427</v>
      </c>
      <c r="L89">
        <v>1023046418</v>
      </c>
      <c r="M89" t="s">
        <v>3672</v>
      </c>
    </row>
    <row r="90" spans="2:13" x14ac:dyDescent="0.3">
      <c r="B90" t="s">
        <v>3853</v>
      </c>
      <c r="C90" t="s">
        <v>1</v>
      </c>
      <c r="D90" s="115">
        <v>1023047293</v>
      </c>
      <c r="E90" t="s">
        <v>3674</v>
      </c>
      <c r="G90">
        <v>1023988413</v>
      </c>
      <c r="I90" s="115">
        <v>1016752849</v>
      </c>
      <c r="J90" t="s">
        <v>2427</v>
      </c>
      <c r="L90">
        <v>1023044785</v>
      </c>
      <c r="M90" t="s">
        <v>3672</v>
      </c>
    </row>
    <row r="91" spans="2:13" x14ac:dyDescent="0.3">
      <c r="B91" t="s">
        <v>3854</v>
      </c>
      <c r="C91" t="s">
        <v>1</v>
      </c>
      <c r="D91" s="115">
        <v>1023047266</v>
      </c>
      <c r="E91" t="s">
        <v>3674</v>
      </c>
      <c r="G91">
        <v>1021696822</v>
      </c>
      <c r="I91" s="115">
        <v>1023047290</v>
      </c>
      <c r="J91" t="s">
        <v>2427</v>
      </c>
      <c r="L91">
        <v>1122539379</v>
      </c>
      <c r="M91" t="s">
        <v>3672</v>
      </c>
    </row>
    <row r="92" spans="2:13" x14ac:dyDescent="0.3">
      <c r="B92" t="s">
        <v>3855</v>
      </c>
      <c r="C92" t="s">
        <v>1</v>
      </c>
      <c r="D92" s="115">
        <v>1023047313</v>
      </c>
      <c r="E92" t="s">
        <v>3674</v>
      </c>
      <c r="G92">
        <v>1023987959</v>
      </c>
      <c r="I92" s="115">
        <v>1023047223</v>
      </c>
      <c r="J92" t="s">
        <v>2427</v>
      </c>
      <c r="L92">
        <v>1243860097</v>
      </c>
      <c r="M92" t="s">
        <v>3672</v>
      </c>
    </row>
    <row r="93" spans="2:13" x14ac:dyDescent="0.3">
      <c r="B93" t="s">
        <v>3856</v>
      </c>
      <c r="C93" t="s">
        <v>1</v>
      </c>
      <c r="D93" s="115">
        <v>1016752849</v>
      </c>
      <c r="E93" t="s">
        <v>3674</v>
      </c>
      <c r="G93">
        <v>1016749017</v>
      </c>
      <c r="I93" s="115">
        <v>1023014503</v>
      </c>
      <c r="J93" t="s">
        <v>2427</v>
      </c>
      <c r="L93">
        <v>1022450134</v>
      </c>
      <c r="M93" t="s">
        <v>3672</v>
      </c>
    </row>
    <row r="94" spans="2:13" x14ac:dyDescent="0.3">
      <c r="B94" t="s">
        <v>3857</v>
      </c>
      <c r="C94" t="s">
        <v>1</v>
      </c>
      <c r="D94" s="115">
        <v>1023047290</v>
      </c>
      <c r="E94" t="s">
        <v>3674</v>
      </c>
      <c r="G94">
        <v>1023047101</v>
      </c>
      <c r="I94" s="115">
        <v>1013030625</v>
      </c>
      <c r="J94" t="s">
        <v>2427</v>
      </c>
      <c r="L94">
        <v>1023043602</v>
      </c>
      <c r="M94" t="s">
        <v>3672</v>
      </c>
    </row>
    <row r="95" spans="2:13" x14ac:dyDescent="0.3">
      <c r="B95" t="s">
        <v>3858</v>
      </c>
      <c r="C95" t="s">
        <v>1</v>
      </c>
      <c r="D95" s="115">
        <v>1023047223</v>
      </c>
      <c r="E95" t="s">
        <v>3674</v>
      </c>
      <c r="G95">
        <v>1023035592</v>
      </c>
      <c r="I95" s="115">
        <v>1243860849</v>
      </c>
      <c r="J95" t="s">
        <v>2427</v>
      </c>
      <c r="L95">
        <v>1028845954</v>
      </c>
      <c r="M95" t="s">
        <v>3672</v>
      </c>
    </row>
    <row r="96" spans="2:13" x14ac:dyDescent="0.3">
      <c r="B96" t="s">
        <v>3859</v>
      </c>
      <c r="C96" t="s">
        <v>1</v>
      </c>
      <c r="D96" s="115">
        <v>1023047348</v>
      </c>
      <c r="E96" t="s">
        <v>3674</v>
      </c>
      <c r="G96">
        <v>1026309480</v>
      </c>
      <c r="I96" s="115">
        <v>1027544666</v>
      </c>
      <c r="J96" t="s">
        <v>2427</v>
      </c>
      <c r="L96">
        <v>1027153713</v>
      </c>
      <c r="M96" t="s">
        <v>3672</v>
      </c>
    </row>
    <row r="97" spans="2:13" x14ac:dyDescent="0.3">
      <c r="B97" t="s">
        <v>3860</v>
      </c>
      <c r="C97" t="s">
        <v>1</v>
      </c>
      <c r="D97" s="115">
        <v>1023047211</v>
      </c>
      <c r="E97" t="s">
        <v>3674</v>
      </c>
      <c r="G97">
        <v>53098309</v>
      </c>
      <c r="I97" s="115">
        <v>1023046673</v>
      </c>
      <c r="J97" t="s">
        <v>2427</v>
      </c>
      <c r="L97">
        <v>1023045860</v>
      </c>
      <c r="M97" t="s">
        <v>3672</v>
      </c>
    </row>
    <row r="98" spans="2:13" x14ac:dyDescent="0.3">
      <c r="B98" t="s">
        <v>3861</v>
      </c>
      <c r="C98" t="s">
        <v>1</v>
      </c>
      <c r="D98" s="115">
        <v>1233520293</v>
      </c>
      <c r="E98" t="s">
        <v>3674</v>
      </c>
      <c r="G98">
        <v>1018519928</v>
      </c>
      <c r="I98" s="115">
        <v>1023047089</v>
      </c>
      <c r="J98" t="s">
        <v>2427</v>
      </c>
      <c r="L98">
        <v>1140939460</v>
      </c>
      <c r="M98" t="s">
        <v>3672</v>
      </c>
    </row>
    <row r="99" spans="2:13" x14ac:dyDescent="0.3">
      <c r="B99" t="s">
        <v>3862</v>
      </c>
      <c r="C99" t="s">
        <v>1</v>
      </c>
      <c r="D99" s="115">
        <v>1075326513</v>
      </c>
      <c r="E99" t="s">
        <v>3674</v>
      </c>
      <c r="G99">
        <v>1023047711</v>
      </c>
      <c r="I99" s="115">
        <v>1012927098</v>
      </c>
      <c r="J99" t="s">
        <v>2427</v>
      </c>
      <c r="L99">
        <v>1023046093</v>
      </c>
      <c r="M99" t="s">
        <v>3672</v>
      </c>
    </row>
    <row r="100" spans="2:13" x14ac:dyDescent="0.3">
      <c r="B100" t="s">
        <v>3863</v>
      </c>
      <c r="C100" t="s">
        <v>1</v>
      </c>
      <c r="D100" s="115">
        <v>1023047412</v>
      </c>
      <c r="E100" t="s">
        <v>3674</v>
      </c>
      <c r="G100">
        <v>1023047293</v>
      </c>
      <c r="I100" s="115">
        <v>1243860566</v>
      </c>
      <c r="J100" t="s">
        <v>2427</v>
      </c>
      <c r="L100">
        <v>1034319423</v>
      </c>
      <c r="M100" t="s">
        <v>3672</v>
      </c>
    </row>
    <row r="101" spans="2:13" x14ac:dyDescent="0.3">
      <c r="B101" t="s">
        <v>3864</v>
      </c>
      <c r="C101" t="s">
        <v>1</v>
      </c>
      <c r="D101" s="115">
        <v>1023047474</v>
      </c>
      <c r="E101" t="s">
        <v>3674</v>
      </c>
      <c r="G101">
        <v>1023016125</v>
      </c>
      <c r="I101" s="115">
        <v>1032946299</v>
      </c>
      <c r="J101" t="s">
        <v>2427</v>
      </c>
      <c r="L101">
        <v>1023045953</v>
      </c>
      <c r="M101" t="s">
        <v>3672</v>
      </c>
    </row>
    <row r="102" spans="2:13" x14ac:dyDescent="0.3">
      <c r="B102" t="s">
        <v>3865</v>
      </c>
      <c r="C102" t="s">
        <v>1</v>
      </c>
      <c r="D102">
        <v>1021695137</v>
      </c>
      <c r="E102" t="s">
        <v>3672</v>
      </c>
      <c r="G102" t="s">
        <v>3710</v>
      </c>
      <c r="I102" s="115">
        <v>1031187767</v>
      </c>
      <c r="J102" t="s">
        <v>2427</v>
      </c>
      <c r="L102">
        <v>1016120086</v>
      </c>
      <c r="M102" t="s">
        <v>3672</v>
      </c>
    </row>
    <row r="103" spans="2:13" x14ac:dyDescent="0.3">
      <c r="B103" t="s">
        <v>3866</v>
      </c>
      <c r="C103" t="s">
        <v>3708</v>
      </c>
      <c r="D103" t="s">
        <v>3714</v>
      </c>
      <c r="E103" t="s">
        <v>3672</v>
      </c>
      <c r="G103">
        <v>1148445814</v>
      </c>
      <c r="I103" s="115">
        <v>1023046518</v>
      </c>
      <c r="J103" t="s">
        <v>2427</v>
      </c>
      <c r="L103">
        <v>1026309578</v>
      </c>
      <c r="M103" t="s">
        <v>3672</v>
      </c>
    </row>
    <row r="104" spans="2:13" x14ac:dyDescent="0.3">
      <c r="B104" t="s">
        <v>3867</v>
      </c>
      <c r="C104" t="s">
        <v>1</v>
      </c>
      <c r="D104">
        <v>1243858678</v>
      </c>
      <c r="E104" t="s">
        <v>3672</v>
      </c>
      <c r="G104">
        <v>1013637881</v>
      </c>
      <c r="I104" s="115" t="s">
        <v>3714</v>
      </c>
      <c r="J104" t="s">
        <v>2427</v>
      </c>
      <c r="L104" t="s">
        <v>3716</v>
      </c>
      <c r="M104" t="s">
        <v>3672</v>
      </c>
    </row>
    <row r="105" spans="2:13" x14ac:dyDescent="0.3">
      <c r="B105" t="s">
        <v>3868</v>
      </c>
      <c r="C105" t="s">
        <v>1</v>
      </c>
      <c r="D105">
        <v>1013156586</v>
      </c>
      <c r="E105" t="s">
        <v>3672</v>
      </c>
      <c r="G105">
        <v>1010252069</v>
      </c>
      <c r="I105" s="115">
        <v>1206227284</v>
      </c>
      <c r="J105" t="s">
        <v>2427</v>
      </c>
      <c r="L105">
        <v>1243859287</v>
      </c>
      <c r="M105" t="s">
        <v>3672</v>
      </c>
    </row>
    <row r="106" spans="2:13" x14ac:dyDescent="0.3">
      <c r="B106" t="s">
        <v>3869</v>
      </c>
      <c r="C106" t="s">
        <v>1</v>
      </c>
      <c r="D106">
        <v>1023046291</v>
      </c>
      <c r="E106" t="s">
        <v>3672</v>
      </c>
      <c r="G106">
        <v>1006501046</v>
      </c>
      <c r="I106" s="115">
        <v>1023047167</v>
      </c>
      <c r="J106" t="s">
        <v>2427</v>
      </c>
      <c r="L106">
        <v>1033829949</v>
      </c>
      <c r="M106" t="s">
        <v>3672</v>
      </c>
    </row>
    <row r="107" spans="2:13" x14ac:dyDescent="0.3">
      <c r="B107" t="s">
        <v>3870</v>
      </c>
      <c r="C107" t="s">
        <v>1</v>
      </c>
      <c r="D107">
        <v>1243858309</v>
      </c>
      <c r="E107" t="s">
        <v>3672</v>
      </c>
      <c r="G107">
        <v>1023047223</v>
      </c>
      <c r="I107" s="115" t="s">
        <v>3715</v>
      </c>
      <c r="J107" t="s">
        <v>2427</v>
      </c>
      <c r="L107">
        <v>1023046395</v>
      </c>
      <c r="M107" t="s">
        <v>3672</v>
      </c>
    </row>
    <row r="108" spans="2:13" x14ac:dyDescent="0.3">
      <c r="B108" t="s">
        <v>3871</v>
      </c>
      <c r="C108" t="s">
        <v>1</v>
      </c>
      <c r="D108">
        <v>1140938580</v>
      </c>
      <c r="E108" t="s">
        <v>3672</v>
      </c>
      <c r="G108">
        <v>1030695904</v>
      </c>
      <c r="I108" s="115">
        <v>1023046528</v>
      </c>
      <c r="J108" t="s">
        <v>2427</v>
      </c>
      <c r="L108" s="115">
        <v>1023047089</v>
      </c>
      <c r="M108" t="s">
        <v>3672</v>
      </c>
    </row>
    <row r="109" spans="2:13" x14ac:dyDescent="0.3">
      <c r="B109" t="s">
        <v>3872</v>
      </c>
      <c r="C109" t="s">
        <v>1</v>
      </c>
      <c r="D109">
        <v>1023046277</v>
      </c>
      <c r="E109" t="s">
        <v>3672</v>
      </c>
      <c r="G109">
        <v>1023036790</v>
      </c>
      <c r="I109" s="115">
        <v>1243858675</v>
      </c>
      <c r="J109" t="s">
        <v>2427</v>
      </c>
      <c r="L109">
        <v>1243858572</v>
      </c>
      <c r="M109" t="s">
        <v>3669</v>
      </c>
    </row>
    <row r="110" spans="2:13" x14ac:dyDescent="0.3">
      <c r="B110" t="s">
        <v>3873</v>
      </c>
      <c r="C110" t="s">
        <v>1</v>
      </c>
      <c r="D110">
        <v>1023046401</v>
      </c>
      <c r="E110" t="s">
        <v>3672</v>
      </c>
      <c r="G110">
        <v>1006739736</v>
      </c>
      <c r="I110" s="115">
        <v>1013156586</v>
      </c>
      <c r="J110" t="s">
        <v>2427</v>
      </c>
      <c r="L110">
        <v>1023045269</v>
      </c>
      <c r="M110" t="s">
        <v>3669</v>
      </c>
    </row>
    <row r="111" spans="2:13" x14ac:dyDescent="0.3">
      <c r="B111" t="s">
        <v>3874</v>
      </c>
      <c r="C111" t="s">
        <v>1</v>
      </c>
      <c r="D111">
        <v>1243860015</v>
      </c>
      <c r="E111" t="s">
        <v>3672</v>
      </c>
      <c r="G111">
        <v>1140938580</v>
      </c>
      <c r="I111" s="115">
        <v>1023046291</v>
      </c>
      <c r="J111" t="s">
        <v>2427</v>
      </c>
      <c r="L111">
        <v>1031544861</v>
      </c>
      <c r="M111" t="s">
        <v>3669</v>
      </c>
    </row>
    <row r="112" spans="2:13" x14ac:dyDescent="0.3">
      <c r="B112" t="s">
        <v>3875</v>
      </c>
      <c r="C112" t="s">
        <v>1</v>
      </c>
      <c r="D112">
        <v>1023046418</v>
      </c>
      <c r="E112" t="s">
        <v>3672</v>
      </c>
      <c r="G112">
        <v>1243860746</v>
      </c>
      <c r="I112" s="115">
        <v>1233698686</v>
      </c>
      <c r="J112" t="s">
        <v>2427</v>
      </c>
      <c r="L112">
        <v>1023987959</v>
      </c>
      <c r="M112" t="s">
        <v>3669</v>
      </c>
    </row>
    <row r="113" spans="2:13" x14ac:dyDescent="0.3">
      <c r="B113" t="s">
        <v>3876</v>
      </c>
      <c r="C113" t="s">
        <v>1</v>
      </c>
      <c r="D113">
        <v>1023044785</v>
      </c>
      <c r="E113" t="s">
        <v>3672</v>
      </c>
      <c r="G113">
        <v>1023046195</v>
      </c>
      <c r="I113" s="115">
        <v>1023044822</v>
      </c>
      <c r="J113" t="s">
        <v>2427</v>
      </c>
      <c r="L113">
        <v>1023045870</v>
      </c>
      <c r="M113" t="s">
        <v>3669</v>
      </c>
    </row>
    <row r="114" spans="2:13" x14ac:dyDescent="0.3">
      <c r="B114" t="s">
        <v>3877</v>
      </c>
      <c r="C114" t="s">
        <v>1</v>
      </c>
      <c r="D114">
        <v>1122539379</v>
      </c>
      <c r="E114" t="s">
        <v>3672</v>
      </c>
      <c r="G114">
        <v>1023046518</v>
      </c>
      <c r="I114" s="115">
        <v>1243858309</v>
      </c>
      <c r="J114" t="s">
        <v>2427</v>
      </c>
      <c r="L114">
        <v>1023046429</v>
      </c>
      <c r="M114" t="s">
        <v>3669</v>
      </c>
    </row>
    <row r="115" spans="2:13" x14ac:dyDescent="0.3">
      <c r="B115" t="s">
        <v>3878</v>
      </c>
      <c r="C115" t="s">
        <v>1</v>
      </c>
      <c r="D115">
        <v>1243860097</v>
      </c>
      <c r="E115" t="s">
        <v>3672</v>
      </c>
      <c r="G115">
        <v>1063313739</v>
      </c>
      <c r="I115" s="115">
        <v>1140938580</v>
      </c>
      <c r="J115" t="s">
        <v>2427</v>
      </c>
      <c r="L115">
        <v>1243859299</v>
      </c>
      <c r="M115" t="s">
        <v>3669</v>
      </c>
    </row>
    <row r="116" spans="2:13" x14ac:dyDescent="0.3">
      <c r="B116" t="s">
        <v>3879</v>
      </c>
      <c r="C116" t="s">
        <v>1</v>
      </c>
      <c r="D116">
        <v>1022450134</v>
      </c>
      <c r="E116" t="s">
        <v>3672</v>
      </c>
      <c r="G116">
        <v>1023047313</v>
      </c>
      <c r="I116" s="115" t="s">
        <v>3716</v>
      </c>
      <c r="J116" t="s">
        <v>2427</v>
      </c>
      <c r="L116">
        <v>1023046408</v>
      </c>
      <c r="M116" t="s">
        <v>3669</v>
      </c>
    </row>
    <row r="117" spans="2:13" x14ac:dyDescent="0.3">
      <c r="B117" t="s">
        <v>3880</v>
      </c>
      <c r="C117" t="s">
        <v>1</v>
      </c>
      <c r="D117">
        <v>1023043602</v>
      </c>
      <c r="E117" t="s">
        <v>3672</v>
      </c>
      <c r="G117">
        <v>1243860042</v>
      </c>
      <c r="I117" s="115">
        <v>1023046277</v>
      </c>
      <c r="J117" t="s">
        <v>2427</v>
      </c>
      <c r="L117">
        <v>1243858522</v>
      </c>
      <c r="M117" t="s">
        <v>3669</v>
      </c>
    </row>
    <row r="118" spans="2:13" x14ac:dyDescent="0.3">
      <c r="B118" t="s">
        <v>3881</v>
      </c>
      <c r="C118" t="s">
        <v>1</v>
      </c>
      <c r="D118">
        <v>1028845954</v>
      </c>
      <c r="E118" t="s">
        <v>3672</v>
      </c>
      <c r="G118">
        <v>1023047519</v>
      </c>
      <c r="I118" s="115">
        <v>1023046401</v>
      </c>
      <c r="J118" t="s">
        <v>2427</v>
      </c>
      <c r="L118">
        <v>1140938208</v>
      </c>
      <c r="M118" t="s">
        <v>3669</v>
      </c>
    </row>
    <row r="119" spans="2:13" x14ac:dyDescent="0.3">
      <c r="B119" t="s">
        <v>3882</v>
      </c>
      <c r="C119" t="s">
        <v>1</v>
      </c>
      <c r="D119">
        <v>1027153713</v>
      </c>
      <c r="E119" t="s">
        <v>3672</v>
      </c>
      <c r="G119" t="s">
        <v>3716</v>
      </c>
      <c r="I119" s="115">
        <v>1140937833</v>
      </c>
      <c r="J119" t="s">
        <v>2427</v>
      </c>
      <c r="L119">
        <v>1023045537</v>
      </c>
      <c r="M119" t="s">
        <v>3669</v>
      </c>
    </row>
    <row r="120" spans="2:13" x14ac:dyDescent="0.3">
      <c r="B120" t="s">
        <v>3883</v>
      </c>
      <c r="C120" t="s">
        <v>1</v>
      </c>
      <c r="D120">
        <v>1023045860</v>
      </c>
      <c r="E120" t="s">
        <v>3672</v>
      </c>
      <c r="G120">
        <v>1023045870</v>
      </c>
      <c r="I120" s="115">
        <v>1140937152</v>
      </c>
      <c r="J120" t="s">
        <v>2427</v>
      </c>
      <c r="L120">
        <v>1243859909</v>
      </c>
      <c r="M120" t="s">
        <v>3669</v>
      </c>
    </row>
    <row r="121" spans="2:13" x14ac:dyDescent="0.3">
      <c r="B121" t="s">
        <v>3884</v>
      </c>
      <c r="C121" t="s">
        <v>1</v>
      </c>
      <c r="D121">
        <v>1140939460</v>
      </c>
      <c r="E121" t="s">
        <v>3672</v>
      </c>
      <c r="G121">
        <v>1245078722</v>
      </c>
      <c r="I121" s="115">
        <v>1243860015</v>
      </c>
      <c r="J121" t="s">
        <v>2427</v>
      </c>
      <c r="L121">
        <v>1243859909</v>
      </c>
      <c r="M121" t="s">
        <v>3669</v>
      </c>
    </row>
    <row r="122" spans="2:13" x14ac:dyDescent="0.3">
      <c r="B122" t="s">
        <v>3885</v>
      </c>
      <c r="C122" t="s">
        <v>1</v>
      </c>
      <c r="D122">
        <v>1023046093</v>
      </c>
      <c r="E122" t="s">
        <v>3672</v>
      </c>
      <c r="G122">
        <v>1033830973</v>
      </c>
      <c r="I122" s="115">
        <v>1033829949</v>
      </c>
      <c r="J122" t="s">
        <v>2427</v>
      </c>
      <c r="L122">
        <v>1243859520</v>
      </c>
      <c r="M122" t="s">
        <v>3669</v>
      </c>
    </row>
    <row r="123" spans="2:13" x14ac:dyDescent="0.3">
      <c r="B123" t="s">
        <v>3886</v>
      </c>
      <c r="C123" t="s">
        <v>1</v>
      </c>
      <c r="D123">
        <v>1034319423</v>
      </c>
      <c r="E123" t="s">
        <v>3672</v>
      </c>
      <c r="G123">
        <v>1026603423</v>
      </c>
      <c r="I123" s="115">
        <v>1023046418</v>
      </c>
      <c r="J123" t="s">
        <v>2427</v>
      </c>
      <c r="L123">
        <v>1023046020</v>
      </c>
      <c r="M123" t="s">
        <v>3669</v>
      </c>
    </row>
    <row r="124" spans="2:13" x14ac:dyDescent="0.3">
      <c r="B124" t="s">
        <v>3887</v>
      </c>
      <c r="C124" t="s">
        <v>1</v>
      </c>
      <c r="D124">
        <v>1023045953</v>
      </c>
      <c r="E124" t="s">
        <v>3672</v>
      </c>
      <c r="G124">
        <v>1206227657</v>
      </c>
      <c r="I124" s="115">
        <v>1023044785</v>
      </c>
      <c r="J124" t="s">
        <v>2427</v>
      </c>
      <c r="L124">
        <v>1023045732</v>
      </c>
      <c r="M124" t="s">
        <v>3669</v>
      </c>
    </row>
    <row r="125" spans="2:13" x14ac:dyDescent="0.3">
      <c r="B125" t="s">
        <v>3888</v>
      </c>
      <c r="C125" t="s">
        <v>1</v>
      </c>
      <c r="D125">
        <v>1016120086</v>
      </c>
      <c r="E125" t="s">
        <v>3672</v>
      </c>
      <c r="G125">
        <v>1011261221</v>
      </c>
      <c r="I125" s="115">
        <v>1122539379</v>
      </c>
      <c r="J125" t="s">
        <v>2427</v>
      </c>
      <c r="L125">
        <v>1150190022</v>
      </c>
      <c r="M125" t="s">
        <v>3669</v>
      </c>
    </row>
    <row r="126" spans="2:13" x14ac:dyDescent="0.3">
      <c r="B126" t="s">
        <v>3889</v>
      </c>
      <c r="C126" t="s">
        <v>1</v>
      </c>
      <c r="D126">
        <v>1026309578</v>
      </c>
      <c r="E126" t="s">
        <v>3672</v>
      </c>
      <c r="G126">
        <v>1023046400</v>
      </c>
      <c r="I126" s="115">
        <v>1243860097</v>
      </c>
      <c r="J126" t="s">
        <v>2427</v>
      </c>
      <c r="L126">
        <v>1023045131</v>
      </c>
      <c r="M126" t="s">
        <v>3669</v>
      </c>
    </row>
    <row r="127" spans="2:13" x14ac:dyDescent="0.3">
      <c r="B127" t="s">
        <v>3890</v>
      </c>
      <c r="C127" t="s">
        <v>3708</v>
      </c>
      <c r="D127" t="s">
        <v>3716</v>
      </c>
      <c r="E127" t="s">
        <v>3672</v>
      </c>
      <c r="G127">
        <v>1023046277</v>
      </c>
      <c r="I127" s="115">
        <v>1016747900</v>
      </c>
      <c r="J127" t="s">
        <v>2427</v>
      </c>
      <c r="L127">
        <v>1013156278</v>
      </c>
      <c r="M127" t="s">
        <v>3669</v>
      </c>
    </row>
    <row r="128" spans="2:13" x14ac:dyDescent="0.3">
      <c r="B128" t="s">
        <v>3891</v>
      </c>
      <c r="C128" t="s">
        <v>2</v>
      </c>
      <c r="D128">
        <v>1023915703</v>
      </c>
      <c r="E128" t="s">
        <v>3675</v>
      </c>
      <c r="G128">
        <v>1023047925</v>
      </c>
      <c r="I128" s="115">
        <v>1022450134</v>
      </c>
      <c r="J128" t="s">
        <v>2427</v>
      </c>
      <c r="L128">
        <v>1023044822</v>
      </c>
      <c r="M128" t="s">
        <v>3669</v>
      </c>
    </row>
    <row r="129" spans="2:13" x14ac:dyDescent="0.3">
      <c r="B129" t="s">
        <v>3892</v>
      </c>
      <c r="C129" t="s">
        <v>2</v>
      </c>
      <c r="D129">
        <v>1017223010</v>
      </c>
      <c r="E129" t="s">
        <v>3675</v>
      </c>
      <c r="G129">
        <v>1031187897</v>
      </c>
      <c r="I129" s="115">
        <v>1140936306</v>
      </c>
      <c r="J129" t="s">
        <v>2427</v>
      </c>
      <c r="L129">
        <v>1023045915</v>
      </c>
      <c r="M129" t="s">
        <v>3669</v>
      </c>
    </row>
    <row r="130" spans="2:13" x14ac:dyDescent="0.3">
      <c r="B130" t="s">
        <v>3893</v>
      </c>
      <c r="C130" t="s">
        <v>2</v>
      </c>
      <c r="D130">
        <v>1023009036</v>
      </c>
      <c r="E130" t="s">
        <v>3675</v>
      </c>
      <c r="G130">
        <v>1022944806</v>
      </c>
      <c r="I130" s="115">
        <v>1243860023</v>
      </c>
      <c r="J130" t="s">
        <v>2427</v>
      </c>
      <c r="L130">
        <v>1243859055</v>
      </c>
      <c r="M130" t="s">
        <v>3669</v>
      </c>
    </row>
    <row r="131" spans="2:13" x14ac:dyDescent="0.3">
      <c r="B131" t="s">
        <v>3894</v>
      </c>
      <c r="C131" t="s">
        <v>3</v>
      </c>
      <c r="D131">
        <v>1115574833</v>
      </c>
      <c r="E131" t="s">
        <v>3675</v>
      </c>
      <c r="G131">
        <v>1000362531</v>
      </c>
      <c r="I131" s="115">
        <v>1023043602</v>
      </c>
      <c r="J131" t="s">
        <v>2427</v>
      </c>
      <c r="L131">
        <v>1243859420</v>
      </c>
      <c r="M131" t="s">
        <v>3669</v>
      </c>
    </row>
    <row r="132" spans="2:13" x14ac:dyDescent="0.3">
      <c r="B132" t="s">
        <v>3895</v>
      </c>
      <c r="C132" t="s">
        <v>1</v>
      </c>
      <c r="D132">
        <v>1023047792</v>
      </c>
      <c r="E132" t="s">
        <v>3675</v>
      </c>
      <c r="G132">
        <v>1023046429</v>
      </c>
      <c r="I132" s="115">
        <v>1023047925</v>
      </c>
      <c r="J132" t="s">
        <v>2427</v>
      </c>
      <c r="L132">
        <v>1121975670</v>
      </c>
      <c r="M132" t="s">
        <v>3669</v>
      </c>
    </row>
    <row r="133" spans="2:13" x14ac:dyDescent="0.3">
      <c r="B133" t="s">
        <v>3896</v>
      </c>
      <c r="C133" t="s">
        <v>1</v>
      </c>
      <c r="D133">
        <v>1243762294</v>
      </c>
      <c r="E133" t="s">
        <v>3675</v>
      </c>
      <c r="G133">
        <v>1140937833</v>
      </c>
      <c r="I133" s="115">
        <v>1023988413</v>
      </c>
      <c r="J133" t="s">
        <v>2427</v>
      </c>
      <c r="L133">
        <v>1023045752</v>
      </c>
      <c r="M133" t="s">
        <v>3669</v>
      </c>
    </row>
    <row r="134" spans="2:13" x14ac:dyDescent="0.3">
      <c r="B134" t="s">
        <v>3897</v>
      </c>
      <c r="C134" t="s">
        <v>1</v>
      </c>
      <c r="D134">
        <v>1023048027</v>
      </c>
      <c r="E134" t="s">
        <v>3675</v>
      </c>
      <c r="G134">
        <v>1023014503</v>
      </c>
      <c r="I134" s="115">
        <v>1023047293</v>
      </c>
      <c r="J134" t="s">
        <v>2427</v>
      </c>
      <c r="L134">
        <v>1243858756</v>
      </c>
      <c r="M134" t="s">
        <v>3669</v>
      </c>
    </row>
    <row r="135" spans="2:13" x14ac:dyDescent="0.3">
      <c r="B135" t="s">
        <v>3898</v>
      </c>
      <c r="C135" t="s">
        <v>1</v>
      </c>
      <c r="D135">
        <v>1023047987</v>
      </c>
      <c r="E135" t="s">
        <v>3675</v>
      </c>
      <c r="G135">
        <v>1023046401</v>
      </c>
      <c r="I135" s="115">
        <v>1243860558</v>
      </c>
      <c r="J135" t="s">
        <v>2427</v>
      </c>
      <c r="L135">
        <v>1023046401</v>
      </c>
      <c r="M135" t="s">
        <v>3669</v>
      </c>
    </row>
    <row r="136" spans="2:13" x14ac:dyDescent="0.3">
      <c r="B136" t="s">
        <v>3899</v>
      </c>
      <c r="C136" t="s">
        <v>1</v>
      </c>
      <c r="D136">
        <v>1023047989</v>
      </c>
      <c r="E136" t="s">
        <v>3675</v>
      </c>
      <c r="G136">
        <v>1243859299</v>
      </c>
      <c r="I136" s="115">
        <v>1023047266</v>
      </c>
      <c r="J136" t="s">
        <v>2427</v>
      </c>
      <c r="L136" s="115">
        <v>1023047987</v>
      </c>
      <c r="M136" t="s">
        <v>4029</v>
      </c>
    </row>
    <row r="137" spans="2:13" x14ac:dyDescent="0.3">
      <c r="B137" t="s">
        <v>3900</v>
      </c>
      <c r="C137" t="s">
        <v>1</v>
      </c>
      <c r="D137">
        <v>1023047812</v>
      </c>
      <c r="E137" t="s">
        <v>3675</v>
      </c>
      <c r="G137">
        <v>1021695137</v>
      </c>
      <c r="I137" s="115">
        <v>1026309481</v>
      </c>
      <c r="J137" t="s">
        <v>2427</v>
      </c>
      <c r="L137" s="115">
        <v>1023047792</v>
      </c>
      <c r="M137" t="s">
        <v>4029</v>
      </c>
    </row>
    <row r="138" spans="2:13" x14ac:dyDescent="0.3">
      <c r="B138" t="s">
        <v>3901</v>
      </c>
      <c r="C138" t="s">
        <v>2</v>
      </c>
      <c r="D138">
        <v>1000937467</v>
      </c>
      <c r="E138" t="s">
        <v>3675</v>
      </c>
      <c r="G138">
        <v>1243858843</v>
      </c>
      <c r="I138" s="115">
        <v>1026309480</v>
      </c>
      <c r="J138" t="s">
        <v>2427</v>
      </c>
      <c r="L138" s="115">
        <v>1006501046</v>
      </c>
      <c r="M138" t="s">
        <v>4029</v>
      </c>
    </row>
    <row r="139" spans="2:13" x14ac:dyDescent="0.3">
      <c r="B139" t="s">
        <v>3902</v>
      </c>
      <c r="C139" t="s">
        <v>2</v>
      </c>
      <c r="D139">
        <v>1022997967</v>
      </c>
      <c r="E139" t="s">
        <v>3675</v>
      </c>
      <c r="G139">
        <v>1023047549</v>
      </c>
      <c r="I139" s="115">
        <v>1023047313</v>
      </c>
      <c r="J139" t="s">
        <v>2427</v>
      </c>
      <c r="L139" s="115">
        <v>1030695904</v>
      </c>
      <c r="M139" t="s">
        <v>4029</v>
      </c>
    </row>
    <row r="140" spans="2:13" x14ac:dyDescent="0.3">
      <c r="B140" t="s">
        <v>3903</v>
      </c>
      <c r="C140" t="s">
        <v>2</v>
      </c>
      <c r="D140">
        <v>1022923040</v>
      </c>
      <c r="E140" t="s">
        <v>3675</v>
      </c>
      <c r="G140" t="s">
        <v>3712</v>
      </c>
      <c r="I140" s="115">
        <v>1022923040</v>
      </c>
      <c r="J140" t="s">
        <v>2427</v>
      </c>
      <c r="L140" s="115" t="s">
        <v>3711</v>
      </c>
      <c r="M140" t="s">
        <v>4029</v>
      </c>
    </row>
    <row r="141" spans="2:13" x14ac:dyDescent="0.3">
      <c r="B141" t="s">
        <v>3904</v>
      </c>
      <c r="C141" t="s">
        <v>2</v>
      </c>
      <c r="D141">
        <v>1023019413</v>
      </c>
      <c r="E141" t="s">
        <v>3675</v>
      </c>
      <c r="G141">
        <v>1116557589</v>
      </c>
      <c r="I141" s="115">
        <v>1023047519</v>
      </c>
      <c r="J141" t="s">
        <v>2427</v>
      </c>
      <c r="L141" s="115">
        <v>1000985936</v>
      </c>
      <c r="M141" t="s">
        <v>4029</v>
      </c>
    </row>
    <row r="142" spans="2:13" x14ac:dyDescent="0.3">
      <c r="B142" t="s">
        <v>3905</v>
      </c>
      <c r="C142" t="s">
        <v>2</v>
      </c>
      <c r="D142">
        <v>1007097158</v>
      </c>
      <c r="E142" t="s">
        <v>3675</v>
      </c>
      <c r="G142">
        <v>1027544666</v>
      </c>
      <c r="I142" s="115">
        <v>1023046883</v>
      </c>
      <c r="J142" t="s">
        <v>2428</v>
      </c>
      <c r="L142" s="115">
        <v>1010241876</v>
      </c>
      <c r="M142" t="s">
        <v>4029</v>
      </c>
    </row>
    <row r="143" spans="2:13" x14ac:dyDescent="0.3">
      <c r="B143" t="s">
        <v>3906</v>
      </c>
      <c r="C143" t="s">
        <v>2</v>
      </c>
      <c r="D143">
        <v>1023001341</v>
      </c>
      <c r="E143" t="s">
        <v>3675</v>
      </c>
      <c r="G143">
        <v>1033829949</v>
      </c>
      <c r="I143" s="115">
        <v>1010241876</v>
      </c>
      <c r="J143" t="s">
        <v>2427</v>
      </c>
      <c r="L143" s="115">
        <v>1023915703</v>
      </c>
      <c r="M143" t="s">
        <v>4029</v>
      </c>
    </row>
    <row r="144" spans="2:13" x14ac:dyDescent="0.3">
      <c r="B144" t="s">
        <v>3907</v>
      </c>
      <c r="C144" t="s">
        <v>2</v>
      </c>
      <c r="D144">
        <v>1000985936</v>
      </c>
      <c r="E144" t="s">
        <v>3675</v>
      </c>
      <c r="G144">
        <v>1023046352</v>
      </c>
      <c r="I144" s="115">
        <v>1023045509</v>
      </c>
      <c r="J144" t="s">
        <v>2427</v>
      </c>
      <c r="L144" s="115">
        <v>1023019413</v>
      </c>
      <c r="M144" t="s">
        <v>4029</v>
      </c>
    </row>
    <row r="145" spans="2:13" x14ac:dyDescent="0.3">
      <c r="B145" t="s">
        <v>3908</v>
      </c>
      <c r="C145" t="s">
        <v>2</v>
      </c>
      <c r="D145">
        <v>1001171805</v>
      </c>
      <c r="E145" t="s">
        <v>3675</v>
      </c>
      <c r="G145">
        <v>1016750852</v>
      </c>
      <c r="I145" s="115">
        <v>1140939471</v>
      </c>
      <c r="J145" t="s">
        <v>2427</v>
      </c>
      <c r="L145">
        <v>1023047998</v>
      </c>
      <c r="M145" t="s">
        <v>4029</v>
      </c>
    </row>
    <row r="146" spans="2:13" x14ac:dyDescent="0.3">
      <c r="B146" t="s">
        <v>3909</v>
      </c>
      <c r="C146" t="s">
        <v>2</v>
      </c>
      <c r="D146">
        <v>1000619397</v>
      </c>
      <c r="E146" t="s">
        <v>3675</v>
      </c>
      <c r="G146">
        <v>1023045509</v>
      </c>
      <c r="I146" s="115">
        <v>1243759568</v>
      </c>
      <c r="J146" t="s">
        <v>2427</v>
      </c>
      <c r="L146" s="115" t="s">
        <v>3710</v>
      </c>
      <c r="M146" t="s">
        <v>4029</v>
      </c>
    </row>
    <row r="147" spans="2:13" x14ac:dyDescent="0.3">
      <c r="B147" t="s">
        <v>3910</v>
      </c>
      <c r="C147" t="s">
        <v>2</v>
      </c>
      <c r="D147">
        <v>1022988879</v>
      </c>
      <c r="E147" t="s">
        <v>3675</v>
      </c>
      <c r="G147">
        <v>1243860015</v>
      </c>
      <c r="I147" s="115">
        <v>1206227830</v>
      </c>
      <c r="J147" t="s">
        <v>2427</v>
      </c>
      <c r="L147" s="115">
        <v>52290576</v>
      </c>
      <c r="M147" t="s">
        <v>4029</v>
      </c>
    </row>
    <row r="148" spans="2:13" x14ac:dyDescent="0.3">
      <c r="B148" t="s">
        <v>3911</v>
      </c>
      <c r="C148" t="s">
        <v>2</v>
      </c>
      <c r="D148">
        <v>1000254191</v>
      </c>
      <c r="E148" t="s">
        <v>3675</v>
      </c>
      <c r="G148">
        <v>1140937152</v>
      </c>
      <c r="I148" s="115">
        <v>1023016125</v>
      </c>
      <c r="J148" t="s">
        <v>2427</v>
      </c>
      <c r="L148" s="115">
        <v>1000254191</v>
      </c>
      <c r="M148" t="s">
        <v>4029</v>
      </c>
    </row>
    <row r="149" spans="2:13" x14ac:dyDescent="0.3">
      <c r="B149" t="s">
        <v>3912</v>
      </c>
      <c r="C149" t="s">
        <v>3</v>
      </c>
      <c r="D149">
        <v>1007270354</v>
      </c>
      <c r="E149" t="s">
        <v>3675</v>
      </c>
      <c r="G149">
        <v>1245078067</v>
      </c>
      <c r="I149" s="115">
        <v>1032465903</v>
      </c>
      <c r="J149" t="s">
        <v>2427</v>
      </c>
      <c r="L149" s="115">
        <v>1023016125</v>
      </c>
      <c r="M149" t="s">
        <v>4029</v>
      </c>
    </row>
    <row r="150" spans="2:13" x14ac:dyDescent="0.3">
      <c r="B150" t="s">
        <v>3913</v>
      </c>
      <c r="C150" t="s">
        <v>3</v>
      </c>
      <c r="D150">
        <v>1073234865</v>
      </c>
      <c r="E150" t="s">
        <v>3675</v>
      </c>
      <c r="G150">
        <v>1023046408</v>
      </c>
      <c r="I150" s="115">
        <v>1022997967</v>
      </c>
      <c r="J150" t="s">
        <v>2427</v>
      </c>
      <c r="L150" s="115">
        <v>1023009036</v>
      </c>
      <c r="M150" t="s">
        <v>4029</v>
      </c>
    </row>
    <row r="151" spans="2:13" x14ac:dyDescent="0.3">
      <c r="B151" t="s">
        <v>3914</v>
      </c>
      <c r="C151" t="s">
        <v>2</v>
      </c>
      <c r="D151">
        <v>1000253490</v>
      </c>
      <c r="E151" t="s">
        <v>3675</v>
      </c>
      <c r="G151">
        <v>1023047266</v>
      </c>
      <c r="I151">
        <v>1023047898</v>
      </c>
      <c r="J151" t="s">
        <v>2427</v>
      </c>
      <c r="L151" s="115">
        <v>1073234865</v>
      </c>
      <c r="M151" t="s">
        <v>4029</v>
      </c>
    </row>
    <row r="152" spans="2:13" x14ac:dyDescent="0.3">
      <c r="B152" t="s">
        <v>3915</v>
      </c>
      <c r="C152" t="s">
        <v>2</v>
      </c>
      <c r="D152">
        <v>1022938131</v>
      </c>
      <c r="E152" t="s">
        <v>3675</v>
      </c>
      <c r="G152">
        <v>1013030625</v>
      </c>
      <c r="I152" s="115">
        <v>1245078200</v>
      </c>
      <c r="J152" t="s">
        <v>2427</v>
      </c>
      <c r="L152" s="115">
        <v>1000362531</v>
      </c>
      <c r="M152" t="s">
        <v>4029</v>
      </c>
    </row>
    <row r="153" spans="2:13" x14ac:dyDescent="0.3">
      <c r="B153" t="s">
        <v>3916</v>
      </c>
      <c r="C153" t="s">
        <v>2</v>
      </c>
      <c r="D153">
        <v>1022966556</v>
      </c>
      <c r="E153" t="s">
        <v>3675</v>
      </c>
      <c r="G153">
        <v>1206227284</v>
      </c>
      <c r="I153" s="115">
        <v>1243860608</v>
      </c>
      <c r="J153" t="s">
        <v>2427</v>
      </c>
      <c r="L153" s="115">
        <v>1001171805</v>
      </c>
      <c r="M153" t="s">
        <v>4029</v>
      </c>
    </row>
    <row r="154" spans="2:13" x14ac:dyDescent="0.3">
      <c r="B154" t="s">
        <v>3917</v>
      </c>
      <c r="C154" t="s">
        <v>2</v>
      </c>
      <c r="D154">
        <v>1001094722</v>
      </c>
      <c r="E154" t="s">
        <v>3675</v>
      </c>
      <c r="G154">
        <v>1001300941</v>
      </c>
      <c r="I154" s="115">
        <v>1243859906</v>
      </c>
      <c r="J154" t="s">
        <v>2427</v>
      </c>
      <c r="L154" s="115">
        <v>1023036790</v>
      </c>
      <c r="M154" t="s">
        <v>4029</v>
      </c>
    </row>
    <row r="155" spans="2:13" x14ac:dyDescent="0.3">
      <c r="B155" t="s">
        <v>3918</v>
      </c>
      <c r="C155" t="s">
        <v>2</v>
      </c>
      <c r="D155">
        <v>1193127099</v>
      </c>
      <c r="E155" t="s">
        <v>3675</v>
      </c>
      <c r="G155">
        <v>1022959952</v>
      </c>
      <c r="I155" s="115">
        <v>1028675334</v>
      </c>
      <c r="J155" t="s">
        <v>2427</v>
      </c>
      <c r="L155" s="115">
        <v>1007270354</v>
      </c>
      <c r="M155" t="s">
        <v>4029</v>
      </c>
    </row>
    <row r="156" spans="2:13" x14ac:dyDescent="0.3">
      <c r="B156" t="s">
        <v>3919</v>
      </c>
      <c r="C156" t="s">
        <v>2</v>
      </c>
      <c r="D156">
        <v>1010241876</v>
      </c>
      <c r="E156" t="s">
        <v>3675</v>
      </c>
      <c r="G156">
        <v>1000937467</v>
      </c>
      <c r="I156" s="115">
        <v>1018519928</v>
      </c>
      <c r="J156" t="s">
        <v>2427</v>
      </c>
      <c r="L156" s="115">
        <v>1017223010</v>
      </c>
      <c r="M156" t="s">
        <v>4029</v>
      </c>
    </row>
    <row r="157" spans="2:13" x14ac:dyDescent="0.3">
      <c r="B157" t="s">
        <v>3920</v>
      </c>
      <c r="C157" t="s">
        <v>2</v>
      </c>
      <c r="D157">
        <v>1032465903</v>
      </c>
      <c r="E157" t="s">
        <v>3675</v>
      </c>
      <c r="G157">
        <v>1243858309</v>
      </c>
      <c r="I157" s="115">
        <v>1026309444</v>
      </c>
      <c r="J157" t="s">
        <v>2427</v>
      </c>
      <c r="L157" s="115">
        <v>1148445814</v>
      </c>
      <c r="M157" t="s">
        <v>4029</v>
      </c>
    </row>
    <row r="158" spans="2:13" x14ac:dyDescent="0.3">
      <c r="B158" t="s">
        <v>3921</v>
      </c>
      <c r="C158" t="s">
        <v>2</v>
      </c>
      <c r="D158">
        <v>1002646913</v>
      </c>
      <c r="E158" t="s">
        <v>3675</v>
      </c>
      <c r="G158" t="s">
        <v>3714</v>
      </c>
      <c r="I158" s="115">
        <v>1026309443</v>
      </c>
      <c r="J158" t="s">
        <v>2427</v>
      </c>
      <c r="L158" s="115">
        <v>1022988879</v>
      </c>
      <c r="M158" t="s">
        <v>4029</v>
      </c>
    </row>
    <row r="159" spans="2:13" x14ac:dyDescent="0.3">
      <c r="B159" t="s">
        <v>3922</v>
      </c>
      <c r="C159" t="s">
        <v>2</v>
      </c>
      <c r="D159">
        <v>1022992812</v>
      </c>
      <c r="E159" t="s">
        <v>3675</v>
      </c>
      <c r="G159">
        <v>1243858522</v>
      </c>
      <c r="I159" s="115">
        <v>1024610735</v>
      </c>
      <c r="J159" t="s">
        <v>2428</v>
      </c>
      <c r="L159" s="115">
        <v>1022992812</v>
      </c>
      <c r="M159" t="s">
        <v>4029</v>
      </c>
    </row>
    <row r="160" spans="2:13" x14ac:dyDescent="0.3">
      <c r="B160" t="s">
        <v>3923</v>
      </c>
      <c r="C160" t="s">
        <v>2</v>
      </c>
      <c r="D160">
        <v>1026293133</v>
      </c>
      <c r="E160" t="s">
        <v>3675</v>
      </c>
      <c r="G160">
        <v>1022997967</v>
      </c>
      <c r="I160" s="115">
        <v>1023047164</v>
      </c>
      <c r="J160" t="s">
        <v>2428</v>
      </c>
      <c r="L160" s="115">
        <v>1022923040</v>
      </c>
      <c r="M160" t="s">
        <v>4029</v>
      </c>
    </row>
    <row r="161" spans="2:13" x14ac:dyDescent="0.3">
      <c r="B161" t="s">
        <v>3924</v>
      </c>
      <c r="C161" t="s">
        <v>2</v>
      </c>
      <c r="D161">
        <v>1023004072</v>
      </c>
      <c r="E161" t="s">
        <v>3675</v>
      </c>
      <c r="G161">
        <v>1243859420</v>
      </c>
      <c r="I161" s="115">
        <v>53098309</v>
      </c>
      <c r="J161" t="s">
        <v>2427</v>
      </c>
      <c r="L161" s="115">
        <v>1023047812</v>
      </c>
      <c r="M161" t="s">
        <v>4029</v>
      </c>
    </row>
    <row r="162" spans="2:13" x14ac:dyDescent="0.3">
      <c r="B162" t="s">
        <v>3925</v>
      </c>
      <c r="C162" t="s">
        <v>2</v>
      </c>
      <c r="D162">
        <v>1000990097</v>
      </c>
      <c r="E162" t="s">
        <v>3675</v>
      </c>
      <c r="G162">
        <v>1022923040</v>
      </c>
      <c r="I162" s="115">
        <v>1000254191</v>
      </c>
      <c r="J162" t="s">
        <v>2427</v>
      </c>
      <c r="L162" s="115">
        <v>1000990097</v>
      </c>
      <c r="M162" t="s">
        <v>4029</v>
      </c>
    </row>
    <row r="163" spans="2:13" x14ac:dyDescent="0.3">
      <c r="B163" t="s">
        <v>3926</v>
      </c>
      <c r="C163" t="s">
        <v>2</v>
      </c>
      <c r="D163">
        <v>1006150505</v>
      </c>
      <c r="E163" t="s">
        <v>3675</v>
      </c>
      <c r="G163">
        <v>1023019413</v>
      </c>
      <c r="I163" s="115">
        <v>1023047987</v>
      </c>
      <c r="J163" t="s">
        <v>2427</v>
      </c>
      <c r="L163" s="115">
        <v>1032465903</v>
      </c>
      <c r="M163" t="s">
        <v>4029</v>
      </c>
    </row>
    <row r="164" spans="2:13" x14ac:dyDescent="0.3">
      <c r="B164" t="s">
        <v>3927</v>
      </c>
      <c r="C164" t="s">
        <v>2</v>
      </c>
      <c r="D164">
        <v>52290576</v>
      </c>
      <c r="E164" t="s">
        <v>3675</v>
      </c>
      <c r="G164">
        <v>1023044785</v>
      </c>
      <c r="I164" s="115">
        <v>1006501046</v>
      </c>
      <c r="J164" t="s">
        <v>2428</v>
      </c>
      <c r="L164" s="115">
        <v>1023048027</v>
      </c>
      <c r="M164" t="s">
        <v>4029</v>
      </c>
    </row>
    <row r="165" spans="2:13" x14ac:dyDescent="0.3">
      <c r="B165" t="s">
        <v>3928</v>
      </c>
      <c r="C165" t="s">
        <v>3708</v>
      </c>
      <c r="D165" t="s">
        <v>3711</v>
      </c>
      <c r="E165" t="s">
        <v>3675</v>
      </c>
      <c r="G165">
        <v>1023046253</v>
      </c>
      <c r="I165" s="115">
        <v>1007097158</v>
      </c>
      <c r="J165" t="s">
        <v>2427</v>
      </c>
      <c r="L165" s="115">
        <v>1193073564</v>
      </c>
      <c r="M165" t="s">
        <v>4029</v>
      </c>
    </row>
    <row r="166" spans="2:13" x14ac:dyDescent="0.3">
      <c r="B166" t="s">
        <v>3929</v>
      </c>
      <c r="C166" t="s">
        <v>2</v>
      </c>
      <c r="D166">
        <v>1023035592</v>
      </c>
      <c r="E166" t="s">
        <v>3675</v>
      </c>
      <c r="G166">
        <v>1093612269</v>
      </c>
      <c r="I166" s="115">
        <v>1006739736</v>
      </c>
      <c r="J166" t="s">
        <v>2427</v>
      </c>
      <c r="L166" s="115">
        <v>1001300941</v>
      </c>
      <c r="M166" t="s">
        <v>4029</v>
      </c>
    </row>
    <row r="167" spans="2:13" x14ac:dyDescent="0.3">
      <c r="B167" t="s">
        <v>3930</v>
      </c>
      <c r="C167" t="s">
        <v>2</v>
      </c>
      <c r="D167">
        <v>53098309</v>
      </c>
      <c r="E167" t="s">
        <v>3675</v>
      </c>
      <c r="G167">
        <v>1029155022</v>
      </c>
      <c r="I167" s="115">
        <v>1007270354</v>
      </c>
      <c r="J167" t="s">
        <v>2427</v>
      </c>
      <c r="L167" s="115">
        <v>53098309</v>
      </c>
      <c r="M167" t="s">
        <v>4029</v>
      </c>
    </row>
    <row r="168" spans="2:13" x14ac:dyDescent="0.3">
      <c r="B168" t="s">
        <v>3931</v>
      </c>
      <c r="C168" t="s">
        <v>2</v>
      </c>
      <c r="D168">
        <v>1023016125</v>
      </c>
      <c r="E168" t="s">
        <v>3675</v>
      </c>
      <c r="G168">
        <v>1243759568</v>
      </c>
      <c r="I168" s="115">
        <v>1022966556</v>
      </c>
      <c r="J168" t="s">
        <v>2427</v>
      </c>
      <c r="L168" s="115">
        <v>1000619397</v>
      </c>
      <c r="M168" t="s">
        <v>4029</v>
      </c>
    </row>
    <row r="169" spans="2:13" x14ac:dyDescent="0.3">
      <c r="B169" t="s">
        <v>3932</v>
      </c>
      <c r="C169" t="s">
        <v>3708</v>
      </c>
      <c r="D169" t="s">
        <v>3710</v>
      </c>
      <c r="E169" t="s">
        <v>3675</v>
      </c>
      <c r="G169">
        <v>1023045953</v>
      </c>
      <c r="I169" s="115">
        <v>1193127099</v>
      </c>
      <c r="J169" t="s">
        <v>2427</v>
      </c>
      <c r="L169" s="115">
        <v>1000624977</v>
      </c>
      <c r="M169" t="s">
        <v>4029</v>
      </c>
    </row>
    <row r="170" spans="2:13" x14ac:dyDescent="0.3">
      <c r="B170" t="s">
        <v>3933</v>
      </c>
      <c r="C170" t="s">
        <v>2</v>
      </c>
      <c r="D170">
        <v>1148445814</v>
      </c>
      <c r="E170" t="s">
        <v>3675</v>
      </c>
      <c r="G170">
        <v>1026309481</v>
      </c>
      <c r="I170" s="115">
        <v>1016753167</v>
      </c>
      <c r="J170" t="s">
        <v>2427</v>
      </c>
      <c r="L170" s="115">
        <v>1013637881</v>
      </c>
      <c r="M170" t="s">
        <v>4029</v>
      </c>
    </row>
    <row r="171" spans="2:13" x14ac:dyDescent="0.3">
      <c r="B171" t="s">
        <v>3934</v>
      </c>
      <c r="C171" t="s">
        <v>2</v>
      </c>
      <c r="D171">
        <v>1013637881</v>
      </c>
      <c r="E171" t="s">
        <v>3675</v>
      </c>
      <c r="G171">
        <v>1243860566</v>
      </c>
      <c r="I171" s="115">
        <v>1031187897</v>
      </c>
      <c r="J171" t="s">
        <v>2427</v>
      </c>
      <c r="L171" s="115">
        <v>1006739736</v>
      </c>
      <c r="M171" t="s">
        <v>4029</v>
      </c>
    </row>
    <row r="172" spans="2:13" x14ac:dyDescent="0.3">
      <c r="B172" t="s">
        <v>3935</v>
      </c>
      <c r="C172" t="s">
        <v>2</v>
      </c>
      <c r="D172">
        <v>1030695904</v>
      </c>
      <c r="E172" t="s">
        <v>3675</v>
      </c>
      <c r="G172">
        <v>1023046357</v>
      </c>
      <c r="I172" s="115">
        <v>1121975670</v>
      </c>
      <c r="J172" t="s">
        <v>2427</v>
      </c>
      <c r="L172" s="115">
        <v>1193127099</v>
      </c>
      <c r="M172" t="s">
        <v>4029</v>
      </c>
    </row>
    <row r="173" spans="2:13" x14ac:dyDescent="0.3">
      <c r="B173" t="s">
        <v>3936</v>
      </c>
      <c r="C173" t="s">
        <v>2</v>
      </c>
      <c r="D173">
        <v>1023036790</v>
      </c>
      <c r="E173" t="s">
        <v>3675</v>
      </c>
      <c r="G173">
        <v>1243859333</v>
      </c>
      <c r="I173" s="115">
        <v>1140938208</v>
      </c>
      <c r="J173" t="s">
        <v>2427</v>
      </c>
      <c r="L173" s="115">
        <v>1007097158</v>
      </c>
      <c r="M173" t="s">
        <v>4029</v>
      </c>
    </row>
    <row r="174" spans="2:13" x14ac:dyDescent="0.3">
      <c r="B174" t="s">
        <v>3937</v>
      </c>
      <c r="C174" t="s">
        <v>2</v>
      </c>
      <c r="D174">
        <v>1006739736</v>
      </c>
      <c r="E174" t="s">
        <v>3675</v>
      </c>
      <c r="G174">
        <v>1013155990</v>
      </c>
      <c r="I174" s="115">
        <v>1033829763</v>
      </c>
      <c r="J174" t="s">
        <v>2427</v>
      </c>
      <c r="L174" s="115">
        <v>1022944806</v>
      </c>
      <c r="M174" t="s">
        <v>4029</v>
      </c>
    </row>
    <row r="175" spans="2:13" x14ac:dyDescent="0.3">
      <c r="B175" t="s">
        <v>3938</v>
      </c>
      <c r="C175" t="s">
        <v>2</v>
      </c>
      <c r="D175">
        <v>1022944806</v>
      </c>
      <c r="E175" t="s">
        <v>3675</v>
      </c>
      <c r="G175">
        <v>1206226361</v>
      </c>
      <c r="I175" s="115">
        <v>1243858312</v>
      </c>
      <c r="J175" t="s">
        <v>2428</v>
      </c>
      <c r="L175" s="115">
        <v>1022938131</v>
      </c>
      <c r="M175" t="s">
        <v>4029</v>
      </c>
    </row>
    <row r="176" spans="2:13" x14ac:dyDescent="0.3">
      <c r="B176" t="s">
        <v>3939</v>
      </c>
      <c r="C176" t="s">
        <v>2</v>
      </c>
      <c r="D176">
        <v>1000362531</v>
      </c>
      <c r="E176" t="s">
        <v>3675</v>
      </c>
      <c r="G176">
        <v>1021319356</v>
      </c>
      <c r="I176" s="115">
        <v>1023045131</v>
      </c>
      <c r="J176" t="s">
        <v>2427</v>
      </c>
      <c r="L176" s="115">
        <v>1023047989</v>
      </c>
      <c r="M176" t="s">
        <v>4029</v>
      </c>
    </row>
    <row r="177" spans="2:13" x14ac:dyDescent="0.3">
      <c r="B177" t="s">
        <v>3940</v>
      </c>
      <c r="C177" t="s">
        <v>2</v>
      </c>
      <c r="D177">
        <v>1001300941</v>
      </c>
      <c r="E177" t="s">
        <v>3675</v>
      </c>
      <c r="G177">
        <v>1023041908</v>
      </c>
      <c r="I177" s="115">
        <v>1023045752</v>
      </c>
      <c r="J177" t="s">
        <v>2427</v>
      </c>
      <c r="L177" s="115">
        <v>1022959952</v>
      </c>
      <c r="M177" t="s">
        <v>4029</v>
      </c>
    </row>
    <row r="178" spans="2:13" x14ac:dyDescent="0.3">
      <c r="B178" t="s">
        <v>3941</v>
      </c>
      <c r="C178" t="s">
        <v>1</v>
      </c>
      <c r="D178">
        <v>1012926906</v>
      </c>
      <c r="E178" t="s">
        <v>3673</v>
      </c>
      <c r="G178">
        <v>1007097158</v>
      </c>
      <c r="I178" s="115">
        <v>1243859055</v>
      </c>
      <c r="J178" t="s">
        <v>2427</v>
      </c>
      <c r="L178" s="115">
        <v>1022997967</v>
      </c>
      <c r="M178" t="s">
        <v>4029</v>
      </c>
    </row>
    <row r="179" spans="2:13" x14ac:dyDescent="0.3">
      <c r="B179" t="s">
        <v>3942</v>
      </c>
      <c r="C179" t="s">
        <v>1</v>
      </c>
      <c r="D179">
        <v>1122539535</v>
      </c>
      <c r="E179" t="s">
        <v>3673</v>
      </c>
      <c r="G179">
        <v>1014485754</v>
      </c>
      <c r="I179" s="115">
        <v>1023045915</v>
      </c>
      <c r="J179" t="s">
        <v>2427</v>
      </c>
      <c r="L179" s="115">
        <v>1023035592</v>
      </c>
      <c r="M179" t="s">
        <v>4029</v>
      </c>
    </row>
    <row r="180" spans="2:13" x14ac:dyDescent="0.3">
      <c r="B180" t="s">
        <v>3943</v>
      </c>
      <c r="C180" t="s">
        <v>1</v>
      </c>
      <c r="D180">
        <v>1245078067</v>
      </c>
      <c r="E180" t="s">
        <v>3673</v>
      </c>
      <c r="G180">
        <v>1016750544</v>
      </c>
      <c r="I180" s="115">
        <v>1023046429</v>
      </c>
      <c r="J180" t="s">
        <v>2427</v>
      </c>
      <c r="L180" s="115">
        <v>1000253490</v>
      </c>
      <c r="M180" t="s">
        <v>4029</v>
      </c>
    </row>
    <row r="181" spans="2:13" x14ac:dyDescent="0.3">
      <c r="B181" t="s">
        <v>3944</v>
      </c>
      <c r="C181" t="s">
        <v>1</v>
      </c>
      <c r="D181">
        <v>1018519486</v>
      </c>
      <c r="E181" t="s">
        <v>3673</v>
      </c>
      <c r="G181">
        <v>1243859943</v>
      </c>
      <c r="I181" s="115">
        <v>1010252069</v>
      </c>
      <c r="J181" t="s">
        <v>2427</v>
      </c>
      <c r="L181" s="115">
        <v>1002646913</v>
      </c>
      <c r="M181" t="s">
        <v>4029</v>
      </c>
    </row>
    <row r="182" spans="2:13" x14ac:dyDescent="0.3">
      <c r="B182" t="s">
        <v>3945</v>
      </c>
      <c r="C182" t="s">
        <v>1</v>
      </c>
      <c r="D182">
        <v>1023420650</v>
      </c>
      <c r="E182" t="s">
        <v>3673</v>
      </c>
      <c r="G182">
        <v>1023046395</v>
      </c>
      <c r="I182" s="115">
        <v>1023047059</v>
      </c>
      <c r="J182" t="s">
        <v>2427</v>
      </c>
      <c r="L182" s="115">
        <v>1001094722</v>
      </c>
      <c r="M182" t="s">
        <v>4029</v>
      </c>
    </row>
    <row r="183" spans="2:13" x14ac:dyDescent="0.3">
      <c r="B183" t="s">
        <v>3946</v>
      </c>
      <c r="C183" t="s">
        <v>1</v>
      </c>
      <c r="D183">
        <v>1240693955</v>
      </c>
      <c r="E183" t="s">
        <v>3673</v>
      </c>
      <c r="G183">
        <v>1023001341</v>
      </c>
      <c r="I183" s="115">
        <v>1243858756</v>
      </c>
      <c r="J183" t="s">
        <v>2427</v>
      </c>
      <c r="L183" s="115">
        <v>1026293133</v>
      </c>
      <c r="M183" t="s">
        <v>4029</v>
      </c>
    </row>
    <row r="184" spans="2:13" x14ac:dyDescent="0.3">
      <c r="B184" t="s">
        <v>3947</v>
      </c>
      <c r="C184" t="s">
        <v>1</v>
      </c>
      <c r="D184">
        <v>1243859943</v>
      </c>
      <c r="E184" t="s">
        <v>3673</v>
      </c>
      <c r="G184">
        <v>1026309443</v>
      </c>
      <c r="I184" s="115">
        <v>1243859520</v>
      </c>
      <c r="J184" t="s">
        <v>2427</v>
      </c>
      <c r="L184" s="115">
        <v>1023004072</v>
      </c>
      <c r="M184" t="s">
        <v>4029</v>
      </c>
    </row>
    <row r="185" spans="2:13" x14ac:dyDescent="0.3">
      <c r="B185" t="s">
        <v>3948</v>
      </c>
      <c r="C185" t="s">
        <v>1</v>
      </c>
      <c r="D185">
        <v>1243859248</v>
      </c>
      <c r="E185" t="s">
        <v>3673</v>
      </c>
      <c r="G185">
        <v>1140938208</v>
      </c>
      <c r="I185" s="115">
        <v>1243860435</v>
      </c>
      <c r="J185" t="s">
        <v>2427</v>
      </c>
      <c r="L185" s="115">
        <v>1023001341</v>
      </c>
      <c r="M185" t="s">
        <v>4029</v>
      </c>
    </row>
    <row r="186" spans="2:13" x14ac:dyDescent="0.3">
      <c r="B186" t="s">
        <v>3949</v>
      </c>
      <c r="C186" t="s">
        <v>1</v>
      </c>
      <c r="D186">
        <v>1013375578</v>
      </c>
      <c r="E186" t="s">
        <v>3673</v>
      </c>
      <c r="G186">
        <v>1023046093</v>
      </c>
      <c r="I186" s="115">
        <v>1023047348</v>
      </c>
      <c r="J186" t="s">
        <v>2427</v>
      </c>
      <c r="L186" s="115">
        <v>1022966556</v>
      </c>
      <c r="M186" t="s">
        <v>4029</v>
      </c>
    </row>
    <row r="187" spans="2:13" x14ac:dyDescent="0.3">
      <c r="B187" t="s">
        <v>3950</v>
      </c>
      <c r="C187" t="s">
        <v>1</v>
      </c>
      <c r="D187">
        <v>1023046253</v>
      </c>
      <c r="E187" t="s">
        <v>3673</v>
      </c>
      <c r="G187">
        <v>1122539379</v>
      </c>
      <c r="I187" s="115">
        <v>1245079481</v>
      </c>
      <c r="J187" t="s">
        <v>2427</v>
      </c>
      <c r="L187" s="115">
        <v>1006150505</v>
      </c>
      <c r="M187" t="s">
        <v>4029</v>
      </c>
    </row>
    <row r="188" spans="2:13" x14ac:dyDescent="0.3">
      <c r="B188" t="s">
        <v>3951</v>
      </c>
      <c r="C188" t="s">
        <v>1</v>
      </c>
      <c r="D188">
        <v>1051478721</v>
      </c>
      <c r="E188" t="s">
        <v>3673</v>
      </c>
      <c r="G188">
        <v>1023048027</v>
      </c>
      <c r="I188" s="115">
        <v>1023047785</v>
      </c>
      <c r="J188" t="s">
        <v>2427</v>
      </c>
      <c r="L188" s="115">
        <v>1243762294</v>
      </c>
      <c r="M188" t="s">
        <v>4029</v>
      </c>
    </row>
    <row r="189" spans="2:13" x14ac:dyDescent="0.3">
      <c r="B189" t="s">
        <v>3952</v>
      </c>
      <c r="C189" t="s">
        <v>1</v>
      </c>
      <c r="D189">
        <v>1016750852</v>
      </c>
      <c r="E189" t="s">
        <v>3673</v>
      </c>
      <c r="G189">
        <v>1020849345</v>
      </c>
      <c r="I189" s="115">
        <v>11026310144</v>
      </c>
      <c r="J189" t="s">
        <v>2427</v>
      </c>
      <c r="L189" s="115">
        <v>1115574833</v>
      </c>
      <c r="M189" t="s">
        <v>4029</v>
      </c>
    </row>
    <row r="190" spans="2:13" x14ac:dyDescent="0.3">
      <c r="B190" t="s">
        <v>3953</v>
      </c>
      <c r="C190" t="s">
        <v>1</v>
      </c>
      <c r="D190">
        <v>1016749017</v>
      </c>
      <c r="E190" t="s">
        <v>3673</v>
      </c>
      <c r="G190">
        <v>1000985936</v>
      </c>
      <c r="I190" s="115">
        <v>1023047678</v>
      </c>
      <c r="J190" t="s">
        <v>2427</v>
      </c>
      <c r="L190" s="115">
        <v>1000937467</v>
      </c>
      <c r="M190" t="s">
        <v>4029</v>
      </c>
    </row>
    <row r="191" spans="2:13" x14ac:dyDescent="0.3">
      <c r="B191" t="s">
        <v>3954</v>
      </c>
      <c r="C191" t="s">
        <v>1</v>
      </c>
      <c r="D191">
        <v>1140939399</v>
      </c>
      <c r="E191" t="s">
        <v>3673</v>
      </c>
      <c r="G191">
        <v>1001171805</v>
      </c>
      <c r="I191" s="115">
        <v>1023045732</v>
      </c>
      <c r="J191" t="s">
        <v>2427</v>
      </c>
      <c r="L191" s="115">
        <v>1022961159</v>
      </c>
      <c r="M191" t="s">
        <v>4029</v>
      </c>
    </row>
    <row r="192" spans="2:13" x14ac:dyDescent="0.3">
      <c r="B192" t="s">
        <v>3955</v>
      </c>
      <c r="C192" t="s">
        <v>1</v>
      </c>
      <c r="D192">
        <v>1243858843</v>
      </c>
      <c r="E192" t="s">
        <v>3673</v>
      </c>
      <c r="G192">
        <v>1000619397</v>
      </c>
      <c r="I192" s="115">
        <v>1150190022</v>
      </c>
      <c r="J192" t="s">
        <v>2427</v>
      </c>
      <c r="L192" s="115">
        <v>52838326</v>
      </c>
      <c r="M192" t="s">
        <v>4029</v>
      </c>
    </row>
    <row r="193" spans="2:13" x14ac:dyDescent="0.3">
      <c r="B193" t="s">
        <v>3956</v>
      </c>
      <c r="C193" t="s">
        <v>1</v>
      </c>
      <c r="D193">
        <v>1030046893</v>
      </c>
      <c r="E193" t="s">
        <v>3673</v>
      </c>
      <c r="G193">
        <v>1022988879</v>
      </c>
      <c r="I193" s="115">
        <v>1023046408</v>
      </c>
      <c r="J193" t="s">
        <v>2427</v>
      </c>
      <c r="L193">
        <v>1012926906</v>
      </c>
      <c r="M193" t="s">
        <v>3673</v>
      </c>
    </row>
    <row r="194" spans="2:13" x14ac:dyDescent="0.3">
      <c r="B194" t="s">
        <v>3957</v>
      </c>
      <c r="C194" t="s">
        <v>1</v>
      </c>
      <c r="D194">
        <v>1016921602</v>
      </c>
      <c r="E194" t="s">
        <v>3673</v>
      </c>
      <c r="G194">
        <v>1023047166</v>
      </c>
      <c r="I194" s="115">
        <v>1023046982</v>
      </c>
      <c r="J194" t="s">
        <v>2427</v>
      </c>
      <c r="L194">
        <v>1122539535</v>
      </c>
      <c r="M194" t="s">
        <v>3673</v>
      </c>
    </row>
    <row r="195" spans="2:13" x14ac:dyDescent="0.3">
      <c r="B195" t="s">
        <v>3958</v>
      </c>
      <c r="C195" t="s">
        <v>1</v>
      </c>
      <c r="D195">
        <v>1033822280</v>
      </c>
      <c r="E195" t="s">
        <v>3673</v>
      </c>
      <c r="G195">
        <v>1023047059</v>
      </c>
      <c r="I195" s="115">
        <v>1023046899</v>
      </c>
      <c r="J195" t="s">
        <v>2427</v>
      </c>
      <c r="L195">
        <v>1245078067</v>
      </c>
      <c r="M195" t="s">
        <v>3673</v>
      </c>
    </row>
    <row r="196" spans="2:13" x14ac:dyDescent="0.3">
      <c r="B196" t="s">
        <v>3959</v>
      </c>
      <c r="C196" t="s">
        <v>1</v>
      </c>
      <c r="D196">
        <v>1140932613</v>
      </c>
      <c r="E196" t="s">
        <v>3673</v>
      </c>
      <c r="G196">
        <v>1023420650</v>
      </c>
      <c r="I196" s="115">
        <v>1026603423</v>
      </c>
      <c r="J196" t="s">
        <v>2427</v>
      </c>
      <c r="L196">
        <v>1018519486</v>
      </c>
      <c r="M196" t="s">
        <v>3673</v>
      </c>
    </row>
    <row r="197" spans="2:13" x14ac:dyDescent="0.3">
      <c r="B197" t="s">
        <v>3960</v>
      </c>
      <c r="C197" t="s">
        <v>1</v>
      </c>
      <c r="D197">
        <v>1023041908</v>
      </c>
      <c r="E197" t="s">
        <v>3673</v>
      </c>
      <c r="G197">
        <v>1023045537</v>
      </c>
      <c r="I197" s="115">
        <v>1243859909</v>
      </c>
      <c r="J197" t="s">
        <v>2427</v>
      </c>
      <c r="L197">
        <v>1023420650</v>
      </c>
      <c r="M197" t="s">
        <v>3673</v>
      </c>
    </row>
    <row r="198" spans="2:13" x14ac:dyDescent="0.3">
      <c r="B198" t="s">
        <v>3961</v>
      </c>
      <c r="C198" t="s">
        <v>3708</v>
      </c>
      <c r="D198" t="s">
        <v>3712</v>
      </c>
      <c r="E198" t="s">
        <v>3673</v>
      </c>
      <c r="G198">
        <v>1243859287</v>
      </c>
      <c r="I198" s="115">
        <v>1023045870</v>
      </c>
      <c r="J198" t="s">
        <v>2427</v>
      </c>
      <c r="L198">
        <v>1240693955</v>
      </c>
      <c r="M198" t="s">
        <v>3673</v>
      </c>
    </row>
    <row r="199" spans="2:13" x14ac:dyDescent="0.3">
      <c r="B199" t="s">
        <v>3962</v>
      </c>
      <c r="C199" t="s">
        <v>1</v>
      </c>
      <c r="D199">
        <v>1245078260</v>
      </c>
      <c r="E199" t="s">
        <v>3673</v>
      </c>
      <c r="G199">
        <v>1243860097</v>
      </c>
      <c r="I199" s="115">
        <v>1243860042</v>
      </c>
      <c r="J199" t="s">
        <v>2427</v>
      </c>
      <c r="L199">
        <v>1243859943</v>
      </c>
      <c r="M199" t="s">
        <v>3673</v>
      </c>
    </row>
    <row r="200" spans="2:13" x14ac:dyDescent="0.3">
      <c r="B200" t="s">
        <v>3963</v>
      </c>
      <c r="C200" t="s">
        <v>1</v>
      </c>
      <c r="D200">
        <v>1023046490</v>
      </c>
      <c r="E200" t="s">
        <v>3673</v>
      </c>
      <c r="G200">
        <v>1023047898</v>
      </c>
      <c r="I200" s="115">
        <v>1013156278</v>
      </c>
      <c r="J200" t="s">
        <v>2427</v>
      </c>
      <c r="L200">
        <v>1243859248</v>
      </c>
      <c r="M200" t="s">
        <v>3673</v>
      </c>
    </row>
    <row r="201" spans="2:13" x14ac:dyDescent="0.3">
      <c r="B201" t="s">
        <v>3964</v>
      </c>
      <c r="C201" t="s">
        <v>1</v>
      </c>
      <c r="D201">
        <v>1140937336</v>
      </c>
      <c r="E201" t="s">
        <v>3673</v>
      </c>
      <c r="G201">
        <v>1023046885</v>
      </c>
      <c r="I201" s="115">
        <v>1023047163</v>
      </c>
      <c r="J201" t="s">
        <v>2427</v>
      </c>
      <c r="L201">
        <v>1013375578</v>
      </c>
      <c r="M201" t="s">
        <v>3673</v>
      </c>
    </row>
    <row r="202" spans="2:13" x14ac:dyDescent="0.3">
      <c r="B202" t="s">
        <v>3965</v>
      </c>
      <c r="C202" t="s">
        <v>1</v>
      </c>
      <c r="D202">
        <v>1023420025</v>
      </c>
      <c r="E202" t="s">
        <v>3673</v>
      </c>
      <c r="G202">
        <v>1034404976</v>
      </c>
      <c r="I202" s="115">
        <v>1023987959</v>
      </c>
      <c r="J202" t="s">
        <v>2427</v>
      </c>
      <c r="L202">
        <v>1023046253</v>
      </c>
      <c r="M202" t="s">
        <v>3673</v>
      </c>
    </row>
    <row r="203" spans="2:13" x14ac:dyDescent="0.3">
      <c r="B203" t="s">
        <v>3966</v>
      </c>
      <c r="C203" t="s">
        <v>1</v>
      </c>
      <c r="D203">
        <v>1119187596</v>
      </c>
      <c r="E203" t="s">
        <v>3673</v>
      </c>
      <c r="G203">
        <v>1023420025</v>
      </c>
      <c r="I203" s="115">
        <v>1006150505</v>
      </c>
      <c r="J203" t="s">
        <v>2427</v>
      </c>
      <c r="L203">
        <v>1051478721</v>
      </c>
      <c r="M203" t="s">
        <v>3673</v>
      </c>
    </row>
    <row r="204" spans="2:13" x14ac:dyDescent="0.3">
      <c r="B204" t="s">
        <v>3967</v>
      </c>
      <c r="C204" t="s">
        <v>1</v>
      </c>
      <c r="D204">
        <v>1140937152</v>
      </c>
      <c r="E204" t="s">
        <v>3673</v>
      </c>
      <c r="G204">
        <v>1016747900</v>
      </c>
      <c r="I204" s="115">
        <v>1022988879</v>
      </c>
      <c r="J204" t="s">
        <v>2427</v>
      </c>
      <c r="L204">
        <v>1016750852</v>
      </c>
      <c r="M204" t="s">
        <v>3673</v>
      </c>
    </row>
    <row r="205" spans="2:13" x14ac:dyDescent="0.3">
      <c r="B205" t="s">
        <v>3968</v>
      </c>
      <c r="C205" t="s">
        <v>1</v>
      </c>
      <c r="D205">
        <v>1140937833</v>
      </c>
      <c r="E205" t="s">
        <v>3673</v>
      </c>
      <c r="G205">
        <v>1022450134</v>
      </c>
      <c r="I205" s="115">
        <v>1001171805</v>
      </c>
      <c r="J205" t="s">
        <v>2427</v>
      </c>
      <c r="L205">
        <v>1016749017</v>
      </c>
      <c r="M205" t="s">
        <v>3673</v>
      </c>
    </row>
    <row r="206" spans="2:13" x14ac:dyDescent="0.3">
      <c r="B206" t="s">
        <v>3969</v>
      </c>
      <c r="C206" t="s">
        <v>1</v>
      </c>
      <c r="D206">
        <v>1013155990</v>
      </c>
      <c r="E206" t="s">
        <v>3673</v>
      </c>
      <c r="G206">
        <v>1140936306</v>
      </c>
      <c r="I206" s="115">
        <v>1023019413</v>
      </c>
      <c r="J206" t="s">
        <v>2427</v>
      </c>
      <c r="L206">
        <v>1140939399</v>
      </c>
      <c r="M206" t="s">
        <v>3673</v>
      </c>
    </row>
    <row r="207" spans="2:13" x14ac:dyDescent="0.3">
      <c r="B207" t="s">
        <v>3970</v>
      </c>
      <c r="C207" t="s">
        <v>1</v>
      </c>
      <c r="D207">
        <v>1023046352</v>
      </c>
      <c r="E207" t="s">
        <v>3673</v>
      </c>
      <c r="G207">
        <v>1023047348</v>
      </c>
      <c r="I207" s="115">
        <v>1023047668</v>
      </c>
      <c r="J207" t="s">
        <v>2427</v>
      </c>
      <c r="L207">
        <v>1243858843</v>
      </c>
      <c r="M207" t="s">
        <v>3673</v>
      </c>
    </row>
    <row r="208" spans="2:13" x14ac:dyDescent="0.3">
      <c r="B208" t="s">
        <v>3971</v>
      </c>
      <c r="C208" t="s">
        <v>1</v>
      </c>
      <c r="D208" s="115">
        <v>1023047167</v>
      </c>
      <c r="E208" t="s">
        <v>4021</v>
      </c>
      <c r="G208">
        <v>1000254191</v>
      </c>
      <c r="I208" s="115">
        <v>1023047644</v>
      </c>
      <c r="J208" t="s">
        <v>2427</v>
      </c>
      <c r="L208">
        <v>1030046839</v>
      </c>
      <c r="M208" t="s">
        <v>3673</v>
      </c>
    </row>
    <row r="209" spans="2:13" x14ac:dyDescent="0.3">
      <c r="B209" t="s">
        <v>3972</v>
      </c>
      <c r="C209" t="s">
        <v>1</v>
      </c>
      <c r="D209" s="115">
        <v>1014485754</v>
      </c>
      <c r="E209" t="s">
        <v>4021</v>
      </c>
      <c r="G209">
        <v>1034322680</v>
      </c>
      <c r="I209" s="115">
        <v>1023047672</v>
      </c>
      <c r="J209" t="s">
        <v>2427</v>
      </c>
      <c r="L209">
        <v>1016921602</v>
      </c>
      <c r="M209" t="s">
        <v>3673</v>
      </c>
    </row>
    <row r="210" spans="2:13" x14ac:dyDescent="0.3">
      <c r="B210" t="s">
        <v>3973</v>
      </c>
      <c r="C210" t="s">
        <v>1</v>
      </c>
      <c r="D210" s="115">
        <v>1243860608</v>
      </c>
      <c r="E210" t="s">
        <v>4021</v>
      </c>
      <c r="G210">
        <v>1007270354</v>
      </c>
      <c r="I210" s="115">
        <v>1023047711</v>
      </c>
      <c r="J210" t="s">
        <v>2427</v>
      </c>
      <c r="L210">
        <v>1033822280</v>
      </c>
      <c r="M210" t="s">
        <v>3673</v>
      </c>
    </row>
    <row r="211" spans="2:13" x14ac:dyDescent="0.3">
      <c r="B211" t="s">
        <v>3974</v>
      </c>
      <c r="C211" t="s">
        <v>1</v>
      </c>
      <c r="D211" s="115">
        <v>1023047166</v>
      </c>
      <c r="E211" t="s">
        <v>4021</v>
      </c>
      <c r="G211">
        <v>1243859909</v>
      </c>
      <c r="I211" s="115">
        <v>1023047935</v>
      </c>
      <c r="J211" t="s">
        <v>2427</v>
      </c>
      <c r="L211">
        <v>1140932613</v>
      </c>
      <c r="M211" t="s">
        <v>3673</v>
      </c>
    </row>
    <row r="212" spans="2:13" x14ac:dyDescent="0.3">
      <c r="B212" t="s">
        <v>3975</v>
      </c>
      <c r="C212" t="s">
        <v>1</v>
      </c>
      <c r="D212" s="115">
        <v>1023047101</v>
      </c>
      <c r="E212" t="s">
        <v>4021</v>
      </c>
      <c r="G212">
        <v>1121975670</v>
      </c>
      <c r="I212" s="115">
        <v>1206227657</v>
      </c>
      <c r="J212" t="s">
        <v>2427</v>
      </c>
      <c r="L212">
        <v>1023041908</v>
      </c>
      <c r="M212" t="s">
        <v>3673</v>
      </c>
    </row>
    <row r="213" spans="2:13" x14ac:dyDescent="0.3">
      <c r="B213" t="s">
        <v>3976</v>
      </c>
      <c r="C213" t="s">
        <v>1</v>
      </c>
      <c r="D213" s="115">
        <v>1023047163</v>
      </c>
      <c r="E213" t="s">
        <v>4021</v>
      </c>
      <c r="G213">
        <v>1073234865</v>
      </c>
      <c r="I213" s="115">
        <v>1023047549</v>
      </c>
      <c r="J213" t="s">
        <v>2427</v>
      </c>
      <c r="L213" t="s">
        <v>3712</v>
      </c>
      <c r="M213" t="s">
        <v>3673</v>
      </c>
    </row>
    <row r="214" spans="2:13" x14ac:dyDescent="0.3">
      <c r="B214" t="s">
        <v>3977</v>
      </c>
      <c r="C214" t="s">
        <v>1</v>
      </c>
      <c r="D214" s="115">
        <v>1023047162</v>
      </c>
      <c r="E214" t="s">
        <v>4021</v>
      </c>
      <c r="G214">
        <v>1051478721</v>
      </c>
      <c r="I214" s="115">
        <v>1011261221</v>
      </c>
      <c r="J214" t="s">
        <v>2427</v>
      </c>
      <c r="L214">
        <v>1245078260</v>
      </c>
      <c r="M214" t="s">
        <v>3673</v>
      </c>
    </row>
    <row r="215" spans="2:13" x14ac:dyDescent="0.3">
      <c r="B215" t="s">
        <v>3978</v>
      </c>
      <c r="C215" t="s">
        <v>1</v>
      </c>
      <c r="D215" s="115">
        <v>1034322680</v>
      </c>
      <c r="E215" t="s">
        <v>4021</v>
      </c>
      <c r="G215">
        <v>1023047164</v>
      </c>
      <c r="I215" s="115">
        <v>1026604149</v>
      </c>
      <c r="J215" t="s">
        <v>2427</v>
      </c>
      <c r="L215">
        <v>1023046490</v>
      </c>
      <c r="M215" t="s">
        <v>3673</v>
      </c>
    </row>
    <row r="216" spans="2:13" x14ac:dyDescent="0.3">
      <c r="B216" t="s">
        <v>3979</v>
      </c>
      <c r="C216" t="s">
        <v>1</v>
      </c>
      <c r="D216" s="115">
        <v>1206227284</v>
      </c>
      <c r="E216" t="s">
        <v>4021</v>
      </c>
      <c r="G216">
        <v>1000253490</v>
      </c>
      <c r="I216" s="115">
        <v>1023047101</v>
      </c>
      <c r="J216" t="s">
        <v>2427</v>
      </c>
      <c r="L216">
        <v>1140937336</v>
      </c>
      <c r="M216" t="s">
        <v>3673</v>
      </c>
    </row>
    <row r="217" spans="2:13" x14ac:dyDescent="0.3">
      <c r="B217" t="s">
        <v>3980</v>
      </c>
      <c r="C217" t="s">
        <v>3708</v>
      </c>
      <c r="D217" s="115" t="s">
        <v>3715</v>
      </c>
      <c r="E217" t="s">
        <v>4021</v>
      </c>
      <c r="G217">
        <v>1022938131</v>
      </c>
      <c r="I217" s="115">
        <v>1019160387</v>
      </c>
      <c r="J217" t="s">
        <v>2427</v>
      </c>
      <c r="L217">
        <v>1119187596</v>
      </c>
      <c r="M217" t="s">
        <v>3673</v>
      </c>
    </row>
    <row r="218" spans="2:13" x14ac:dyDescent="0.3">
      <c r="B218" t="s">
        <v>3981</v>
      </c>
      <c r="C218" t="s">
        <v>1</v>
      </c>
      <c r="D218" s="115">
        <v>1146150152</v>
      </c>
      <c r="E218" t="s">
        <v>4021</v>
      </c>
      <c r="G218">
        <v>1022966556</v>
      </c>
      <c r="I218" s="115">
        <v>1093612269</v>
      </c>
      <c r="J218" t="s">
        <v>2427</v>
      </c>
      <c r="L218">
        <v>1140937152</v>
      </c>
      <c r="M218" t="s">
        <v>3673</v>
      </c>
    </row>
    <row r="219" spans="2:13" x14ac:dyDescent="0.3">
      <c r="B219" t="s">
        <v>3982</v>
      </c>
      <c r="C219" t="s">
        <v>1</v>
      </c>
      <c r="D219" s="115">
        <v>1032946299</v>
      </c>
      <c r="E219" t="s">
        <v>4021</v>
      </c>
      <c r="G219">
        <v>1243860756</v>
      </c>
      <c r="I219" s="115">
        <v>1023047166</v>
      </c>
      <c r="J219" t="s">
        <v>2427</v>
      </c>
      <c r="L219">
        <v>1140937833</v>
      </c>
      <c r="M219" t="s">
        <v>3673</v>
      </c>
    </row>
    <row r="220" spans="2:13" x14ac:dyDescent="0.3">
      <c r="B220" t="s">
        <v>3983</v>
      </c>
      <c r="C220" t="s">
        <v>1</v>
      </c>
      <c r="D220" s="115">
        <v>1031187767</v>
      </c>
      <c r="E220" t="s">
        <v>4021</v>
      </c>
      <c r="G220">
        <v>1243860849</v>
      </c>
      <c r="I220" s="115">
        <v>1023046416</v>
      </c>
      <c r="J220" t="s">
        <v>2427</v>
      </c>
      <c r="L220">
        <v>1013155990</v>
      </c>
      <c r="M220" t="s">
        <v>3673</v>
      </c>
    </row>
    <row r="221" spans="2:13" x14ac:dyDescent="0.3">
      <c r="B221" t="s">
        <v>3984</v>
      </c>
      <c r="C221" t="s">
        <v>1</v>
      </c>
      <c r="D221" s="115">
        <v>1023047059</v>
      </c>
      <c r="E221" t="s">
        <v>4021</v>
      </c>
      <c r="G221">
        <v>1033822280</v>
      </c>
      <c r="I221" s="115">
        <v>1023046885</v>
      </c>
      <c r="J221" t="s">
        <v>2427</v>
      </c>
      <c r="L221">
        <v>1023046352</v>
      </c>
      <c r="M221" t="s">
        <v>3673</v>
      </c>
    </row>
    <row r="222" spans="2:13" x14ac:dyDescent="0.3">
      <c r="B222" t="s">
        <v>3985</v>
      </c>
      <c r="C222" t="s">
        <v>1</v>
      </c>
      <c r="D222" s="115">
        <v>1093612269</v>
      </c>
      <c r="E222" t="s">
        <v>4021</v>
      </c>
      <c r="G222">
        <v>1001094722</v>
      </c>
      <c r="I222" s="115">
        <v>1206226361</v>
      </c>
      <c r="J222" t="s">
        <v>2427</v>
      </c>
      <c r="L222">
        <v>1025565851</v>
      </c>
      <c r="M222" t="s">
        <v>3673</v>
      </c>
    </row>
    <row r="223" spans="2:13" x14ac:dyDescent="0.3">
      <c r="B223" t="s">
        <v>3986</v>
      </c>
      <c r="C223" t="s">
        <v>1</v>
      </c>
      <c r="D223" s="115">
        <v>1243860492</v>
      </c>
      <c r="E223" t="s">
        <v>4021</v>
      </c>
      <c r="G223">
        <v>1193127099</v>
      </c>
      <c r="I223" s="115">
        <v>1243859333</v>
      </c>
      <c r="J223" t="s">
        <v>2427</v>
      </c>
      <c r="L223">
        <v>1016968973</v>
      </c>
      <c r="M223" t="s">
        <v>3673</v>
      </c>
    </row>
    <row r="224" spans="2:13" x14ac:dyDescent="0.3">
      <c r="B224" t="s">
        <v>3987</v>
      </c>
      <c r="C224" t="s">
        <v>3721</v>
      </c>
      <c r="D224" s="115">
        <v>1031187897</v>
      </c>
      <c r="E224" t="s">
        <v>4021</v>
      </c>
      <c r="G224" t="s">
        <v>3713</v>
      </c>
      <c r="I224" s="115">
        <v>1023046400</v>
      </c>
      <c r="J224" t="s">
        <v>2427</v>
      </c>
      <c r="L224">
        <v>1023045458</v>
      </c>
      <c r="M224" t="s">
        <v>3673</v>
      </c>
    </row>
    <row r="225" spans="2:13" x14ac:dyDescent="0.3">
      <c r="B225" t="s">
        <v>3988</v>
      </c>
      <c r="C225" t="s">
        <v>1</v>
      </c>
      <c r="D225" s="115">
        <v>1023046982</v>
      </c>
      <c r="E225" t="s">
        <v>4021</v>
      </c>
      <c r="G225">
        <v>1030046839</v>
      </c>
      <c r="I225" s="115">
        <v>1023046395</v>
      </c>
      <c r="J225" t="s">
        <v>2427</v>
      </c>
      <c r="L225">
        <v>1025157220</v>
      </c>
      <c r="M225" t="s">
        <v>3673</v>
      </c>
    </row>
    <row r="226" spans="2:13" x14ac:dyDescent="0.3">
      <c r="B226" t="s">
        <v>3989</v>
      </c>
      <c r="C226" t="s">
        <v>1</v>
      </c>
      <c r="D226" s="115">
        <v>1243860582</v>
      </c>
      <c r="E226" t="s">
        <v>4021</v>
      </c>
      <c r="G226">
        <v>1023045752</v>
      </c>
      <c r="I226" s="115">
        <v>1020849345</v>
      </c>
      <c r="J226" t="s">
        <v>2427</v>
      </c>
      <c r="L226">
        <v>1243860073</v>
      </c>
      <c r="M226" t="s">
        <v>3673</v>
      </c>
    </row>
    <row r="227" spans="2:13" x14ac:dyDescent="0.3">
      <c r="B227" t="s">
        <v>3990</v>
      </c>
      <c r="C227" t="s">
        <v>1</v>
      </c>
      <c r="D227" s="115">
        <v>1243860566</v>
      </c>
      <c r="E227" t="s">
        <v>4021</v>
      </c>
      <c r="G227">
        <v>1243859520</v>
      </c>
      <c r="I227" s="115">
        <v>1243858630</v>
      </c>
      <c r="J227" t="s">
        <v>2427</v>
      </c>
      <c r="L227">
        <v>1023420650</v>
      </c>
      <c r="M227" t="s">
        <v>3673</v>
      </c>
    </row>
    <row r="228" spans="2:13" x14ac:dyDescent="0.3">
      <c r="B228" t="s">
        <v>3991</v>
      </c>
      <c r="C228" t="s">
        <v>1</v>
      </c>
      <c r="D228" s="115">
        <v>1023046885</v>
      </c>
      <c r="E228" t="s">
        <v>4021</v>
      </c>
      <c r="G228">
        <v>1023047987</v>
      </c>
      <c r="I228" s="115">
        <v>1243858522</v>
      </c>
      <c r="J228" t="s">
        <v>2427</v>
      </c>
      <c r="L228" s="115">
        <v>1206227284</v>
      </c>
      <c r="M228" t="s">
        <v>3671</v>
      </c>
    </row>
    <row r="229" spans="2:13" x14ac:dyDescent="0.3">
      <c r="B229" t="s">
        <v>3992</v>
      </c>
      <c r="C229" t="s">
        <v>1</v>
      </c>
      <c r="D229" s="115">
        <v>1021319356</v>
      </c>
      <c r="E229" t="s">
        <v>4021</v>
      </c>
      <c r="G229">
        <v>1023047167</v>
      </c>
      <c r="I229" s="115">
        <v>1023988175</v>
      </c>
      <c r="J229" t="s">
        <v>2427</v>
      </c>
      <c r="L229" s="115">
        <v>1023046469</v>
      </c>
      <c r="M229" t="s">
        <v>3671</v>
      </c>
    </row>
    <row r="230" spans="2:13" x14ac:dyDescent="0.3">
      <c r="B230" t="s">
        <v>3993</v>
      </c>
      <c r="C230" t="s">
        <v>1</v>
      </c>
      <c r="D230" s="115">
        <v>1023046899</v>
      </c>
      <c r="E230" t="s">
        <v>4021</v>
      </c>
      <c r="G230">
        <v>1023045777</v>
      </c>
      <c r="I230" s="115">
        <v>1243860746</v>
      </c>
      <c r="J230" t="s">
        <v>2428</v>
      </c>
      <c r="L230" s="115">
        <v>1243759568</v>
      </c>
      <c r="M230" t="s">
        <v>3671</v>
      </c>
    </row>
    <row r="231" spans="2:13" x14ac:dyDescent="0.3">
      <c r="B231" t="s">
        <v>3994</v>
      </c>
      <c r="C231" t="s">
        <v>1</v>
      </c>
      <c r="D231" s="115">
        <v>1019160387</v>
      </c>
      <c r="E231" t="s">
        <v>4021</v>
      </c>
      <c r="G231">
        <v>1243858756</v>
      </c>
      <c r="I231" s="115" t="s">
        <v>3717</v>
      </c>
      <c r="J231" t="s">
        <v>2427</v>
      </c>
      <c r="L231" s="115">
        <v>1023046395</v>
      </c>
      <c r="M231" t="s">
        <v>3671</v>
      </c>
    </row>
    <row r="232" spans="2:13" x14ac:dyDescent="0.3">
      <c r="B232" t="s">
        <v>3995</v>
      </c>
      <c r="C232" t="s">
        <v>1</v>
      </c>
      <c r="D232" s="115">
        <v>1029155022</v>
      </c>
      <c r="E232" t="s">
        <v>4021</v>
      </c>
      <c r="G232">
        <v>1243860754</v>
      </c>
      <c r="I232" s="115">
        <v>1023045777</v>
      </c>
      <c r="J232" t="s">
        <v>2427</v>
      </c>
      <c r="L232" s="115">
        <v>1023046401</v>
      </c>
      <c r="M232" t="s">
        <v>3671</v>
      </c>
    </row>
    <row r="233" spans="2:13" x14ac:dyDescent="0.3">
      <c r="B233" t="s">
        <v>3996</v>
      </c>
      <c r="C233" t="s">
        <v>1</v>
      </c>
      <c r="D233" s="115">
        <v>1243860435</v>
      </c>
      <c r="E233" t="s">
        <v>4021</v>
      </c>
      <c r="G233">
        <v>1016921602</v>
      </c>
      <c r="I233" s="115">
        <v>1116557589</v>
      </c>
      <c r="J233" t="s">
        <v>2427</v>
      </c>
      <c r="L233" s="115">
        <v>1023047167</v>
      </c>
      <c r="M233" t="s">
        <v>3671</v>
      </c>
    </row>
    <row r="234" spans="2:13" x14ac:dyDescent="0.3">
      <c r="B234" t="s">
        <v>3997</v>
      </c>
      <c r="C234" t="s">
        <v>1</v>
      </c>
      <c r="D234" s="115">
        <v>1026603423</v>
      </c>
      <c r="E234" t="s">
        <v>4021</v>
      </c>
      <c r="G234">
        <v>1140939471</v>
      </c>
      <c r="I234" s="115">
        <v>1023046833</v>
      </c>
      <c r="J234" t="s">
        <v>2427</v>
      </c>
      <c r="L234" s="115">
        <v>1243860558</v>
      </c>
      <c r="M234" t="s">
        <v>3671</v>
      </c>
    </row>
    <row r="235" spans="2:13" x14ac:dyDescent="0.3">
      <c r="B235" t="s">
        <v>3998</v>
      </c>
      <c r="C235" t="s">
        <v>1</v>
      </c>
      <c r="D235" s="115">
        <v>1243860558</v>
      </c>
      <c r="E235" t="s">
        <v>4021</v>
      </c>
      <c r="G235">
        <v>1023046020</v>
      </c>
      <c r="I235" s="115">
        <v>1034404976</v>
      </c>
      <c r="J235" t="s">
        <v>2427</v>
      </c>
      <c r="L235" s="115" t="s">
        <v>3715</v>
      </c>
      <c r="M235" t="s">
        <v>3671</v>
      </c>
    </row>
    <row r="236" spans="2:13" x14ac:dyDescent="0.3">
      <c r="B236" t="s">
        <v>3999</v>
      </c>
      <c r="C236" t="s">
        <v>1</v>
      </c>
      <c r="D236" s="115">
        <v>1020010439</v>
      </c>
      <c r="E236" t="s">
        <v>4021</v>
      </c>
      <c r="G236">
        <v>1243859593</v>
      </c>
      <c r="I236" s="115">
        <v>1016750021</v>
      </c>
      <c r="J236" t="s">
        <v>2427</v>
      </c>
      <c r="L236" s="115">
        <v>1023046528</v>
      </c>
      <c r="M236" t="s">
        <v>3671</v>
      </c>
    </row>
    <row r="237" spans="2:13" x14ac:dyDescent="0.3">
      <c r="B237" t="s">
        <v>4000</v>
      </c>
      <c r="C237" t="s">
        <v>1</v>
      </c>
      <c r="D237" s="115">
        <v>1023046673</v>
      </c>
      <c r="E237" t="s">
        <v>4021</v>
      </c>
      <c r="G237">
        <v>1243860558</v>
      </c>
      <c r="I237" s="115">
        <v>1106639928</v>
      </c>
      <c r="J237" t="s">
        <v>2427</v>
      </c>
      <c r="L237" s="115">
        <v>1245078722</v>
      </c>
      <c r="M237" t="s">
        <v>3671</v>
      </c>
    </row>
    <row r="238" spans="2:13" x14ac:dyDescent="0.3">
      <c r="B238" t="s">
        <v>4001</v>
      </c>
      <c r="C238" t="s">
        <v>1</v>
      </c>
      <c r="D238" s="115">
        <v>1010252069</v>
      </c>
      <c r="E238" t="s">
        <v>4021</v>
      </c>
      <c r="G238">
        <v>1026309444</v>
      </c>
      <c r="I238" s="115">
        <v>1023045902</v>
      </c>
      <c r="J238" t="s">
        <v>2428</v>
      </c>
      <c r="L238" s="115">
        <v>1020010439</v>
      </c>
      <c r="M238" t="s">
        <v>3671</v>
      </c>
    </row>
    <row r="239" spans="2:13" x14ac:dyDescent="0.3">
      <c r="B239" t="s">
        <v>4002</v>
      </c>
      <c r="C239" t="s">
        <v>1</v>
      </c>
      <c r="D239" s="115">
        <v>1023046833</v>
      </c>
      <c r="E239" t="s">
        <v>4021</v>
      </c>
      <c r="G239">
        <v>1243860023</v>
      </c>
      <c r="I239" s="115">
        <v>1028845954</v>
      </c>
      <c r="J239" t="s">
        <v>2427</v>
      </c>
      <c r="L239" s="115">
        <v>1014485754</v>
      </c>
      <c r="M239" t="s">
        <v>3671</v>
      </c>
    </row>
    <row r="240" spans="2:13" x14ac:dyDescent="0.3">
      <c r="B240" t="s">
        <v>4003</v>
      </c>
      <c r="C240" t="s">
        <v>1</v>
      </c>
      <c r="D240" s="115">
        <v>1034672281</v>
      </c>
      <c r="E240" t="s">
        <v>4021</v>
      </c>
      <c r="G240">
        <v>1026604134</v>
      </c>
      <c r="I240" s="115">
        <v>1148445814</v>
      </c>
      <c r="J240" t="s">
        <v>2427</v>
      </c>
      <c r="L240" s="115">
        <v>1245078680</v>
      </c>
      <c r="M240" t="s">
        <v>3671</v>
      </c>
    </row>
    <row r="241" spans="2:13" x14ac:dyDescent="0.3">
      <c r="B241" t="s">
        <v>4004</v>
      </c>
      <c r="C241" t="s">
        <v>1</v>
      </c>
      <c r="D241" s="115">
        <v>1245078722</v>
      </c>
      <c r="E241" t="s">
        <v>4021</v>
      </c>
      <c r="G241">
        <v>1023046418</v>
      </c>
      <c r="I241" s="115">
        <v>1022938131</v>
      </c>
      <c r="J241" t="s">
        <v>2427</v>
      </c>
      <c r="L241" s="115">
        <v>1023046357</v>
      </c>
      <c r="M241" t="s">
        <v>3671</v>
      </c>
    </row>
    <row r="242" spans="2:13" x14ac:dyDescent="0.3">
      <c r="B242" t="s">
        <v>4005</v>
      </c>
      <c r="C242" t="s">
        <v>1</v>
      </c>
      <c r="D242" s="115">
        <v>1245078680</v>
      </c>
      <c r="E242" t="s">
        <v>4021</v>
      </c>
      <c r="G242">
        <v>1028845954</v>
      </c>
      <c r="I242" s="115">
        <v>1023047211</v>
      </c>
      <c r="J242" t="s">
        <v>2427</v>
      </c>
      <c r="L242" s="115">
        <v>1146150152</v>
      </c>
      <c r="M242" t="s">
        <v>3671</v>
      </c>
    </row>
    <row r="243" spans="2:13" x14ac:dyDescent="0.3">
      <c r="B243" t="s">
        <v>4006</v>
      </c>
      <c r="C243" t="s">
        <v>1</v>
      </c>
      <c r="D243" s="115">
        <v>1116557589</v>
      </c>
      <c r="E243" t="s">
        <v>4021</v>
      </c>
      <c r="G243">
        <v>1023046469</v>
      </c>
      <c r="I243" s="115">
        <v>1115574833</v>
      </c>
      <c r="J243" t="s">
        <v>2427</v>
      </c>
      <c r="L243" s="115">
        <v>1032946299</v>
      </c>
      <c r="M243" t="s">
        <v>3671</v>
      </c>
    </row>
    <row r="244" spans="2:13" x14ac:dyDescent="0.3">
      <c r="B244" t="s">
        <v>4007</v>
      </c>
      <c r="C244" t="s">
        <v>1</v>
      </c>
      <c r="D244" s="115">
        <v>1023988413</v>
      </c>
      <c r="E244" t="s">
        <v>4021</v>
      </c>
      <c r="G244">
        <v>1023045860</v>
      </c>
      <c r="I244" s="115">
        <v>1023047526</v>
      </c>
      <c r="J244" t="s">
        <v>2427</v>
      </c>
      <c r="L244" s="115">
        <v>1031187767</v>
      </c>
      <c r="M244" t="s">
        <v>3671</v>
      </c>
    </row>
    <row r="245" spans="2:13" x14ac:dyDescent="0.3">
      <c r="B245" t="s">
        <v>4008</v>
      </c>
      <c r="C245" t="s">
        <v>1</v>
      </c>
      <c r="D245" s="115">
        <v>1012927098</v>
      </c>
      <c r="E245" t="s">
        <v>4021</v>
      </c>
      <c r="G245">
        <v>1013698567</v>
      </c>
      <c r="I245" s="115">
        <v>1023047792</v>
      </c>
      <c r="J245" t="s">
        <v>2427</v>
      </c>
      <c r="L245" s="115">
        <v>1012927098</v>
      </c>
      <c r="M245" t="s">
        <v>3671</v>
      </c>
    </row>
    <row r="246" spans="2:13" x14ac:dyDescent="0.3">
      <c r="B246" t="s">
        <v>4009</v>
      </c>
      <c r="C246" t="s">
        <v>1</v>
      </c>
      <c r="D246" s="115">
        <v>1023046518</v>
      </c>
      <c r="E246" t="s">
        <v>4021</v>
      </c>
      <c r="G246">
        <v>1245078200</v>
      </c>
      <c r="I246" s="115">
        <v>1023047812</v>
      </c>
      <c r="J246" t="s">
        <v>2427</v>
      </c>
      <c r="L246" s="115">
        <v>1023046518</v>
      </c>
      <c r="M246" t="s">
        <v>3671</v>
      </c>
    </row>
    <row r="247" spans="2:13" x14ac:dyDescent="0.3">
      <c r="B247" t="s">
        <v>4010</v>
      </c>
      <c r="C247" t="s">
        <v>1</v>
      </c>
      <c r="D247" s="115">
        <v>1033829763</v>
      </c>
      <c r="E247" t="s">
        <v>4021</v>
      </c>
      <c r="G247">
        <v>1243860435</v>
      </c>
      <c r="I247" s="115">
        <v>1023036790</v>
      </c>
      <c r="J247" t="s">
        <v>2427</v>
      </c>
      <c r="L247" s="115">
        <v>1243860566</v>
      </c>
      <c r="M247" t="s">
        <v>3671</v>
      </c>
    </row>
    <row r="248" spans="2:13" x14ac:dyDescent="0.3">
      <c r="B248" t="s">
        <v>4011</v>
      </c>
      <c r="C248" t="s">
        <v>1</v>
      </c>
      <c r="D248" s="115">
        <v>1243860233</v>
      </c>
      <c r="E248" t="s">
        <v>4021</v>
      </c>
      <c r="G248">
        <v>1023046899</v>
      </c>
      <c r="I248" s="115">
        <v>1243762294</v>
      </c>
      <c r="J248" t="s">
        <v>2427</v>
      </c>
      <c r="L248" s="115">
        <v>1034672281</v>
      </c>
      <c r="M248" t="s">
        <v>3671</v>
      </c>
    </row>
    <row r="249" spans="2:13" x14ac:dyDescent="0.3">
      <c r="B249" t="s">
        <v>4012</v>
      </c>
      <c r="C249" t="s">
        <v>1</v>
      </c>
      <c r="D249" s="115">
        <v>1018519928</v>
      </c>
      <c r="E249" t="s">
        <v>4021</v>
      </c>
      <c r="G249">
        <v>1023043602</v>
      </c>
      <c r="I249" s="115">
        <v>1000985936</v>
      </c>
      <c r="J249" t="s">
        <v>2427</v>
      </c>
      <c r="L249" s="115">
        <v>1243860608</v>
      </c>
      <c r="M249" t="s">
        <v>3671</v>
      </c>
    </row>
    <row r="250" spans="2:13" x14ac:dyDescent="0.3">
      <c r="B250" t="s">
        <v>4013</v>
      </c>
      <c r="C250" t="s">
        <v>1</v>
      </c>
      <c r="D250" s="115">
        <v>1023046416</v>
      </c>
      <c r="E250" t="s">
        <v>4021</v>
      </c>
      <c r="G250">
        <v>1023047989</v>
      </c>
      <c r="I250" s="115">
        <v>1243860492</v>
      </c>
      <c r="J250" t="s">
        <v>2427</v>
      </c>
      <c r="L250" s="115">
        <v>1023047166</v>
      </c>
      <c r="M250" t="s">
        <v>3671</v>
      </c>
    </row>
    <row r="251" spans="2:13" x14ac:dyDescent="0.3">
      <c r="B251" t="s">
        <v>4014</v>
      </c>
      <c r="C251" t="s">
        <v>1</v>
      </c>
      <c r="D251" s="115">
        <v>1023046528</v>
      </c>
      <c r="E251" t="s">
        <v>4021</v>
      </c>
      <c r="G251">
        <v>1027153713</v>
      </c>
      <c r="I251" s="115">
        <v>1243860233</v>
      </c>
      <c r="J251" t="s">
        <v>2427</v>
      </c>
      <c r="L251" s="115">
        <v>1023046885</v>
      </c>
      <c r="M251" t="s">
        <v>3671</v>
      </c>
    </row>
    <row r="252" spans="2:13" x14ac:dyDescent="0.3">
      <c r="B252" t="s">
        <v>4015</v>
      </c>
      <c r="C252" t="s">
        <v>1</v>
      </c>
      <c r="D252" s="115">
        <v>1023046367</v>
      </c>
      <c r="E252" t="s">
        <v>4021</v>
      </c>
      <c r="G252">
        <v>1206227830</v>
      </c>
      <c r="I252" s="115">
        <v>1021319356</v>
      </c>
      <c r="J252" t="s">
        <v>2427</v>
      </c>
      <c r="L252" s="115">
        <v>1023047101</v>
      </c>
      <c r="M252" t="s">
        <v>3671</v>
      </c>
    </row>
    <row r="253" spans="2:13" x14ac:dyDescent="0.3">
      <c r="B253" t="s">
        <v>4016</v>
      </c>
      <c r="C253" t="s">
        <v>1</v>
      </c>
      <c r="D253" s="115">
        <v>1023046469</v>
      </c>
      <c r="E253" t="s">
        <v>4021</v>
      </c>
      <c r="G253">
        <v>1010241876</v>
      </c>
      <c r="I253" s="115">
        <v>1023047162</v>
      </c>
      <c r="J253" t="s">
        <v>2427</v>
      </c>
      <c r="L253" s="115">
        <v>1021319356</v>
      </c>
      <c r="M253" t="s">
        <v>3671</v>
      </c>
    </row>
    <row r="254" spans="2:13" x14ac:dyDescent="0.3">
      <c r="B254" t="s">
        <v>4017</v>
      </c>
      <c r="C254" t="s">
        <v>1</v>
      </c>
      <c r="D254" s="115">
        <v>1023046395</v>
      </c>
      <c r="E254" t="s">
        <v>4021</v>
      </c>
      <c r="G254">
        <v>1140932613</v>
      </c>
      <c r="I254" s="115">
        <v>1243860582</v>
      </c>
      <c r="J254" t="s">
        <v>2427</v>
      </c>
      <c r="L254" s="115">
        <v>1023047163</v>
      </c>
      <c r="M254" t="s">
        <v>3671</v>
      </c>
    </row>
    <row r="255" spans="2:13" x14ac:dyDescent="0.3">
      <c r="B255" t="s">
        <v>4018</v>
      </c>
      <c r="C255" t="s">
        <v>1</v>
      </c>
      <c r="D255" s="115">
        <v>1023046401</v>
      </c>
      <c r="E255" t="s">
        <v>4021</v>
      </c>
      <c r="G255">
        <v>1032465903</v>
      </c>
      <c r="I255" s="115">
        <v>1027153713</v>
      </c>
      <c r="J255" t="s">
        <v>2427</v>
      </c>
      <c r="L255" s="115">
        <v>1023046899</v>
      </c>
      <c r="M255" t="s">
        <v>3671</v>
      </c>
    </row>
    <row r="256" spans="2:13" x14ac:dyDescent="0.3">
      <c r="B256" t="s">
        <v>4019</v>
      </c>
      <c r="C256" t="s">
        <v>1</v>
      </c>
      <c r="D256" s="115">
        <v>1023046195</v>
      </c>
      <c r="E256" t="s">
        <v>4021</v>
      </c>
      <c r="G256">
        <v>1024610735</v>
      </c>
      <c r="I256" s="115">
        <v>1023045860</v>
      </c>
      <c r="J256" t="s">
        <v>2427</v>
      </c>
      <c r="L256" s="115">
        <v>1023047059</v>
      </c>
      <c r="M256" t="s">
        <v>3671</v>
      </c>
    </row>
    <row r="257" spans="2:13" x14ac:dyDescent="0.3">
      <c r="B257" t="s">
        <v>4020</v>
      </c>
      <c r="C257" t="s">
        <v>1</v>
      </c>
      <c r="D257" s="115">
        <v>1243759568</v>
      </c>
      <c r="E257" t="s">
        <v>4021</v>
      </c>
      <c r="G257">
        <v>1023047162</v>
      </c>
      <c r="I257" s="115">
        <v>1140939460</v>
      </c>
      <c r="J257" t="s">
        <v>2427</v>
      </c>
      <c r="L257" s="115">
        <v>1019160387</v>
      </c>
      <c r="M257" t="s">
        <v>3671</v>
      </c>
    </row>
    <row r="258" spans="2:13" x14ac:dyDescent="0.3">
      <c r="G258">
        <v>1023915703</v>
      </c>
      <c r="I258" s="115">
        <v>1023046093</v>
      </c>
      <c r="J258" t="s">
        <v>2427</v>
      </c>
      <c r="L258" s="115">
        <v>1093612269</v>
      </c>
      <c r="M258" t="s">
        <v>3671</v>
      </c>
    </row>
    <row r="259" spans="2:13" x14ac:dyDescent="0.3">
      <c r="G259">
        <v>1017223010</v>
      </c>
      <c r="I259" s="115">
        <v>1243859593</v>
      </c>
      <c r="J259" t="s">
        <v>2427</v>
      </c>
      <c r="L259" s="115">
        <v>1023046469</v>
      </c>
      <c r="M259" t="s">
        <v>3671</v>
      </c>
    </row>
    <row r="260" spans="2:13" x14ac:dyDescent="0.3">
      <c r="G260" t="s">
        <v>3715</v>
      </c>
      <c r="I260" s="115">
        <v>1034319423</v>
      </c>
      <c r="J260" t="s">
        <v>2427</v>
      </c>
      <c r="L260" s="115">
        <v>1033829763</v>
      </c>
      <c r="M260" t="s">
        <v>3671</v>
      </c>
    </row>
    <row r="261" spans="2:13" x14ac:dyDescent="0.3">
      <c r="G261">
        <v>1023009036</v>
      </c>
      <c r="I261">
        <v>1023045953</v>
      </c>
      <c r="J261" t="s">
        <v>2427</v>
      </c>
      <c r="L261" s="115">
        <v>1029155022</v>
      </c>
      <c r="M261" t="s">
        <v>3671</v>
      </c>
    </row>
    <row r="262" spans="2:13" x14ac:dyDescent="0.3">
      <c r="G262">
        <v>1023046833</v>
      </c>
      <c r="I262" s="115">
        <v>1022944806</v>
      </c>
      <c r="J262" t="s">
        <v>2427</v>
      </c>
      <c r="L262" s="115">
        <v>1243860233</v>
      </c>
      <c r="M262" t="s">
        <v>3671</v>
      </c>
    </row>
    <row r="263" spans="2:13" x14ac:dyDescent="0.3">
      <c r="G263">
        <v>1115574833</v>
      </c>
      <c r="I263" s="115">
        <v>1000619397</v>
      </c>
      <c r="J263" t="s">
        <v>2427</v>
      </c>
      <c r="L263" s="115">
        <v>1018519928</v>
      </c>
      <c r="M263" t="s">
        <v>3671</v>
      </c>
    </row>
    <row r="264" spans="2:13" x14ac:dyDescent="0.3">
      <c r="G264">
        <v>1023047812</v>
      </c>
      <c r="I264" s="115">
        <v>1016120086</v>
      </c>
      <c r="J264" t="s">
        <v>2427</v>
      </c>
      <c r="L264" s="115">
        <v>1116557589</v>
      </c>
      <c r="M264" t="s">
        <v>3671</v>
      </c>
    </row>
    <row r="265" spans="2:13" x14ac:dyDescent="0.3">
      <c r="G265">
        <v>1016750021</v>
      </c>
      <c r="I265" s="115">
        <v>1026309578</v>
      </c>
      <c r="J265" t="s">
        <v>2427</v>
      </c>
      <c r="L265" s="115">
        <v>1243860492</v>
      </c>
      <c r="M265" t="s">
        <v>3671</v>
      </c>
    </row>
    <row r="266" spans="2:13" x14ac:dyDescent="0.3">
      <c r="G266">
        <v>1023047672</v>
      </c>
      <c r="I266" s="115">
        <v>1243859287</v>
      </c>
      <c r="J266" t="s">
        <v>2427</v>
      </c>
      <c r="L266" s="115">
        <v>1023046195</v>
      </c>
      <c r="M266" t="s">
        <v>3671</v>
      </c>
    </row>
    <row r="267" spans="2:13" x14ac:dyDescent="0.3">
      <c r="L267" s="115">
        <v>1023047162</v>
      </c>
      <c r="M267" t="s">
        <v>3671</v>
      </c>
    </row>
    <row r="268" spans="2:13" x14ac:dyDescent="0.3">
      <c r="L268" s="115">
        <v>1023988413</v>
      </c>
      <c r="M268" t="s">
        <v>3671</v>
      </c>
    </row>
    <row r="269" spans="2:13" x14ac:dyDescent="0.3">
      <c r="L269" s="115">
        <v>1031187897</v>
      </c>
      <c r="M269" t="s">
        <v>3671</v>
      </c>
    </row>
    <row r="270" spans="2:13" x14ac:dyDescent="0.3">
      <c r="L270" s="115">
        <v>1023046673</v>
      </c>
      <c r="M270" t="s">
        <v>3671</v>
      </c>
    </row>
    <row r="271" spans="2:13" x14ac:dyDescent="0.3">
      <c r="L271" s="115">
        <v>1023046416</v>
      </c>
      <c r="M271" t="s">
        <v>3671</v>
      </c>
    </row>
    <row r="272" spans="2:13" x14ac:dyDescent="0.3">
      <c r="L272" s="115">
        <v>1010252069</v>
      </c>
      <c r="M272" t="s">
        <v>3671</v>
      </c>
    </row>
    <row r="273" spans="1:13" x14ac:dyDescent="0.3">
      <c r="L273" s="115">
        <v>1023046833</v>
      </c>
      <c r="M273" t="s">
        <v>3671</v>
      </c>
    </row>
    <row r="274" spans="1:13" x14ac:dyDescent="0.3">
      <c r="L274" s="115">
        <v>1023046982</v>
      </c>
      <c r="M274" t="s">
        <v>3671</v>
      </c>
    </row>
    <row r="275" spans="1:13" x14ac:dyDescent="0.3">
      <c r="A275" s="1">
        <v>1</v>
      </c>
      <c r="B275" t="s">
        <v>3699</v>
      </c>
      <c r="L275" s="115">
        <v>1243860435</v>
      </c>
      <c r="M275" t="s">
        <v>3671</v>
      </c>
    </row>
    <row r="276" spans="1:13" x14ac:dyDescent="0.3">
      <c r="A276" s="1">
        <v>2</v>
      </c>
      <c r="B276" t="s">
        <v>3704</v>
      </c>
      <c r="L276" s="115">
        <v>1243860582</v>
      </c>
      <c r="M276" t="s">
        <v>3671</v>
      </c>
    </row>
    <row r="277" spans="1:13" x14ac:dyDescent="0.3">
      <c r="A277" s="1">
        <v>3</v>
      </c>
      <c r="B277" t="s">
        <v>3756</v>
      </c>
      <c r="L277" s="115">
        <v>1026603423</v>
      </c>
      <c r="M277" t="s">
        <v>3671</v>
      </c>
    </row>
    <row r="278" spans="1:13" x14ac:dyDescent="0.3">
      <c r="A278" s="1">
        <v>4</v>
      </c>
      <c r="B278" t="s">
        <v>4023</v>
      </c>
      <c r="L278" s="115">
        <v>1026604281</v>
      </c>
      <c r="M278" t="s">
        <v>3671</v>
      </c>
    </row>
    <row r="279" spans="1:13" x14ac:dyDescent="0.3">
      <c r="A279" s="1">
        <v>5</v>
      </c>
      <c r="B279" t="s">
        <v>4024</v>
      </c>
      <c r="L279" s="115">
        <v>1010251957</v>
      </c>
      <c r="M279" t="s">
        <v>3671</v>
      </c>
    </row>
    <row r="280" spans="1:13" x14ac:dyDescent="0.3">
      <c r="A280" s="1">
        <v>6</v>
      </c>
      <c r="B280" t="s">
        <v>4025</v>
      </c>
      <c r="L280" s="115">
        <v>1023046704</v>
      </c>
      <c r="M280" t="s">
        <v>3671</v>
      </c>
    </row>
    <row r="281" spans="1:13" x14ac:dyDescent="0.3">
      <c r="A281" s="1">
        <v>7</v>
      </c>
      <c r="B281" t="s">
        <v>3738</v>
      </c>
      <c r="L281" s="115" t="s">
        <v>3713</v>
      </c>
      <c r="M281" t="s">
        <v>3671</v>
      </c>
    </row>
    <row r="282" spans="1:13" x14ac:dyDescent="0.3">
      <c r="A282" s="1">
        <v>8</v>
      </c>
      <c r="B282" t="s">
        <v>4026</v>
      </c>
      <c r="L282" s="115">
        <v>1243860262</v>
      </c>
      <c r="M282" t="s">
        <v>3671</v>
      </c>
    </row>
    <row r="283" spans="1:13" x14ac:dyDescent="0.3">
      <c r="A283" s="1">
        <v>9</v>
      </c>
      <c r="B283" t="s">
        <v>4027</v>
      </c>
    </row>
    <row r="284" spans="1:13" x14ac:dyDescent="0.3">
      <c r="A284" s="1">
        <v>10</v>
      </c>
      <c r="B284" t="s">
        <v>4028</v>
      </c>
    </row>
    <row r="285" spans="1:13" x14ac:dyDescent="0.3">
      <c r="A285" s="1">
        <v>11</v>
      </c>
      <c r="B285" t="s">
        <v>3705</v>
      </c>
    </row>
    <row r="286" spans="1:13" x14ac:dyDescent="0.3">
      <c r="A286" s="1">
        <v>12</v>
      </c>
    </row>
    <row r="287" spans="1:13" x14ac:dyDescent="0.3">
      <c r="A287" s="1">
        <v>13</v>
      </c>
    </row>
    <row r="288" spans="1:13" x14ac:dyDescent="0.3">
      <c r="A288" s="1">
        <v>14</v>
      </c>
    </row>
    <row r="289" spans="1:1" x14ac:dyDescent="0.3">
      <c r="A289" s="1">
        <v>15</v>
      </c>
    </row>
    <row r="290" spans="1:1" x14ac:dyDescent="0.3">
      <c r="A290" s="1">
        <v>16</v>
      </c>
    </row>
    <row r="291" spans="1:1" x14ac:dyDescent="0.3">
      <c r="A291" s="1">
        <v>17</v>
      </c>
    </row>
    <row r="292" spans="1:1" x14ac:dyDescent="0.3">
      <c r="A292" s="1">
        <v>18</v>
      </c>
    </row>
    <row r="293" spans="1:1" x14ac:dyDescent="0.3">
      <c r="A293" s="1">
        <v>19</v>
      </c>
    </row>
    <row r="294" spans="1:1" x14ac:dyDescent="0.3">
      <c r="A294" s="1">
        <v>20</v>
      </c>
    </row>
    <row r="295" spans="1:1" x14ac:dyDescent="0.3">
      <c r="A295" s="1">
        <v>21</v>
      </c>
    </row>
    <row r="296" spans="1:1" x14ac:dyDescent="0.3">
      <c r="A296" s="1">
        <v>22</v>
      </c>
    </row>
    <row r="297" spans="1:1" x14ac:dyDescent="0.3">
      <c r="A297" s="1">
        <v>23</v>
      </c>
    </row>
    <row r="298" spans="1:1" x14ac:dyDescent="0.3">
      <c r="A298" s="1">
        <v>24</v>
      </c>
    </row>
    <row r="299" spans="1:1" x14ac:dyDescent="0.3">
      <c r="A299" s="1">
        <v>25</v>
      </c>
    </row>
  </sheetData>
  <conditionalFormatting sqref="G268:G1048576 G1:G266">
    <cfRule type="duplicateValues" dxfId="13" priority="2"/>
  </conditionalFormatting>
  <conditionalFormatting sqref="G1:G1048576 I1:I1048576">
    <cfRule type="duplicateValues" dxfId="12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92D050"/>
  </sheetPr>
  <dimension ref="A1:DD657"/>
  <sheetViews>
    <sheetView showGridLines="0" tabSelected="1" zoomScale="61" zoomScaleNormal="50" workbookViewId="0">
      <selection activeCell="C14" sqref="C14"/>
    </sheetView>
  </sheetViews>
  <sheetFormatPr baseColWidth="10" defaultColWidth="25.33203125" defaultRowHeight="14.4" x14ac:dyDescent="0.3"/>
  <cols>
    <col min="1" max="2" width="24.109375" style="2" customWidth="1"/>
    <col min="3" max="3" width="13" style="2" customWidth="1"/>
    <col min="4" max="4" width="15.6640625" style="2" customWidth="1"/>
    <col min="5" max="5" width="26.44140625" style="2" customWidth="1"/>
    <col min="6" max="6" width="21" style="2" customWidth="1"/>
    <col min="7" max="7" width="27.33203125" style="2" customWidth="1"/>
    <col min="8" max="8" width="21.77734375" style="2" customWidth="1"/>
    <col min="9" max="12" width="25.33203125" style="2" customWidth="1"/>
    <col min="13" max="13" width="22.77734375" style="2" customWidth="1"/>
    <col min="14" max="70" width="25.33203125" style="2" customWidth="1"/>
    <col min="71" max="71" width="25.33203125" style="29" customWidth="1"/>
    <col min="72" max="74" width="25.33203125" style="2" customWidth="1"/>
    <col min="75" max="75" width="25.33203125" style="32" customWidth="1"/>
    <col min="76" max="82" width="25.33203125" style="2" customWidth="1"/>
    <col min="83" max="108" width="25.33203125" customWidth="1"/>
  </cols>
  <sheetData>
    <row r="1" spans="1:108" ht="25.05" customHeight="1" thickBot="1" x14ac:dyDescent="0.35">
      <c r="A1" s="38" t="s">
        <v>2429</v>
      </c>
      <c r="B1" s="77">
        <f ca="1">TODAY()</f>
        <v>45012</v>
      </c>
      <c r="D1" s="76" t="s">
        <v>3678</v>
      </c>
      <c r="E1" s="75" t="s">
        <v>3718</v>
      </c>
      <c r="F1" s="50" t="s">
        <v>3718</v>
      </c>
      <c r="G1" s="113"/>
      <c r="BS1" s="2"/>
      <c r="BT1" s="29"/>
      <c r="CE1" s="2"/>
    </row>
    <row r="2" spans="1:108" ht="15" customHeight="1" x14ac:dyDescent="0.3">
      <c r="D2" s="76" t="s">
        <v>2491</v>
      </c>
      <c r="E2" s="37" t="str">
        <f>IFERROR(VLOOKUP(E1,UNIDAD[],2,0),"UNIDAD NO ENCONTRADA")</f>
        <v>U6</v>
      </c>
      <c r="P2" s="126" t="s">
        <v>2600</v>
      </c>
      <c r="Q2" s="72"/>
      <c r="R2" s="126" t="s">
        <v>2600</v>
      </c>
      <c r="S2" s="126" t="s">
        <v>2600</v>
      </c>
      <c r="T2" s="126" t="s">
        <v>2600</v>
      </c>
      <c r="U2" s="126" t="s">
        <v>2600</v>
      </c>
      <c r="BS2" s="2"/>
      <c r="BW2" s="127" t="s">
        <v>2600</v>
      </c>
      <c r="BX2" s="73"/>
      <c r="BY2" s="73"/>
      <c r="BZ2" s="73"/>
      <c r="CE2" s="2"/>
      <c r="CF2" s="2"/>
      <c r="CG2" s="2"/>
      <c r="CH2" s="126" t="s">
        <v>2600</v>
      </c>
      <c r="CI2" s="72"/>
      <c r="CJ2" s="72"/>
      <c r="CK2" s="72"/>
      <c r="DC2" s="126" t="s">
        <v>2600</v>
      </c>
    </row>
    <row r="3" spans="1:108" ht="28.95" customHeight="1" x14ac:dyDescent="0.3">
      <c r="P3" s="126"/>
      <c r="Q3" s="72"/>
      <c r="R3" s="126"/>
      <c r="S3" s="126"/>
      <c r="T3" s="126"/>
      <c r="U3" s="126"/>
      <c r="BS3" s="2"/>
      <c r="BW3" s="127"/>
      <c r="BX3" s="73"/>
      <c r="BY3" s="73"/>
      <c r="BZ3" s="73"/>
      <c r="CE3" s="2"/>
      <c r="CF3" s="2"/>
      <c r="CG3" s="2"/>
      <c r="CH3" s="126"/>
      <c r="CI3" s="72"/>
      <c r="CJ3" s="72"/>
      <c r="CK3" s="72"/>
      <c r="DC3" s="126"/>
    </row>
    <row r="4" spans="1:108" ht="21" customHeight="1" x14ac:dyDescent="0.3">
      <c r="P4" s="126"/>
      <c r="Q4" s="72"/>
      <c r="R4" s="126"/>
      <c r="S4" s="126"/>
      <c r="T4" s="126"/>
      <c r="U4" s="126"/>
      <c r="BS4" s="2"/>
      <c r="BW4" s="127"/>
      <c r="BX4" s="73"/>
      <c r="BY4" s="73"/>
      <c r="BZ4" s="73"/>
      <c r="CE4" s="2"/>
      <c r="CF4" s="2"/>
      <c r="CG4" s="2"/>
      <c r="CH4" s="126"/>
      <c r="CI4" s="72"/>
      <c r="CJ4" s="72"/>
      <c r="CK4" s="72"/>
      <c r="DC4" s="126"/>
    </row>
    <row r="5" spans="1:108" ht="33" customHeight="1" x14ac:dyDescent="0.3">
      <c r="P5" s="126"/>
      <c r="Q5" s="72"/>
      <c r="R5" s="126"/>
      <c r="S5" s="126"/>
      <c r="T5" s="126"/>
      <c r="U5" s="126"/>
      <c r="BS5" s="2"/>
      <c r="BW5" s="127"/>
      <c r="BX5" s="73"/>
      <c r="BY5" s="73"/>
      <c r="BZ5" s="73"/>
      <c r="CE5" s="2"/>
      <c r="CF5" s="2"/>
      <c r="CG5" s="2"/>
      <c r="CH5" s="126"/>
      <c r="CI5" s="72"/>
      <c r="CJ5" s="72"/>
      <c r="CK5" s="72"/>
      <c r="DC5" s="126"/>
    </row>
    <row r="6" spans="1:108" ht="46.05" customHeight="1" thickBot="1" x14ac:dyDescent="0.35">
      <c r="P6" s="126"/>
      <c r="Q6" s="72"/>
      <c r="R6" s="126"/>
      <c r="S6" s="126"/>
      <c r="T6" s="126"/>
      <c r="U6" s="126"/>
      <c r="BS6" s="2"/>
      <c r="BW6" s="127"/>
      <c r="BX6" s="73"/>
      <c r="BY6" s="73"/>
      <c r="BZ6" s="73"/>
      <c r="CE6" s="2"/>
      <c r="CF6" s="2"/>
      <c r="CG6" s="2"/>
      <c r="CH6" s="126"/>
      <c r="CI6" s="72"/>
      <c r="CJ6" s="72"/>
      <c r="CK6" s="72"/>
      <c r="DC6" s="126"/>
    </row>
    <row r="7" spans="1:108" s="64" customFormat="1" ht="125.25" customHeight="1" x14ac:dyDescent="0.3">
      <c r="A7" s="85" t="s">
        <v>2381</v>
      </c>
      <c r="B7" s="86" t="s">
        <v>2415</v>
      </c>
      <c r="C7" s="86" t="s">
        <v>2416</v>
      </c>
      <c r="D7" s="87" t="s">
        <v>2417</v>
      </c>
      <c r="E7" s="88" t="s">
        <v>3650</v>
      </c>
      <c r="F7" s="112" t="s">
        <v>3706</v>
      </c>
      <c r="G7" s="112" t="s">
        <v>3707</v>
      </c>
      <c r="H7" s="89" t="s">
        <v>2491</v>
      </c>
      <c r="I7" s="117" t="s">
        <v>2492</v>
      </c>
      <c r="J7" s="90" t="s">
        <v>2493</v>
      </c>
      <c r="K7" s="91" t="s">
        <v>0</v>
      </c>
      <c r="L7" s="92" t="s">
        <v>2385</v>
      </c>
      <c r="M7" s="92" t="s">
        <v>2386</v>
      </c>
      <c r="N7" s="92" t="s">
        <v>2383</v>
      </c>
      <c r="O7" s="92" t="s">
        <v>2384</v>
      </c>
      <c r="P7" s="92" t="s">
        <v>2559</v>
      </c>
      <c r="Q7" s="92" t="s">
        <v>2387</v>
      </c>
      <c r="R7" s="92" t="s">
        <v>2388</v>
      </c>
      <c r="S7" s="92" t="s">
        <v>2389</v>
      </c>
      <c r="T7" s="92" t="s">
        <v>2390</v>
      </c>
      <c r="U7" s="92" t="s">
        <v>2391</v>
      </c>
      <c r="V7" s="92" t="s">
        <v>2382</v>
      </c>
      <c r="W7" s="92" t="s">
        <v>128</v>
      </c>
      <c r="X7" s="92" t="s">
        <v>2392</v>
      </c>
      <c r="Y7" s="92" t="s">
        <v>2393</v>
      </c>
      <c r="Z7" s="92" t="s">
        <v>2394</v>
      </c>
      <c r="AA7" s="92" t="s">
        <v>2584</v>
      </c>
      <c r="AB7" s="92" t="s">
        <v>3659</v>
      </c>
      <c r="AC7" s="92" t="s">
        <v>2396</v>
      </c>
      <c r="AD7" s="92" t="s">
        <v>2519</v>
      </c>
      <c r="AE7" s="92" t="s">
        <v>2418</v>
      </c>
      <c r="AF7" s="92" t="s">
        <v>2419</v>
      </c>
      <c r="AG7" s="92" t="s">
        <v>2420</v>
      </c>
      <c r="AH7" s="92" t="s">
        <v>2421</v>
      </c>
      <c r="AI7" s="92" t="s">
        <v>2422</v>
      </c>
      <c r="AJ7" s="92" t="s">
        <v>2423</v>
      </c>
      <c r="AK7" s="92" t="s">
        <v>2424</v>
      </c>
      <c r="AL7" s="92" t="s">
        <v>2425</v>
      </c>
      <c r="AM7" s="92" t="s">
        <v>2399</v>
      </c>
      <c r="AN7" s="92" t="s">
        <v>2400</v>
      </c>
      <c r="AO7" s="92" t="s">
        <v>2401</v>
      </c>
      <c r="AP7" s="92" t="s">
        <v>2403</v>
      </c>
      <c r="AQ7" s="92" t="s">
        <v>2605</v>
      </c>
      <c r="AR7" s="92" t="s">
        <v>2404</v>
      </c>
      <c r="AS7" s="92" t="s">
        <v>2612</v>
      </c>
      <c r="AT7" s="92" t="s">
        <v>2405</v>
      </c>
      <c r="AU7" s="92" t="s">
        <v>2406</v>
      </c>
      <c r="AV7" s="92" t="s">
        <v>2407</v>
      </c>
      <c r="AW7" s="92" t="s">
        <v>2402</v>
      </c>
      <c r="AX7" s="92" t="s">
        <v>2395</v>
      </c>
      <c r="AY7" s="92" t="s">
        <v>2397</v>
      </c>
      <c r="AZ7" s="92" t="s">
        <v>2595</v>
      </c>
      <c r="BA7" s="92" t="s">
        <v>2398</v>
      </c>
      <c r="BB7" s="93" t="s">
        <v>2641</v>
      </c>
      <c r="BC7" s="92" t="s">
        <v>3621</v>
      </c>
      <c r="BD7" s="94" t="s">
        <v>3623</v>
      </c>
      <c r="BE7" s="95" t="s">
        <v>2408</v>
      </c>
      <c r="BF7" s="96" t="s">
        <v>2441</v>
      </c>
      <c r="BG7" s="96" t="s">
        <v>2520</v>
      </c>
      <c r="BH7" s="96" t="s">
        <v>2409</v>
      </c>
      <c r="BI7" s="96" t="s">
        <v>2410</v>
      </c>
      <c r="BJ7" s="96" t="s">
        <v>2411</v>
      </c>
      <c r="BK7" s="96" t="s">
        <v>2412</v>
      </c>
      <c r="BL7" s="96" t="s">
        <v>2413</v>
      </c>
      <c r="BM7" s="96" t="s">
        <v>2414</v>
      </c>
      <c r="BN7" s="96" t="s">
        <v>3660</v>
      </c>
      <c r="BO7" s="97" t="s">
        <v>3661</v>
      </c>
      <c r="BP7" s="98" t="s">
        <v>2521</v>
      </c>
      <c r="BQ7" s="99" t="s">
        <v>2522</v>
      </c>
      <c r="BR7" s="99" t="s">
        <v>2523</v>
      </c>
      <c r="BS7" s="99" t="s">
        <v>2524</v>
      </c>
      <c r="BT7" s="99" t="s">
        <v>2525</v>
      </c>
      <c r="BU7" s="99" t="s">
        <v>2526</v>
      </c>
      <c r="BV7" s="100" t="s">
        <v>2527</v>
      </c>
      <c r="BW7" s="120" t="s">
        <v>2603</v>
      </c>
      <c r="BX7" s="99" t="s">
        <v>3655</v>
      </c>
      <c r="BY7" s="99" t="s">
        <v>3662</v>
      </c>
      <c r="BZ7" s="101" t="s">
        <v>3663</v>
      </c>
      <c r="CA7" s="102" t="s">
        <v>2529</v>
      </c>
      <c r="CB7" s="103" t="s">
        <v>2528</v>
      </c>
      <c r="CC7" s="103" t="s">
        <v>2530</v>
      </c>
      <c r="CD7" s="103" t="s">
        <v>2531</v>
      </c>
      <c r="CE7" s="103" t="s">
        <v>2532</v>
      </c>
      <c r="CF7" s="103" t="s">
        <v>2533</v>
      </c>
      <c r="CG7" s="103" t="s">
        <v>2534</v>
      </c>
      <c r="CH7" s="103" t="s">
        <v>2535</v>
      </c>
      <c r="CI7" s="103" t="s">
        <v>3656</v>
      </c>
      <c r="CJ7" s="103" t="s">
        <v>3664</v>
      </c>
      <c r="CK7" s="104" t="s">
        <v>3665</v>
      </c>
      <c r="CL7" s="105" t="s">
        <v>2442</v>
      </c>
      <c r="CM7" s="106" t="s">
        <v>2484</v>
      </c>
      <c r="CN7" s="107" t="s">
        <v>2569</v>
      </c>
      <c r="CO7" s="107" t="s">
        <v>3588</v>
      </c>
      <c r="CP7" s="107" t="s">
        <v>2570</v>
      </c>
      <c r="CQ7" s="107" t="s">
        <v>2571</v>
      </c>
      <c r="CR7" s="107" t="s">
        <v>2572</v>
      </c>
      <c r="CS7" s="107" t="s">
        <v>2573</v>
      </c>
      <c r="CT7" s="107" t="s">
        <v>2574</v>
      </c>
      <c r="CU7" s="107" t="s">
        <v>2575</v>
      </c>
      <c r="CV7" s="107" t="s">
        <v>2576</v>
      </c>
      <c r="CW7" s="107" t="s">
        <v>3624</v>
      </c>
      <c r="CX7" s="107" t="s">
        <v>3625</v>
      </c>
      <c r="CY7" s="107" t="s">
        <v>2577</v>
      </c>
      <c r="CZ7" s="107" t="s">
        <v>2578</v>
      </c>
      <c r="DA7" s="107" t="s">
        <v>2579</v>
      </c>
      <c r="DB7" s="108" t="s">
        <v>4082</v>
      </c>
      <c r="DC7" s="109" t="s">
        <v>2500</v>
      </c>
      <c r="DD7" s="110" t="s">
        <v>2558</v>
      </c>
    </row>
    <row r="8" spans="1:108" ht="45" customHeight="1" x14ac:dyDescent="0.3">
      <c r="A8" s="50">
        <v>11111111</v>
      </c>
      <c r="B8" s="37" t="s">
        <v>2427</v>
      </c>
      <c r="C8" s="79">
        <v>44197</v>
      </c>
      <c r="D8" s="79"/>
      <c r="E8" s="50" t="s">
        <v>4435</v>
      </c>
      <c r="F8" s="50" t="s">
        <v>4436</v>
      </c>
      <c r="G8" s="50"/>
      <c r="H8" s="37" t="s">
        <v>2536</v>
      </c>
      <c r="I8" s="37">
        <v>123</v>
      </c>
      <c r="J8" s="37" t="s">
        <v>4437</v>
      </c>
      <c r="K8" s="37" t="s">
        <v>2</v>
      </c>
      <c r="L8" s="37" t="s">
        <v>4438</v>
      </c>
      <c r="M8" s="37"/>
      <c r="N8" s="37" t="s">
        <v>4439</v>
      </c>
      <c r="O8" s="37"/>
      <c r="P8" s="37"/>
      <c r="Q8" s="79">
        <v>34834</v>
      </c>
      <c r="R8" s="50"/>
      <c r="S8" s="50"/>
      <c r="T8" s="50"/>
      <c r="U8" s="37"/>
      <c r="V8" s="37"/>
      <c r="W8" s="37" t="s">
        <v>130</v>
      </c>
      <c r="X8" s="37" t="s">
        <v>8</v>
      </c>
      <c r="Y8" s="37" t="s">
        <v>116</v>
      </c>
      <c r="Z8" s="37" t="s">
        <v>116</v>
      </c>
      <c r="AA8" s="37" t="s">
        <v>2496</v>
      </c>
      <c r="AB8" s="37" t="s">
        <v>2496</v>
      </c>
      <c r="AC8" s="37"/>
      <c r="AD8" s="37" t="s">
        <v>2518</v>
      </c>
      <c r="AE8" s="37"/>
      <c r="AF8" s="37" t="s">
        <v>2496</v>
      </c>
      <c r="AG8" s="37" t="s">
        <v>2496</v>
      </c>
      <c r="AH8" s="37" t="s">
        <v>2496</v>
      </c>
      <c r="AI8" s="37" t="s">
        <v>2496</v>
      </c>
      <c r="AJ8" s="37" t="s">
        <v>2496</v>
      </c>
      <c r="AK8" s="37" t="s">
        <v>2496</v>
      </c>
      <c r="AL8" s="37" t="s">
        <v>2496</v>
      </c>
      <c r="AM8" s="37" t="s">
        <v>8</v>
      </c>
      <c r="AN8" s="111" t="s">
        <v>116</v>
      </c>
      <c r="AO8" s="111" t="s">
        <v>140</v>
      </c>
      <c r="AP8" s="111" t="s">
        <v>143</v>
      </c>
      <c r="AQ8" s="37" t="s">
        <v>151</v>
      </c>
      <c r="AR8" s="37" t="s">
        <v>3723</v>
      </c>
      <c r="AS8" s="37"/>
      <c r="AT8" s="37" t="s">
        <v>4459</v>
      </c>
      <c r="AU8" s="37">
        <v>3203187737</v>
      </c>
      <c r="AV8" s="37"/>
      <c r="AW8" s="37">
        <v>1</v>
      </c>
      <c r="AX8" s="37" t="s">
        <v>135</v>
      </c>
      <c r="AY8" s="37" t="s">
        <v>2495</v>
      </c>
      <c r="AZ8" s="37" t="s">
        <v>3599</v>
      </c>
      <c r="BA8" s="37" t="s">
        <v>2496</v>
      </c>
      <c r="BB8" s="37" t="s">
        <v>2496</v>
      </c>
      <c r="BC8" s="37" t="s">
        <v>3607</v>
      </c>
      <c r="BD8" s="37" t="s">
        <v>2495</v>
      </c>
      <c r="BE8" s="37" t="s">
        <v>2437</v>
      </c>
      <c r="BF8" s="37" t="s">
        <v>2</v>
      </c>
      <c r="BG8" s="37">
        <v>1014207578</v>
      </c>
      <c r="BH8" s="37" t="s">
        <v>3698</v>
      </c>
      <c r="BI8" s="37"/>
      <c r="BJ8" s="37" t="s">
        <v>2375</v>
      </c>
      <c r="BK8" s="37" t="s">
        <v>4464</v>
      </c>
      <c r="BL8" s="79">
        <v>32750</v>
      </c>
      <c r="BM8" s="37" t="s">
        <v>8</v>
      </c>
      <c r="BN8" s="37" t="s">
        <v>116</v>
      </c>
      <c r="BO8" s="37" t="s">
        <v>116</v>
      </c>
      <c r="BP8" s="37"/>
      <c r="BQ8" s="37"/>
      <c r="BR8" s="37"/>
      <c r="BS8" s="37"/>
      <c r="BT8" s="37"/>
      <c r="BU8" s="37"/>
      <c r="BV8" s="79"/>
      <c r="BW8" s="50" t="str">
        <f t="shared" ref="BW8:BW12" si="0">+IF(BV8&gt;0,DATEDIF(BV8,$B$1,"y"),"")</f>
        <v/>
      </c>
      <c r="BX8" s="62"/>
      <c r="BY8" s="62"/>
      <c r="BZ8" s="62"/>
      <c r="CA8" s="37"/>
      <c r="CB8" s="37"/>
      <c r="CC8" s="37"/>
      <c r="CD8" s="37"/>
      <c r="CE8" s="37"/>
      <c r="CF8" s="37"/>
      <c r="CG8" s="118"/>
      <c r="CH8" s="50" t="str">
        <f t="shared" ref="CH8:CH12" si="1">+IF(CG8&gt;0,DATEDIF(CG8,$B$1,"y"),"")</f>
        <v/>
      </c>
      <c r="CI8" s="37"/>
      <c r="CJ8" s="37"/>
      <c r="CK8" s="37"/>
      <c r="CL8" s="37" t="s">
        <v>2444</v>
      </c>
      <c r="CM8" s="37" t="s">
        <v>2468</v>
      </c>
      <c r="CN8" s="37" t="s">
        <v>2495</v>
      </c>
      <c r="CO8" s="80">
        <v>44620</v>
      </c>
      <c r="CP8" s="37"/>
      <c r="CQ8" s="37"/>
      <c r="CR8" s="79"/>
      <c r="CS8" s="37"/>
      <c r="CT8" s="37"/>
      <c r="CU8" s="37"/>
      <c r="CV8" s="62"/>
      <c r="CW8" s="37"/>
      <c r="CX8" s="37"/>
      <c r="CY8" s="37"/>
      <c r="CZ8" s="37"/>
      <c r="DA8" s="37"/>
      <c r="DB8" s="37" t="s">
        <v>3760</v>
      </c>
      <c r="DC8" s="37"/>
      <c r="DD8" s="37"/>
    </row>
    <row r="9" spans="1:108" ht="45" customHeight="1" x14ac:dyDescent="0.3">
      <c r="A9" s="50">
        <v>22222222</v>
      </c>
      <c r="B9" s="37" t="s">
        <v>2428</v>
      </c>
      <c r="C9" s="79">
        <v>43631</v>
      </c>
      <c r="D9" s="79">
        <v>43905</v>
      </c>
      <c r="E9" s="50" t="s">
        <v>4440</v>
      </c>
      <c r="F9" s="50" t="s">
        <v>4441</v>
      </c>
      <c r="G9" s="50"/>
      <c r="H9" s="50" t="s">
        <v>2539</v>
      </c>
      <c r="I9" s="50">
        <v>234</v>
      </c>
      <c r="J9" s="37" t="s">
        <v>4442</v>
      </c>
      <c r="K9" s="37" t="s">
        <v>6</v>
      </c>
      <c r="L9" s="37" t="s">
        <v>4443</v>
      </c>
      <c r="M9" s="37" t="s">
        <v>4444</v>
      </c>
      <c r="N9" s="37" t="s">
        <v>4445</v>
      </c>
      <c r="O9" s="37"/>
      <c r="P9" s="37"/>
      <c r="Q9" s="79">
        <v>44750</v>
      </c>
      <c r="R9" s="50"/>
      <c r="S9" s="50"/>
      <c r="T9" s="50"/>
      <c r="U9" s="37"/>
      <c r="V9" s="37"/>
      <c r="W9" s="133" t="s">
        <v>130</v>
      </c>
      <c r="X9" s="37" t="s">
        <v>8</v>
      </c>
      <c r="Y9" s="37" t="s">
        <v>116</v>
      </c>
      <c r="Z9" s="37" t="s">
        <v>116</v>
      </c>
      <c r="AA9" s="37" t="s">
        <v>2496</v>
      </c>
      <c r="AB9" s="37" t="s">
        <v>2496</v>
      </c>
      <c r="AC9" s="37"/>
      <c r="AD9" s="37" t="s">
        <v>2518</v>
      </c>
      <c r="AE9" s="37"/>
      <c r="AF9" s="37" t="s">
        <v>2496</v>
      </c>
      <c r="AG9" s="37" t="s">
        <v>2496</v>
      </c>
      <c r="AH9" s="37" t="s">
        <v>2496</v>
      </c>
      <c r="AI9" s="37" t="s">
        <v>2496</v>
      </c>
      <c r="AJ9" s="37" t="s">
        <v>2496</v>
      </c>
      <c r="AK9" s="37" t="s">
        <v>2496</v>
      </c>
      <c r="AL9" s="37" t="s">
        <v>2496</v>
      </c>
      <c r="AM9" s="37" t="s">
        <v>8</v>
      </c>
      <c r="AN9" s="62" t="s">
        <v>116</v>
      </c>
      <c r="AO9" s="62" t="s">
        <v>140</v>
      </c>
      <c r="AP9" s="62" t="s">
        <v>143</v>
      </c>
      <c r="AQ9" s="37" t="s">
        <v>151</v>
      </c>
      <c r="AR9" s="37" t="s">
        <v>3723</v>
      </c>
      <c r="AS9" s="37"/>
      <c r="AT9" s="37" t="s">
        <v>4460</v>
      </c>
      <c r="AU9" s="37">
        <v>3203187737</v>
      </c>
      <c r="AV9" s="37"/>
      <c r="AW9" s="37">
        <v>1</v>
      </c>
      <c r="AX9" s="37" t="s">
        <v>135</v>
      </c>
      <c r="AY9" s="37" t="s">
        <v>2496</v>
      </c>
      <c r="AZ9" s="58"/>
      <c r="BA9" s="37" t="s">
        <v>2496</v>
      </c>
      <c r="BB9" s="37" t="s">
        <v>2496</v>
      </c>
      <c r="BC9" s="37" t="s">
        <v>3654</v>
      </c>
      <c r="BD9" s="37"/>
      <c r="BE9" s="37" t="s">
        <v>2434</v>
      </c>
      <c r="BF9" s="37" t="s">
        <v>2</v>
      </c>
      <c r="BG9" s="37">
        <v>1023004524</v>
      </c>
      <c r="BH9" s="37" t="s">
        <v>3701</v>
      </c>
      <c r="BI9" s="37"/>
      <c r="BJ9" s="37" t="s">
        <v>4465</v>
      </c>
      <c r="BK9" s="37" t="s">
        <v>4466</v>
      </c>
      <c r="BL9" s="79">
        <v>34834</v>
      </c>
      <c r="BM9" s="37" t="s">
        <v>8</v>
      </c>
      <c r="BN9" s="37" t="s">
        <v>116</v>
      </c>
      <c r="BO9" s="37" t="s">
        <v>116</v>
      </c>
      <c r="BP9" s="37" t="s">
        <v>2</v>
      </c>
      <c r="BQ9" s="37">
        <v>1014207273</v>
      </c>
      <c r="BR9" s="37" t="s">
        <v>3698</v>
      </c>
      <c r="BS9" s="37"/>
      <c r="BT9" s="37" t="s">
        <v>3696</v>
      </c>
      <c r="BU9" s="37" t="s">
        <v>3724</v>
      </c>
      <c r="BV9" s="79">
        <v>32750</v>
      </c>
      <c r="BW9" s="50">
        <f t="shared" ca="1" si="0"/>
        <v>33</v>
      </c>
      <c r="BX9" s="62" t="s">
        <v>8</v>
      </c>
      <c r="BY9" s="62" t="s">
        <v>116</v>
      </c>
      <c r="BZ9" s="62" t="s">
        <v>116</v>
      </c>
      <c r="CA9" s="37" t="s">
        <v>2</v>
      </c>
      <c r="CB9" s="37">
        <v>1023005047</v>
      </c>
      <c r="CC9" s="37" t="s">
        <v>3701</v>
      </c>
      <c r="CD9" s="37"/>
      <c r="CE9" s="37" t="s">
        <v>4471</v>
      </c>
      <c r="CF9" s="37" t="s">
        <v>3719</v>
      </c>
      <c r="CG9" s="118">
        <v>34834</v>
      </c>
      <c r="CH9" s="50">
        <f t="shared" ca="1" si="1"/>
        <v>27</v>
      </c>
      <c r="CI9" s="62" t="s">
        <v>8</v>
      </c>
      <c r="CJ9" s="62" t="s">
        <v>116</v>
      </c>
      <c r="CK9" s="62" t="s">
        <v>116</v>
      </c>
      <c r="CL9" s="37" t="s">
        <v>2443</v>
      </c>
      <c r="CM9" s="37" t="s">
        <v>2468</v>
      </c>
      <c r="CN9" s="37" t="s">
        <v>2496</v>
      </c>
      <c r="CO9" s="119">
        <v>44761</v>
      </c>
      <c r="CP9" s="37" t="s">
        <v>2496</v>
      </c>
      <c r="CQ9" s="37" t="s">
        <v>2496</v>
      </c>
      <c r="CR9" s="79"/>
      <c r="CS9" s="37" t="s">
        <v>2496</v>
      </c>
      <c r="CT9" s="37" t="s">
        <v>3709</v>
      </c>
      <c r="CU9" s="37"/>
      <c r="CV9" s="62" t="s">
        <v>3761</v>
      </c>
      <c r="CW9" s="37"/>
      <c r="CX9" s="37"/>
      <c r="CY9" s="37" t="s">
        <v>2496</v>
      </c>
      <c r="CZ9" s="37">
        <v>0</v>
      </c>
      <c r="DA9" s="37">
        <v>1</v>
      </c>
      <c r="DB9" s="37"/>
      <c r="DC9" s="37"/>
      <c r="DD9" s="37"/>
    </row>
    <row r="10" spans="1:108" ht="45" customHeight="1" x14ac:dyDescent="0.3">
      <c r="A10" s="50">
        <v>33333333</v>
      </c>
      <c r="B10" s="37" t="s">
        <v>2427</v>
      </c>
      <c r="C10" s="79">
        <v>44104</v>
      </c>
      <c r="D10" s="79"/>
      <c r="E10" s="50" t="s">
        <v>4435</v>
      </c>
      <c r="F10" s="50" t="s">
        <v>4446</v>
      </c>
      <c r="G10" s="50" t="s">
        <v>4447</v>
      </c>
      <c r="H10" s="37" t="s">
        <v>2541</v>
      </c>
      <c r="I10" s="37">
        <v>567</v>
      </c>
      <c r="J10" s="37" t="s">
        <v>4034</v>
      </c>
      <c r="K10" s="37" t="s">
        <v>2</v>
      </c>
      <c r="L10" s="37" t="s">
        <v>4448</v>
      </c>
      <c r="M10" s="37"/>
      <c r="N10" s="37" t="s">
        <v>4449</v>
      </c>
      <c r="O10" s="37"/>
      <c r="P10" s="37"/>
      <c r="Q10" s="79">
        <v>44070</v>
      </c>
      <c r="R10" s="50"/>
      <c r="S10" s="50"/>
      <c r="T10" s="50"/>
      <c r="U10" s="37"/>
      <c r="V10" s="37"/>
      <c r="W10" s="133" t="s">
        <v>130</v>
      </c>
      <c r="X10" s="37" t="s">
        <v>8</v>
      </c>
      <c r="Y10" s="37" t="s">
        <v>116</v>
      </c>
      <c r="Z10" s="37" t="s">
        <v>116</v>
      </c>
      <c r="AA10" s="37" t="s">
        <v>2496</v>
      </c>
      <c r="AB10" s="37" t="s">
        <v>2496</v>
      </c>
      <c r="AC10" s="37"/>
      <c r="AD10" s="37" t="s">
        <v>2518</v>
      </c>
      <c r="AE10" s="37"/>
      <c r="AF10" s="37" t="s">
        <v>2496</v>
      </c>
      <c r="AG10" s="37" t="s">
        <v>2496</v>
      </c>
      <c r="AH10" s="37" t="s">
        <v>2496</v>
      </c>
      <c r="AI10" s="37" t="s">
        <v>2496</v>
      </c>
      <c r="AJ10" s="37" t="s">
        <v>2496</v>
      </c>
      <c r="AK10" s="37" t="s">
        <v>2496</v>
      </c>
      <c r="AL10" s="37" t="s">
        <v>2496</v>
      </c>
      <c r="AM10" s="37" t="s">
        <v>8</v>
      </c>
      <c r="AN10" s="37" t="s">
        <v>116</v>
      </c>
      <c r="AO10" s="37" t="s">
        <v>140</v>
      </c>
      <c r="AP10" s="62" t="s">
        <v>143</v>
      </c>
      <c r="AQ10" s="37" t="s">
        <v>151</v>
      </c>
      <c r="AR10" s="37" t="s">
        <v>3723</v>
      </c>
      <c r="AS10" s="37"/>
      <c r="AT10" s="37" t="s">
        <v>4461</v>
      </c>
      <c r="AU10" s="37">
        <v>3023623888</v>
      </c>
      <c r="AV10" s="37"/>
      <c r="AW10" s="37">
        <v>1</v>
      </c>
      <c r="AX10" s="37" t="s">
        <v>135</v>
      </c>
      <c r="AY10" s="37" t="s">
        <v>2496</v>
      </c>
      <c r="AZ10" s="58"/>
      <c r="BA10" s="37" t="s">
        <v>2496</v>
      </c>
      <c r="BB10" s="37" t="s">
        <v>2496</v>
      </c>
      <c r="BC10" s="37" t="s">
        <v>3654</v>
      </c>
      <c r="BD10" s="37"/>
      <c r="BE10" s="37" t="s">
        <v>2434</v>
      </c>
      <c r="BF10" s="37" t="s">
        <v>5</v>
      </c>
      <c r="BG10" s="37"/>
      <c r="BH10" s="37" t="s">
        <v>3725</v>
      </c>
      <c r="BI10" s="37"/>
      <c r="BJ10" s="37" t="s">
        <v>3720</v>
      </c>
      <c r="BK10" s="37" t="s">
        <v>4467</v>
      </c>
      <c r="BL10" s="79">
        <v>31482</v>
      </c>
      <c r="BM10" s="37" t="s">
        <v>9</v>
      </c>
      <c r="BN10" s="37" t="s">
        <v>45</v>
      </c>
      <c r="BO10" s="37" t="s">
        <v>45</v>
      </c>
      <c r="BP10" s="37"/>
      <c r="BQ10" s="37"/>
      <c r="BR10" s="37"/>
      <c r="BS10" s="37"/>
      <c r="BT10" s="37"/>
      <c r="BU10" s="37"/>
      <c r="BV10" s="79"/>
      <c r="BW10" s="50" t="str">
        <f t="shared" si="0"/>
        <v/>
      </c>
      <c r="BX10" s="62"/>
      <c r="BY10" s="62"/>
      <c r="BZ10" s="62"/>
      <c r="CA10" s="37" t="s">
        <v>5</v>
      </c>
      <c r="CB10" s="37"/>
      <c r="CC10" s="37" t="s">
        <v>3725</v>
      </c>
      <c r="CD10" s="37"/>
      <c r="CE10" s="37" t="s">
        <v>4472</v>
      </c>
      <c r="CF10" s="37" t="s">
        <v>3700</v>
      </c>
      <c r="CG10" s="79">
        <v>31482</v>
      </c>
      <c r="CH10" s="50">
        <f t="shared" ca="1" si="1"/>
        <v>37</v>
      </c>
      <c r="CI10" s="62" t="s">
        <v>9</v>
      </c>
      <c r="CJ10" s="62" t="s">
        <v>45</v>
      </c>
      <c r="CK10" s="62" t="s">
        <v>45</v>
      </c>
      <c r="CL10" s="37" t="s">
        <v>2443</v>
      </c>
      <c r="CM10" s="37" t="s">
        <v>2457</v>
      </c>
      <c r="CN10" s="37" t="s">
        <v>2495</v>
      </c>
      <c r="CO10" s="79">
        <v>44620</v>
      </c>
      <c r="CP10" s="37" t="s">
        <v>2495</v>
      </c>
      <c r="CQ10" s="37" t="s">
        <v>2495</v>
      </c>
      <c r="CR10" s="37">
        <v>1</v>
      </c>
      <c r="CS10" s="37" t="s">
        <v>2496</v>
      </c>
      <c r="CT10" s="37"/>
      <c r="CU10" s="37"/>
      <c r="CV10" s="37">
        <v>39</v>
      </c>
      <c r="CW10" s="37">
        <v>2600</v>
      </c>
      <c r="CX10" s="37">
        <v>49</v>
      </c>
      <c r="CY10" s="37" t="s">
        <v>2496</v>
      </c>
      <c r="CZ10" s="37">
        <v>6</v>
      </c>
      <c r="DA10" s="37"/>
      <c r="DB10" s="37"/>
      <c r="DC10" s="37"/>
      <c r="DD10" s="37"/>
    </row>
    <row r="11" spans="1:108" ht="45" customHeight="1" x14ac:dyDescent="0.3">
      <c r="A11" s="50">
        <v>44444444</v>
      </c>
      <c r="B11" s="37" t="s">
        <v>2428</v>
      </c>
      <c r="C11" s="79">
        <v>44562</v>
      </c>
      <c r="D11" s="79">
        <v>44621</v>
      </c>
      <c r="E11" s="50" t="s">
        <v>4454</v>
      </c>
      <c r="F11" s="50" t="s">
        <v>4455</v>
      </c>
      <c r="G11" s="50"/>
      <c r="H11" s="37"/>
      <c r="I11" s="37">
        <v>8910</v>
      </c>
      <c r="J11" s="37" t="s">
        <v>4457</v>
      </c>
      <c r="K11" s="37" t="s">
        <v>2</v>
      </c>
      <c r="L11" s="37" t="s">
        <v>4450</v>
      </c>
      <c r="M11" s="37"/>
      <c r="N11" s="37" t="s">
        <v>4451</v>
      </c>
      <c r="O11" s="37"/>
      <c r="P11" s="37"/>
      <c r="Q11" s="79">
        <v>44591</v>
      </c>
      <c r="R11" s="50"/>
      <c r="S11" s="50"/>
      <c r="T11" s="50"/>
      <c r="U11" s="37"/>
      <c r="V11" s="37"/>
      <c r="W11" s="133" t="s">
        <v>129</v>
      </c>
      <c r="X11" s="37" t="s">
        <v>8</v>
      </c>
      <c r="Y11" s="37" t="s">
        <v>116</v>
      </c>
      <c r="Z11" s="37" t="s">
        <v>116</v>
      </c>
      <c r="AA11" s="37" t="s">
        <v>2496</v>
      </c>
      <c r="AB11" s="37" t="s">
        <v>2496</v>
      </c>
      <c r="AC11" s="37"/>
      <c r="AD11" s="37" t="s">
        <v>2518</v>
      </c>
      <c r="AE11" s="37"/>
      <c r="AF11" s="37" t="s">
        <v>2496</v>
      </c>
      <c r="AG11" s="37" t="s">
        <v>2496</v>
      </c>
      <c r="AH11" s="37" t="s">
        <v>2496</v>
      </c>
      <c r="AI11" s="37" t="s">
        <v>2496</v>
      </c>
      <c r="AJ11" s="37" t="s">
        <v>2496</v>
      </c>
      <c r="AK11" s="37" t="s">
        <v>2496</v>
      </c>
      <c r="AL11" s="37" t="s">
        <v>2496</v>
      </c>
      <c r="AM11" s="37" t="s">
        <v>8</v>
      </c>
      <c r="AN11" s="37" t="s">
        <v>116</v>
      </c>
      <c r="AO11" s="37" t="s">
        <v>140</v>
      </c>
      <c r="AP11" s="62" t="s">
        <v>143</v>
      </c>
      <c r="AQ11" s="37" t="s">
        <v>151</v>
      </c>
      <c r="AR11" s="37" t="s">
        <v>3726</v>
      </c>
      <c r="AS11" s="37"/>
      <c r="AT11" s="37" t="s">
        <v>4462</v>
      </c>
      <c r="AU11" s="37">
        <v>3138423513</v>
      </c>
      <c r="AV11" s="37"/>
      <c r="AW11" s="37">
        <v>2</v>
      </c>
      <c r="AX11" s="37" t="s">
        <v>135</v>
      </c>
      <c r="AY11" s="37" t="s">
        <v>2496</v>
      </c>
      <c r="AZ11" s="58"/>
      <c r="BA11" s="37" t="s">
        <v>2496</v>
      </c>
      <c r="BB11" s="37" t="s">
        <v>2496</v>
      </c>
      <c r="BC11" s="37" t="s">
        <v>3654</v>
      </c>
      <c r="BD11" s="37"/>
      <c r="BE11" s="37" t="s">
        <v>2434</v>
      </c>
      <c r="BF11" s="37" t="s">
        <v>2</v>
      </c>
      <c r="BG11" s="37">
        <v>1023027658</v>
      </c>
      <c r="BH11" s="37" t="s">
        <v>4468</v>
      </c>
      <c r="BI11" s="37"/>
      <c r="BJ11" s="37" t="s">
        <v>3722</v>
      </c>
      <c r="BK11" s="37" t="s">
        <v>3729</v>
      </c>
      <c r="BL11" s="79">
        <v>35908</v>
      </c>
      <c r="BM11" s="37" t="s">
        <v>8</v>
      </c>
      <c r="BN11" s="37" t="s">
        <v>116</v>
      </c>
      <c r="BO11" s="37" t="s">
        <v>116</v>
      </c>
      <c r="BP11" s="37" t="s">
        <v>2</v>
      </c>
      <c r="BQ11" s="37">
        <v>1023034116</v>
      </c>
      <c r="BR11" s="37" t="s">
        <v>3695</v>
      </c>
      <c r="BS11" s="37"/>
      <c r="BT11" s="37" t="s">
        <v>4032</v>
      </c>
      <c r="BU11" s="37" t="s">
        <v>3702</v>
      </c>
      <c r="BV11" s="79">
        <v>36153</v>
      </c>
      <c r="BW11" s="50">
        <f t="shared" ca="1" si="0"/>
        <v>24</v>
      </c>
      <c r="BX11" s="62" t="s">
        <v>8</v>
      </c>
      <c r="BY11" s="62" t="s">
        <v>116</v>
      </c>
      <c r="BZ11" s="62" t="s">
        <v>116</v>
      </c>
      <c r="CA11" s="37" t="s">
        <v>2</v>
      </c>
      <c r="CB11" s="37">
        <v>102302487</v>
      </c>
      <c r="CC11" s="37" t="s">
        <v>3727</v>
      </c>
      <c r="CD11" s="37" t="s">
        <v>3728</v>
      </c>
      <c r="CE11" s="37" t="s">
        <v>4473</v>
      </c>
      <c r="CF11" s="37"/>
      <c r="CG11" s="79">
        <v>35908</v>
      </c>
      <c r="CH11" s="50">
        <f t="shared" ca="1" si="1"/>
        <v>24</v>
      </c>
      <c r="CI11" s="62" t="s">
        <v>8</v>
      </c>
      <c r="CJ11" s="62" t="s">
        <v>116</v>
      </c>
      <c r="CK11" s="62" t="s">
        <v>116</v>
      </c>
      <c r="CL11" s="37" t="s">
        <v>2443</v>
      </c>
      <c r="CM11" s="37" t="s">
        <v>2457</v>
      </c>
      <c r="CN11" s="37" t="s">
        <v>2495</v>
      </c>
      <c r="CO11" s="79">
        <v>44620</v>
      </c>
      <c r="CP11" s="37" t="s">
        <v>2495</v>
      </c>
      <c r="CQ11" s="37" t="s">
        <v>2495</v>
      </c>
      <c r="CR11" s="37">
        <v>1</v>
      </c>
      <c r="CS11" s="37" t="s">
        <v>2495</v>
      </c>
      <c r="CT11" s="37"/>
      <c r="CU11" s="37"/>
      <c r="CV11" s="37">
        <v>36</v>
      </c>
      <c r="CW11" s="37">
        <v>2240</v>
      </c>
      <c r="CX11" s="37">
        <v>48</v>
      </c>
      <c r="CY11" s="37" t="s">
        <v>2495</v>
      </c>
      <c r="CZ11" s="37">
        <v>6</v>
      </c>
      <c r="DA11" s="37"/>
      <c r="DB11" s="37"/>
      <c r="DC11" s="37"/>
      <c r="DD11" s="37"/>
    </row>
    <row r="12" spans="1:108" ht="45" customHeight="1" x14ac:dyDescent="0.3">
      <c r="A12" s="50">
        <v>55555555</v>
      </c>
      <c r="B12" s="37" t="s">
        <v>2427</v>
      </c>
      <c r="C12" s="79">
        <v>44270</v>
      </c>
      <c r="D12" s="79"/>
      <c r="E12" s="50" t="s">
        <v>4456</v>
      </c>
      <c r="F12" s="50"/>
      <c r="G12" s="50"/>
      <c r="H12" s="50" t="s">
        <v>2541</v>
      </c>
      <c r="I12" s="50">
        <v>6544</v>
      </c>
      <c r="J12" s="37" t="s">
        <v>4458</v>
      </c>
      <c r="K12" s="37" t="s">
        <v>2</v>
      </c>
      <c r="L12" s="37" t="s">
        <v>4452</v>
      </c>
      <c r="M12" s="37"/>
      <c r="N12" s="37" t="s">
        <v>4453</v>
      </c>
      <c r="O12" s="37"/>
      <c r="P12" s="37"/>
      <c r="Q12" s="79">
        <v>44128</v>
      </c>
      <c r="R12" s="50"/>
      <c r="S12" s="50"/>
      <c r="T12" s="50"/>
      <c r="U12" s="37"/>
      <c r="V12" s="37"/>
      <c r="W12" s="37" t="s">
        <v>129</v>
      </c>
      <c r="X12" s="37" t="s">
        <v>8</v>
      </c>
      <c r="Y12" s="37" t="s">
        <v>116</v>
      </c>
      <c r="Z12" s="37" t="s">
        <v>116</v>
      </c>
      <c r="AA12" s="37" t="s">
        <v>2496</v>
      </c>
      <c r="AB12" s="37" t="s">
        <v>2496</v>
      </c>
      <c r="AC12" s="37"/>
      <c r="AD12" s="37" t="s">
        <v>2518</v>
      </c>
      <c r="AE12" s="37"/>
      <c r="AF12" s="37" t="s">
        <v>2496</v>
      </c>
      <c r="AG12" s="37" t="s">
        <v>2496</v>
      </c>
      <c r="AH12" s="37" t="s">
        <v>2496</v>
      </c>
      <c r="AI12" s="37" t="s">
        <v>2496</v>
      </c>
      <c r="AJ12" s="37" t="s">
        <v>2496</v>
      </c>
      <c r="AK12" s="37" t="s">
        <v>2496</v>
      </c>
      <c r="AL12" s="37" t="s">
        <v>2496</v>
      </c>
      <c r="AM12" s="37" t="s">
        <v>8</v>
      </c>
      <c r="AN12" s="37" t="s">
        <v>116</v>
      </c>
      <c r="AO12" s="37" t="s">
        <v>140</v>
      </c>
      <c r="AP12" s="62" t="s">
        <v>143</v>
      </c>
      <c r="AQ12" s="37" t="s">
        <v>151</v>
      </c>
      <c r="AR12" s="37" t="s">
        <v>3718</v>
      </c>
      <c r="AS12" s="37"/>
      <c r="AT12" s="37" t="s">
        <v>4463</v>
      </c>
      <c r="AU12" s="37">
        <v>3132701557</v>
      </c>
      <c r="AV12" s="37"/>
      <c r="AW12" s="37">
        <v>1</v>
      </c>
      <c r="AX12" s="37" t="s">
        <v>135</v>
      </c>
      <c r="AY12" s="37" t="s">
        <v>2496</v>
      </c>
      <c r="AZ12" s="58"/>
      <c r="BA12" s="37" t="s">
        <v>2496</v>
      </c>
      <c r="BB12" s="37" t="s">
        <v>2496</v>
      </c>
      <c r="BC12" s="37" t="s">
        <v>3654</v>
      </c>
      <c r="BD12" s="37"/>
      <c r="BE12" s="37" t="s">
        <v>2434</v>
      </c>
      <c r="BF12" s="37" t="s">
        <v>5</v>
      </c>
      <c r="BG12" s="37"/>
      <c r="BH12" s="37" t="s">
        <v>4469</v>
      </c>
      <c r="BI12" s="37" t="s">
        <v>4470</v>
      </c>
      <c r="BJ12" s="37" t="s">
        <v>3722</v>
      </c>
      <c r="BK12" s="37" t="s">
        <v>3694</v>
      </c>
      <c r="BL12" s="79">
        <v>36833</v>
      </c>
      <c r="BM12" s="37" t="s">
        <v>9</v>
      </c>
      <c r="BN12" s="37" t="s">
        <v>45</v>
      </c>
      <c r="BO12" s="37" t="s">
        <v>45</v>
      </c>
      <c r="BP12" s="37"/>
      <c r="BQ12" s="37"/>
      <c r="BR12" s="37"/>
      <c r="BS12" s="37"/>
      <c r="BT12" s="37"/>
      <c r="BU12" s="37"/>
      <c r="BV12" s="79"/>
      <c r="BW12" s="50" t="str">
        <f t="shared" si="0"/>
        <v/>
      </c>
      <c r="BX12" s="62"/>
      <c r="BY12" s="62"/>
      <c r="BZ12" s="62"/>
      <c r="CA12" s="37" t="s">
        <v>2</v>
      </c>
      <c r="CB12" s="37"/>
      <c r="CC12" s="37" t="s">
        <v>4078</v>
      </c>
      <c r="CD12" s="37"/>
      <c r="CE12" s="37" t="s">
        <v>4474</v>
      </c>
      <c r="CF12" s="37" t="s">
        <v>3694</v>
      </c>
      <c r="CG12" s="79">
        <v>36833</v>
      </c>
      <c r="CH12" s="50">
        <f t="shared" ca="1" si="1"/>
        <v>22</v>
      </c>
      <c r="CI12" s="62" t="s">
        <v>9</v>
      </c>
      <c r="CJ12" s="62" t="s">
        <v>45</v>
      </c>
      <c r="CK12" s="62" t="s">
        <v>45</v>
      </c>
      <c r="CL12" s="37" t="s">
        <v>2443</v>
      </c>
      <c r="CM12" s="37" t="s">
        <v>2457</v>
      </c>
      <c r="CN12" s="37" t="s">
        <v>2495</v>
      </c>
      <c r="CO12" s="79">
        <v>44114</v>
      </c>
      <c r="CP12" s="37" t="s">
        <v>2495</v>
      </c>
      <c r="CQ12" s="37" t="s">
        <v>2496</v>
      </c>
      <c r="CR12" s="37"/>
      <c r="CS12" s="37" t="s">
        <v>2496</v>
      </c>
      <c r="CT12" s="37"/>
      <c r="CU12" s="37"/>
      <c r="CV12" s="37">
        <v>35</v>
      </c>
      <c r="CW12" s="37">
        <v>3900</v>
      </c>
      <c r="CX12" s="37">
        <v>50</v>
      </c>
      <c r="CY12" s="37" t="s">
        <v>2496</v>
      </c>
      <c r="CZ12" s="37">
        <v>6</v>
      </c>
      <c r="DA12" s="37"/>
      <c r="DB12" s="37"/>
      <c r="DC12" s="37"/>
      <c r="DD12" s="37"/>
    </row>
    <row r="13" spans="1:108" ht="45" customHeight="1" x14ac:dyDescent="0.3"/>
    <row r="14" spans="1:108" ht="45" customHeight="1" x14ac:dyDescent="0.3"/>
    <row r="15" spans="1:108" ht="45" customHeight="1" x14ac:dyDescent="0.3"/>
    <row r="16" spans="1:108" ht="45" customHeight="1" x14ac:dyDescent="0.3"/>
    <row r="17" ht="45" customHeight="1" x14ac:dyDescent="0.3"/>
    <row r="18" ht="45" customHeight="1" x14ac:dyDescent="0.3"/>
    <row r="19" ht="45" customHeight="1" x14ac:dyDescent="0.3"/>
    <row r="20" ht="45" customHeight="1" x14ac:dyDescent="0.3"/>
    <row r="21" ht="45" customHeight="1" x14ac:dyDescent="0.3"/>
    <row r="22" ht="45" customHeight="1" x14ac:dyDescent="0.3"/>
    <row r="23" ht="45" customHeight="1" x14ac:dyDescent="0.3"/>
    <row r="24" ht="45" customHeight="1" x14ac:dyDescent="0.3"/>
    <row r="25" ht="45" customHeight="1" x14ac:dyDescent="0.3"/>
    <row r="26" ht="45" customHeight="1" x14ac:dyDescent="0.3"/>
    <row r="27" ht="45" customHeight="1" x14ac:dyDescent="0.3"/>
    <row r="28" ht="45" customHeight="1" x14ac:dyDescent="0.3"/>
    <row r="29" ht="45" customHeight="1" x14ac:dyDescent="0.3"/>
    <row r="30" ht="45" customHeight="1" x14ac:dyDescent="0.3"/>
    <row r="31" ht="45" customHeight="1" x14ac:dyDescent="0.3"/>
    <row r="32" ht="45" customHeight="1" x14ac:dyDescent="0.3"/>
    <row r="33" ht="45" customHeight="1" x14ac:dyDescent="0.3"/>
    <row r="34" ht="45" customHeight="1" x14ac:dyDescent="0.3"/>
    <row r="35" ht="45" customHeight="1" x14ac:dyDescent="0.3"/>
    <row r="36" ht="45" customHeight="1" x14ac:dyDescent="0.3"/>
    <row r="37" ht="45" customHeight="1" x14ac:dyDescent="0.3"/>
    <row r="38" ht="45" customHeight="1" x14ac:dyDescent="0.3"/>
    <row r="39" ht="45" customHeight="1" x14ac:dyDescent="0.3"/>
    <row r="40" ht="45" customHeight="1" x14ac:dyDescent="0.3"/>
    <row r="41" ht="45" customHeight="1" x14ac:dyDescent="0.3"/>
    <row r="42" ht="45" customHeight="1" x14ac:dyDescent="0.3"/>
    <row r="43" ht="45" customHeight="1" x14ac:dyDescent="0.3"/>
    <row r="44" ht="45" customHeight="1" x14ac:dyDescent="0.3"/>
    <row r="45" ht="45" customHeight="1" x14ac:dyDescent="0.3"/>
    <row r="46" ht="45" customHeight="1" x14ac:dyDescent="0.3"/>
    <row r="47" ht="45" customHeight="1" x14ac:dyDescent="0.3"/>
    <row r="48" ht="45" customHeight="1" x14ac:dyDescent="0.3"/>
    <row r="49" ht="45" customHeight="1" x14ac:dyDescent="0.3"/>
    <row r="50" ht="45" customHeight="1" x14ac:dyDescent="0.3"/>
    <row r="51" ht="45" customHeight="1" x14ac:dyDescent="0.3"/>
    <row r="52" ht="45" customHeight="1" x14ac:dyDescent="0.3"/>
    <row r="53" ht="45" customHeight="1" x14ac:dyDescent="0.3"/>
    <row r="54" ht="45" customHeight="1" x14ac:dyDescent="0.3"/>
    <row r="55" ht="45" customHeight="1" x14ac:dyDescent="0.3"/>
    <row r="56" ht="45" customHeight="1" x14ac:dyDescent="0.3"/>
    <row r="57" ht="45" customHeight="1" x14ac:dyDescent="0.3"/>
    <row r="58" ht="45" customHeight="1" x14ac:dyDescent="0.3"/>
    <row r="59" ht="45" customHeight="1" x14ac:dyDescent="0.3"/>
    <row r="60" ht="45" customHeight="1" x14ac:dyDescent="0.3"/>
    <row r="61" ht="45" customHeight="1" x14ac:dyDescent="0.3"/>
    <row r="62" ht="45" customHeight="1" x14ac:dyDescent="0.3"/>
    <row r="63" ht="45" customHeight="1" x14ac:dyDescent="0.3"/>
    <row r="64" ht="45" customHeight="1" x14ac:dyDescent="0.3"/>
    <row r="65" ht="45" customHeight="1" x14ac:dyDescent="0.3"/>
    <row r="66" ht="45" customHeight="1" x14ac:dyDescent="0.3"/>
    <row r="67" ht="45" customHeight="1" x14ac:dyDescent="0.3"/>
    <row r="68" ht="45" customHeight="1" x14ac:dyDescent="0.3"/>
    <row r="69" ht="45" customHeight="1" x14ac:dyDescent="0.3"/>
    <row r="70" ht="45" customHeight="1" x14ac:dyDescent="0.3"/>
    <row r="71" ht="45" customHeight="1" x14ac:dyDescent="0.3"/>
    <row r="72" ht="45" customHeight="1" x14ac:dyDescent="0.3"/>
    <row r="73" ht="45" customHeight="1" x14ac:dyDescent="0.3"/>
    <row r="74" ht="45" customHeight="1" x14ac:dyDescent="0.3"/>
    <row r="75" ht="45" customHeight="1" x14ac:dyDescent="0.3"/>
    <row r="76" ht="45" customHeight="1" x14ac:dyDescent="0.3"/>
    <row r="77" ht="45" customHeight="1" x14ac:dyDescent="0.3"/>
    <row r="78" ht="45" customHeight="1" x14ac:dyDescent="0.3"/>
    <row r="79" ht="45" customHeight="1" x14ac:dyDescent="0.3"/>
    <row r="80" ht="45" customHeight="1" x14ac:dyDescent="0.3"/>
    <row r="81" ht="45" customHeight="1" x14ac:dyDescent="0.3"/>
    <row r="82" ht="45" customHeight="1" x14ac:dyDescent="0.3"/>
    <row r="83" ht="45" customHeight="1" x14ac:dyDescent="0.3"/>
    <row r="84" ht="45" customHeight="1" x14ac:dyDescent="0.3"/>
    <row r="85" ht="45" customHeight="1" x14ac:dyDescent="0.3"/>
    <row r="86" ht="45" customHeight="1" x14ac:dyDescent="0.3"/>
    <row r="87" ht="45" customHeight="1" x14ac:dyDescent="0.3"/>
    <row r="88" ht="45" customHeight="1" x14ac:dyDescent="0.3"/>
    <row r="89" ht="45" customHeight="1" x14ac:dyDescent="0.3"/>
    <row r="90" ht="45" customHeight="1" x14ac:dyDescent="0.3"/>
    <row r="91" ht="45" customHeight="1" x14ac:dyDescent="0.3"/>
    <row r="92" ht="45" customHeight="1" x14ac:dyDescent="0.3"/>
    <row r="93" ht="45" customHeight="1" x14ac:dyDescent="0.3"/>
    <row r="94" ht="45" customHeight="1" x14ac:dyDescent="0.3"/>
    <row r="95" ht="45" customHeight="1" x14ac:dyDescent="0.3"/>
    <row r="96" ht="45" customHeight="1" x14ac:dyDescent="0.3"/>
    <row r="97" ht="45" customHeight="1" x14ac:dyDescent="0.3"/>
    <row r="98" ht="45" customHeight="1" x14ac:dyDescent="0.3"/>
    <row r="99" ht="45" customHeight="1" x14ac:dyDescent="0.3"/>
    <row r="100" ht="45" customHeight="1" x14ac:dyDescent="0.3"/>
    <row r="101" ht="45" customHeight="1" x14ac:dyDescent="0.3"/>
    <row r="102" ht="45" customHeight="1" x14ac:dyDescent="0.3"/>
    <row r="103" ht="45" customHeight="1" x14ac:dyDescent="0.3"/>
    <row r="104" ht="45" customHeight="1" x14ac:dyDescent="0.3"/>
    <row r="105" ht="45" customHeight="1" x14ac:dyDescent="0.3"/>
    <row r="106" ht="45" customHeight="1" x14ac:dyDescent="0.3"/>
    <row r="107" ht="45" customHeight="1" x14ac:dyDescent="0.3"/>
    <row r="108" ht="45" customHeight="1" x14ac:dyDescent="0.3"/>
    <row r="109" ht="45" customHeight="1" x14ac:dyDescent="0.3"/>
    <row r="110" ht="45" customHeight="1" x14ac:dyDescent="0.3"/>
    <row r="111" ht="45" customHeight="1" x14ac:dyDescent="0.3"/>
    <row r="112" ht="45" customHeight="1" x14ac:dyDescent="0.3"/>
    <row r="113" ht="45" customHeight="1" x14ac:dyDescent="0.3"/>
    <row r="114" ht="45" customHeight="1" x14ac:dyDescent="0.3"/>
    <row r="115" ht="45" customHeight="1" x14ac:dyDescent="0.3"/>
    <row r="116" ht="45" customHeight="1" x14ac:dyDescent="0.3"/>
    <row r="117" ht="45" customHeight="1" x14ac:dyDescent="0.3"/>
    <row r="118" ht="45" customHeight="1" x14ac:dyDescent="0.3"/>
    <row r="119" ht="45" customHeight="1" x14ac:dyDescent="0.3"/>
    <row r="120" ht="45" customHeight="1" x14ac:dyDescent="0.3"/>
    <row r="121" ht="45" customHeight="1" x14ac:dyDescent="0.3"/>
    <row r="122" ht="45" customHeight="1" x14ac:dyDescent="0.3"/>
    <row r="123" ht="45" customHeight="1" x14ac:dyDescent="0.3"/>
    <row r="124" ht="45" customHeight="1" x14ac:dyDescent="0.3"/>
    <row r="125" ht="45" customHeight="1" x14ac:dyDescent="0.3"/>
    <row r="126" ht="45" customHeight="1" x14ac:dyDescent="0.3"/>
    <row r="127" ht="45" customHeight="1" x14ac:dyDescent="0.3"/>
    <row r="128" ht="45" customHeight="1" x14ac:dyDescent="0.3"/>
    <row r="129" ht="45" customHeight="1" x14ac:dyDescent="0.3"/>
    <row r="130" ht="45" customHeight="1" x14ac:dyDescent="0.3"/>
    <row r="131" ht="45" customHeight="1" x14ac:dyDescent="0.3"/>
    <row r="132" ht="45" customHeight="1" x14ac:dyDescent="0.3"/>
    <row r="133" ht="45" customHeight="1" x14ac:dyDescent="0.3"/>
    <row r="134" ht="45" customHeight="1" x14ac:dyDescent="0.3"/>
    <row r="135" ht="45" customHeight="1" x14ac:dyDescent="0.3"/>
    <row r="136" ht="45" customHeight="1" x14ac:dyDescent="0.3"/>
    <row r="137" ht="45" customHeight="1" x14ac:dyDescent="0.3"/>
    <row r="138" ht="45" customHeight="1" x14ac:dyDescent="0.3"/>
    <row r="139" ht="45" customHeight="1" x14ac:dyDescent="0.3"/>
    <row r="140" ht="45" customHeight="1" x14ac:dyDescent="0.3"/>
    <row r="141" ht="45" customHeight="1" x14ac:dyDescent="0.3"/>
    <row r="142" ht="45" customHeight="1" x14ac:dyDescent="0.3"/>
    <row r="143" ht="45" customHeight="1" x14ac:dyDescent="0.3"/>
    <row r="144" ht="45" customHeight="1" x14ac:dyDescent="0.3"/>
    <row r="145" ht="45" customHeight="1" x14ac:dyDescent="0.3"/>
    <row r="146" ht="45" customHeight="1" x14ac:dyDescent="0.3"/>
    <row r="147" ht="45" customHeight="1" x14ac:dyDescent="0.3"/>
    <row r="148" ht="45" customHeight="1" x14ac:dyDescent="0.3"/>
    <row r="149" ht="45" customHeight="1" x14ac:dyDescent="0.3"/>
    <row r="150" ht="45" customHeight="1" x14ac:dyDescent="0.3"/>
    <row r="151" ht="45" customHeight="1" x14ac:dyDescent="0.3"/>
    <row r="152" ht="45" customHeight="1" x14ac:dyDescent="0.3"/>
    <row r="153" ht="45" customHeight="1" x14ac:dyDescent="0.3"/>
    <row r="154" ht="45" customHeight="1" x14ac:dyDescent="0.3"/>
    <row r="155" ht="45" customHeight="1" x14ac:dyDescent="0.3"/>
    <row r="156" ht="45" customHeight="1" x14ac:dyDescent="0.3"/>
    <row r="157" ht="45" customHeight="1" x14ac:dyDescent="0.3"/>
    <row r="158" ht="45" customHeight="1" x14ac:dyDescent="0.3"/>
    <row r="159" ht="45" customHeight="1" x14ac:dyDescent="0.3"/>
    <row r="160" ht="45" customHeight="1" x14ac:dyDescent="0.3"/>
    <row r="161" ht="45" customHeight="1" x14ac:dyDescent="0.3"/>
    <row r="162" ht="45" customHeight="1" x14ac:dyDescent="0.3"/>
    <row r="163" ht="45" customHeight="1" x14ac:dyDescent="0.3"/>
    <row r="164" ht="45" customHeight="1" x14ac:dyDescent="0.3"/>
    <row r="165" ht="45" customHeight="1" x14ac:dyDescent="0.3"/>
    <row r="166" ht="45" customHeight="1" x14ac:dyDescent="0.3"/>
    <row r="167" ht="45" customHeight="1" x14ac:dyDescent="0.3"/>
    <row r="168" ht="45" customHeight="1" x14ac:dyDescent="0.3"/>
    <row r="169" ht="45" customHeight="1" x14ac:dyDescent="0.3"/>
    <row r="170" ht="45" customHeight="1" x14ac:dyDescent="0.3"/>
    <row r="171" ht="45" customHeight="1" x14ac:dyDescent="0.3"/>
    <row r="172" ht="45" customHeight="1" x14ac:dyDescent="0.3"/>
    <row r="173" ht="45" customHeight="1" x14ac:dyDescent="0.3"/>
    <row r="174" ht="45" customHeight="1" x14ac:dyDescent="0.3"/>
    <row r="175" ht="45" customHeight="1" x14ac:dyDescent="0.3"/>
    <row r="176" ht="45" customHeight="1" x14ac:dyDescent="0.3"/>
    <row r="177" ht="45" customHeight="1" x14ac:dyDescent="0.3"/>
    <row r="178" ht="45" customHeight="1" x14ac:dyDescent="0.3"/>
    <row r="179" ht="45" customHeight="1" x14ac:dyDescent="0.3"/>
    <row r="180" ht="45" customHeight="1" x14ac:dyDescent="0.3"/>
    <row r="181" ht="45" customHeight="1" x14ac:dyDescent="0.3"/>
    <row r="182" ht="45" customHeight="1" x14ac:dyDescent="0.3"/>
    <row r="183" ht="45" customHeight="1" x14ac:dyDescent="0.3"/>
    <row r="184" ht="45" customHeight="1" x14ac:dyDescent="0.3"/>
    <row r="185" ht="45" customHeight="1" x14ac:dyDescent="0.3"/>
    <row r="186" ht="45" customHeight="1" x14ac:dyDescent="0.3"/>
    <row r="187" ht="45" customHeight="1" x14ac:dyDescent="0.3"/>
    <row r="188" ht="45" customHeight="1" x14ac:dyDescent="0.3"/>
    <row r="189" ht="45" customHeight="1" x14ac:dyDescent="0.3"/>
    <row r="190" ht="45" customHeight="1" x14ac:dyDescent="0.3"/>
    <row r="191" ht="45" customHeight="1" x14ac:dyDescent="0.3"/>
    <row r="192" ht="45" customHeight="1" x14ac:dyDescent="0.3"/>
    <row r="193" ht="45" customHeight="1" x14ac:dyDescent="0.3"/>
    <row r="194" ht="45" customHeight="1" x14ac:dyDescent="0.3"/>
    <row r="195" ht="45" customHeight="1" x14ac:dyDescent="0.3"/>
    <row r="196" ht="45" customHeight="1" x14ac:dyDescent="0.3"/>
    <row r="197" ht="45" customHeight="1" x14ac:dyDescent="0.3"/>
    <row r="198" ht="45" customHeight="1" x14ac:dyDescent="0.3"/>
    <row r="199" ht="45" customHeight="1" x14ac:dyDescent="0.3"/>
    <row r="200" ht="45" customHeight="1" x14ac:dyDescent="0.3"/>
    <row r="201" ht="45" customHeight="1" x14ac:dyDescent="0.3"/>
    <row r="202" ht="45" customHeight="1" x14ac:dyDescent="0.3"/>
    <row r="203" ht="45" customHeight="1" x14ac:dyDescent="0.3"/>
    <row r="204" ht="45" customHeight="1" x14ac:dyDescent="0.3"/>
    <row r="205" ht="45" customHeight="1" x14ac:dyDescent="0.3"/>
    <row r="206" ht="45" customHeight="1" x14ac:dyDescent="0.3"/>
    <row r="207" ht="45" customHeight="1" x14ac:dyDescent="0.3"/>
    <row r="208" ht="45" customHeight="1" x14ac:dyDescent="0.3"/>
    <row r="209" ht="45" customHeight="1" x14ac:dyDescent="0.3"/>
    <row r="210" ht="45" customHeight="1" x14ac:dyDescent="0.3"/>
    <row r="211" ht="45" customHeight="1" x14ac:dyDescent="0.3"/>
    <row r="212" ht="45" customHeight="1" x14ac:dyDescent="0.3"/>
    <row r="213" ht="45" customHeight="1" x14ac:dyDescent="0.3"/>
    <row r="214" ht="45" customHeight="1" x14ac:dyDescent="0.3"/>
    <row r="215" ht="45" customHeight="1" x14ac:dyDescent="0.3"/>
    <row r="216" ht="45" customHeight="1" x14ac:dyDescent="0.3"/>
    <row r="217" ht="45" customHeight="1" x14ac:dyDescent="0.3"/>
    <row r="218" ht="45" customHeight="1" x14ac:dyDescent="0.3"/>
    <row r="219" ht="45" customHeight="1" x14ac:dyDescent="0.3"/>
    <row r="220" ht="45" customHeight="1" x14ac:dyDescent="0.3"/>
    <row r="221" ht="45" customHeight="1" x14ac:dyDescent="0.3"/>
    <row r="222" ht="45" customHeight="1" x14ac:dyDescent="0.3"/>
    <row r="223" ht="45" customHeight="1" x14ac:dyDescent="0.3"/>
    <row r="224" ht="45" customHeight="1" x14ac:dyDescent="0.3"/>
    <row r="225" ht="45" customHeight="1" x14ac:dyDescent="0.3"/>
    <row r="226" ht="45" customHeight="1" x14ac:dyDescent="0.3"/>
    <row r="227" ht="45" customHeight="1" x14ac:dyDescent="0.3"/>
    <row r="228" ht="45" customHeight="1" x14ac:dyDescent="0.3"/>
    <row r="229" ht="45" customHeight="1" x14ac:dyDescent="0.3"/>
    <row r="230" ht="45" customHeight="1" x14ac:dyDescent="0.3"/>
    <row r="231" ht="45" customHeight="1" x14ac:dyDescent="0.3"/>
    <row r="232" ht="45" customHeight="1" x14ac:dyDescent="0.3"/>
    <row r="233" ht="45" customHeight="1" x14ac:dyDescent="0.3"/>
    <row r="234" ht="45" customHeight="1" x14ac:dyDescent="0.3"/>
    <row r="235" ht="45" customHeight="1" x14ac:dyDescent="0.3"/>
    <row r="236" ht="45" customHeight="1" x14ac:dyDescent="0.3"/>
    <row r="237" ht="45" customHeight="1" x14ac:dyDescent="0.3"/>
    <row r="238" ht="45" customHeight="1" x14ac:dyDescent="0.3"/>
    <row r="239" ht="45" customHeight="1" x14ac:dyDescent="0.3"/>
    <row r="240" ht="45" customHeight="1" x14ac:dyDescent="0.3"/>
    <row r="241" ht="45" customHeight="1" x14ac:dyDescent="0.3"/>
    <row r="242" ht="45" customHeight="1" x14ac:dyDescent="0.3"/>
    <row r="243" ht="45" customHeight="1" x14ac:dyDescent="0.3"/>
    <row r="244" ht="45" customHeight="1" x14ac:dyDescent="0.3"/>
    <row r="245" ht="45" customHeight="1" x14ac:dyDescent="0.3"/>
    <row r="246" ht="45" customHeight="1" x14ac:dyDescent="0.3"/>
    <row r="247" ht="45" customHeight="1" x14ac:dyDescent="0.3"/>
    <row r="248" ht="45" customHeight="1" x14ac:dyDescent="0.3"/>
    <row r="249" ht="45" customHeight="1" x14ac:dyDescent="0.3"/>
    <row r="250" ht="45" customHeight="1" x14ac:dyDescent="0.3"/>
    <row r="251" ht="45" customHeight="1" x14ac:dyDescent="0.3"/>
    <row r="252" ht="45" customHeight="1" x14ac:dyDescent="0.3"/>
    <row r="253" ht="45" customHeight="1" x14ac:dyDescent="0.3"/>
    <row r="254" ht="45" customHeight="1" x14ac:dyDescent="0.3"/>
    <row r="255" ht="45" customHeight="1" x14ac:dyDescent="0.3"/>
    <row r="256" ht="45" customHeight="1" x14ac:dyDescent="0.3"/>
    <row r="257" ht="45" customHeight="1" x14ac:dyDescent="0.3"/>
    <row r="258" ht="45" customHeight="1" x14ac:dyDescent="0.3"/>
    <row r="259" ht="45" customHeight="1" x14ac:dyDescent="0.3"/>
    <row r="260" ht="45" customHeight="1" x14ac:dyDescent="0.3"/>
    <row r="261" ht="45" customHeight="1" x14ac:dyDescent="0.3"/>
    <row r="262" ht="45" customHeight="1" x14ac:dyDescent="0.3"/>
    <row r="263" ht="45" customHeight="1" x14ac:dyDescent="0.3"/>
    <row r="264" ht="45" customHeight="1" x14ac:dyDescent="0.3"/>
    <row r="265" ht="45" customHeight="1" x14ac:dyDescent="0.3"/>
    <row r="266" ht="45" customHeight="1" x14ac:dyDescent="0.3"/>
    <row r="267" ht="45" customHeight="1" x14ac:dyDescent="0.3"/>
    <row r="268" ht="45" customHeight="1" x14ac:dyDescent="0.3"/>
    <row r="269" ht="45" customHeight="1" x14ac:dyDescent="0.3"/>
    <row r="270" ht="45" customHeight="1" x14ac:dyDescent="0.3"/>
    <row r="271" ht="45" customHeight="1" x14ac:dyDescent="0.3"/>
    <row r="272" ht="45" customHeight="1" x14ac:dyDescent="0.3"/>
    <row r="273" ht="45" customHeight="1" x14ac:dyDescent="0.3"/>
    <row r="274" ht="45" customHeight="1" x14ac:dyDescent="0.3"/>
    <row r="275" ht="45" customHeight="1" x14ac:dyDescent="0.3"/>
    <row r="276" ht="45" customHeight="1" x14ac:dyDescent="0.3"/>
    <row r="277" ht="45" customHeight="1" x14ac:dyDescent="0.3"/>
    <row r="278" ht="45" customHeight="1" x14ac:dyDescent="0.3"/>
    <row r="279" ht="45" customHeight="1" x14ac:dyDescent="0.3"/>
    <row r="280" ht="45" customHeight="1" x14ac:dyDescent="0.3"/>
    <row r="281" ht="45" customHeight="1" x14ac:dyDescent="0.3"/>
    <row r="282" ht="45" customHeight="1" x14ac:dyDescent="0.3"/>
    <row r="283" ht="45" customHeight="1" x14ac:dyDescent="0.3"/>
    <row r="284" ht="45" customHeight="1" x14ac:dyDescent="0.3"/>
    <row r="285" ht="45" customHeight="1" x14ac:dyDescent="0.3"/>
    <row r="286" ht="45" customHeight="1" x14ac:dyDescent="0.3"/>
    <row r="287" ht="45" customHeight="1" x14ac:dyDescent="0.3"/>
    <row r="288" ht="45" customHeight="1" x14ac:dyDescent="0.3"/>
    <row r="289" ht="45" customHeight="1" x14ac:dyDescent="0.3"/>
    <row r="290" ht="45" customHeight="1" x14ac:dyDescent="0.3"/>
    <row r="291" ht="45" customHeight="1" x14ac:dyDescent="0.3"/>
    <row r="292" ht="45" customHeight="1" x14ac:dyDescent="0.3"/>
    <row r="293" ht="45" customHeight="1" x14ac:dyDescent="0.3"/>
    <row r="294" ht="45" customHeight="1" x14ac:dyDescent="0.3"/>
    <row r="295" ht="45" customHeight="1" x14ac:dyDescent="0.3"/>
    <row r="296" ht="45" customHeight="1" x14ac:dyDescent="0.3"/>
    <row r="297" ht="45" customHeight="1" x14ac:dyDescent="0.3"/>
    <row r="298" ht="45" customHeight="1" x14ac:dyDescent="0.3"/>
    <row r="299" ht="45" customHeight="1" x14ac:dyDescent="0.3"/>
    <row r="300" ht="45" customHeight="1" x14ac:dyDescent="0.3"/>
    <row r="301" ht="45" customHeight="1" x14ac:dyDescent="0.3"/>
    <row r="302" ht="45" customHeight="1" x14ac:dyDescent="0.3"/>
    <row r="303" ht="45" customHeight="1" x14ac:dyDescent="0.3"/>
    <row r="304" ht="45" customHeight="1" x14ac:dyDescent="0.3"/>
    <row r="305" ht="45" customHeight="1" x14ac:dyDescent="0.3"/>
    <row r="306" ht="45" customHeight="1" x14ac:dyDescent="0.3"/>
    <row r="307" ht="45" customHeight="1" x14ac:dyDescent="0.3"/>
    <row r="308" ht="45" customHeight="1" x14ac:dyDescent="0.3"/>
    <row r="309" ht="45" customHeight="1" x14ac:dyDescent="0.3"/>
    <row r="310" ht="45" customHeight="1" x14ac:dyDescent="0.3"/>
    <row r="311" ht="45" customHeight="1" x14ac:dyDescent="0.3"/>
    <row r="312" ht="45" customHeight="1" x14ac:dyDescent="0.3"/>
    <row r="313" ht="45" customHeight="1" x14ac:dyDescent="0.3"/>
    <row r="314" ht="45" customHeight="1" x14ac:dyDescent="0.3"/>
    <row r="315" ht="45" customHeight="1" x14ac:dyDescent="0.3"/>
    <row r="316" ht="45" customHeight="1" x14ac:dyDescent="0.3"/>
    <row r="317" ht="45" customHeight="1" x14ac:dyDescent="0.3"/>
    <row r="318" ht="45" customHeight="1" x14ac:dyDescent="0.3"/>
    <row r="319" ht="45" customHeight="1" x14ac:dyDescent="0.3"/>
    <row r="320" ht="45" customHeight="1" x14ac:dyDescent="0.3"/>
    <row r="321" ht="45" customHeight="1" x14ac:dyDescent="0.3"/>
    <row r="322" ht="45" customHeight="1" x14ac:dyDescent="0.3"/>
    <row r="323" ht="45" customHeight="1" x14ac:dyDescent="0.3"/>
    <row r="324" ht="45" customHeight="1" x14ac:dyDescent="0.3"/>
    <row r="325" ht="45" customHeight="1" x14ac:dyDescent="0.3"/>
    <row r="326" ht="45" customHeight="1" x14ac:dyDescent="0.3"/>
    <row r="327" ht="45" customHeight="1" x14ac:dyDescent="0.3"/>
    <row r="328" ht="45" customHeight="1" x14ac:dyDescent="0.3"/>
    <row r="329" ht="45" customHeight="1" x14ac:dyDescent="0.3"/>
    <row r="330" ht="45" customHeight="1" x14ac:dyDescent="0.3"/>
    <row r="331" ht="45" customHeight="1" x14ac:dyDescent="0.3"/>
    <row r="332" ht="45" customHeight="1" x14ac:dyDescent="0.3"/>
    <row r="333" ht="45" customHeight="1" x14ac:dyDescent="0.3"/>
    <row r="334" ht="45" customHeight="1" x14ac:dyDescent="0.3"/>
    <row r="335" ht="45" customHeight="1" x14ac:dyDescent="0.3"/>
    <row r="336" ht="45" customHeight="1" x14ac:dyDescent="0.3"/>
    <row r="337" ht="45" customHeight="1" x14ac:dyDescent="0.3"/>
    <row r="338" ht="45" customHeight="1" x14ac:dyDescent="0.3"/>
    <row r="339" ht="45" customHeight="1" x14ac:dyDescent="0.3"/>
    <row r="340" ht="45" customHeight="1" x14ac:dyDescent="0.3"/>
    <row r="341" ht="45" customHeight="1" x14ac:dyDescent="0.3"/>
    <row r="342" ht="45" customHeight="1" x14ac:dyDescent="0.3"/>
    <row r="343" ht="45" customHeight="1" x14ac:dyDescent="0.3"/>
    <row r="344" ht="45" customHeight="1" x14ac:dyDescent="0.3"/>
    <row r="345" ht="45" customHeight="1" x14ac:dyDescent="0.3"/>
    <row r="346" ht="45" customHeight="1" x14ac:dyDescent="0.3"/>
    <row r="347" ht="45" customHeight="1" x14ac:dyDescent="0.3"/>
    <row r="348" ht="45" customHeight="1" x14ac:dyDescent="0.3"/>
    <row r="349" ht="45" customHeight="1" x14ac:dyDescent="0.3"/>
    <row r="350" ht="45" customHeight="1" x14ac:dyDescent="0.3"/>
    <row r="351" ht="45" customHeight="1" x14ac:dyDescent="0.3"/>
    <row r="352" ht="45" customHeight="1" x14ac:dyDescent="0.3"/>
    <row r="353" ht="45" customHeight="1" x14ac:dyDescent="0.3"/>
    <row r="354" ht="45" customHeight="1" x14ac:dyDescent="0.3"/>
    <row r="355" ht="45" customHeight="1" x14ac:dyDescent="0.3"/>
    <row r="356" ht="45" customHeight="1" x14ac:dyDescent="0.3"/>
    <row r="357" ht="45" customHeight="1" x14ac:dyDescent="0.3"/>
    <row r="358" ht="45" customHeight="1" x14ac:dyDescent="0.3"/>
    <row r="359" ht="45" customHeight="1" x14ac:dyDescent="0.3"/>
    <row r="360" ht="45" customHeight="1" x14ac:dyDescent="0.3"/>
    <row r="361" ht="45" customHeight="1" x14ac:dyDescent="0.3"/>
    <row r="362" ht="45" customHeight="1" x14ac:dyDescent="0.3"/>
    <row r="363" ht="45" customHeight="1" x14ac:dyDescent="0.3"/>
    <row r="364" ht="45" customHeight="1" x14ac:dyDescent="0.3"/>
    <row r="365" ht="45" customHeight="1" x14ac:dyDescent="0.3"/>
    <row r="366" ht="45" customHeight="1" x14ac:dyDescent="0.3"/>
    <row r="367" ht="45" customHeight="1" x14ac:dyDescent="0.3"/>
    <row r="368" ht="45" customHeight="1" x14ac:dyDescent="0.3"/>
    <row r="369" ht="45" customHeight="1" x14ac:dyDescent="0.3"/>
    <row r="370" ht="45" customHeight="1" x14ac:dyDescent="0.3"/>
    <row r="371" ht="45" customHeight="1" x14ac:dyDescent="0.3"/>
    <row r="372" ht="45" customHeight="1" x14ac:dyDescent="0.3"/>
    <row r="373" ht="45" customHeight="1" x14ac:dyDescent="0.3"/>
    <row r="374" ht="45" customHeight="1" x14ac:dyDescent="0.3"/>
    <row r="375" ht="45" customHeight="1" x14ac:dyDescent="0.3"/>
    <row r="376" ht="45" customHeight="1" x14ac:dyDescent="0.3"/>
    <row r="377" ht="45" customHeight="1" x14ac:dyDescent="0.3"/>
    <row r="378" ht="45" customHeight="1" x14ac:dyDescent="0.3"/>
    <row r="379" ht="45" customHeight="1" x14ac:dyDescent="0.3"/>
    <row r="380" ht="45" customHeight="1" x14ac:dyDescent="0.3"/>
    <row r="381" ht="45" customHeight="1" x14ac:dyDescent="0.3"/>
    <row r="382" ht="45" customHeight="1" x14ac:dyDescent="0.3"/>
    <row r="383" ht="45" customHeight="1" x14ac:dyDescent="0.3"/>
    <row r="384" ht="45" customHeight="1" x14ac:dyDescent="0.3"/>
    <row r="385" ht="45" customHeight="1" x14ac:dyDescent="0.3"/>
    <row r="386" ht="45" customHeight="1" x14ac:dyDescent="0.3"/>
    <row r="387" ht="45" customHeight="1" x14ac:dyDescent="0.3"/>
    <row r="388" ht="45" customHeight="1" x14ac:dyDescent="0.3"/>
    <row r="389" ht="45" customHeight="1" x14ac:dyDescent="0.3"/>
    <row r="390" ht="45" customHeight="1" x14ac:dyDescent="0.3"/>
    <row r="391" ht="45" customHeight="1" x14ac:dyDescent="0.3"/>
    <row r="392" ht="45" customHeight="1" x14ac:dyDescent="0.3"/>
    <row r="393" ht="45" customHeight="1" x14ac:dyDescent="0.3"/>
    <row r="394" ht="45" customHeight="1" x14ac:dyDescent="0.3"/>
    <row r="395" ht="45" customHeight="1" x14ac:dyDescent="0.3"/>
    <row r="396" ht="45" customHeight="1" x14ac:dyDescent="0.3"/>
    <row r="397" ht="45" customHeight="1" x14ac:dyDescent="0.3"/>
    <row r="398" ht="45" customHeight="1" x14ac:dyDescent="0.3"/>
    <row r="399" ht="45" customHeight="1" x14ac:dyDescent="0.3"/>
    <row r="400" ht="45" customHeight="1" x14ac:dyDescent="0.3"/>
    <row r="401" ht="45" customHeight="1" x14ac:dyDescent="0.3"/>
    <row r="402" ht="45" customHeight="1" x14ac:dyDescent="0.3"/>
    <row r="403" ht="45" customHeight="1" x14ac:dyDescent="0.3"/>
    <row r="404" ht="45" customHeight="1" x14ac:dyDescent="0.3"/>
    <row r="405" ht="45" customHeight="1" x14ac:dyDescent="0.3"/>
    <row r="406" ht="45" customHeight="1" x14ac:dyDescent="0.3"/>
    <row r="407" ht="45" customHeight="1" x14ac:dyDescent="0.3"/>
    <row r="408" ht="45" customHeight="1" x14ac:dyDescent="0.3"/>
    <row r="409" ht="45" customHeight="1" x14ac:dyDescent="0.3"/>
    <row r="410" ht="45" customHeight="1" x14ac:dyDescent="0.3"/>
    <row r="411" ht="45" customHeight="1" x14ac:dyDescent="0.3"/>
    <row r="412" ht="45" customHeight="1" x14ac:dyDescent="0.3"/>
    <row r="413" ht="45" customHeight="1" x14ac:dyDescent="0.3"/>
    <row r="414" ht="45" customHeight="1" x14ac:dyDescent="0.3"/>
    <row r="415" ht="45" customHeight="1" x14ac:dyDescent="0.3"/>
    <row r="416" ht="45" customHeight="1" x14ac:dyDescent="0.3"/>
    <row r="417" ht="45" customHeight="1" x14ac:dyDescent="0.3"/>
    <row r="418" ht="45" customHeight="1" x14ac:dyDescent="0.3"/>
    <row r="419" ht="45" customHeight="1" x14ac:dyDescent="0.3"/>
    <row r="420" ht="45" customHeight="1" x14ac:dyDescent="0.3"/>
    <row r="421" ht="45" customHeight="1" x14ac:dyDescent="0.3"/>
    <row r="422" ht="45" customHeight="1" x14ac:dyDescent="0.3"/>
    <row r="423" ht="45" customHeight="1" x14ac:dyDescent="0.3"/>
    <row r="424" ht="45" customHeight="1" x14ac:dyDescent="0.3"/>
    <row r="425" ht="45" customHeight="1" x14ac:dyDescent="0.3"/>
    <row r="426" ht="45" customHeight="1" x14ac:dyDescent="0.3"/>
    <row r="427" ht="45" customHeight="1" x14ac:dyDescent="0.3"/>
    <row r="428" ht="45" customHeight="1" x14ac:dyDescent="0.3"/>
    <row r="429" ht="45" customHeight="1" x14ac:dyDescent="0.3"/>
    <row r="430" ht="45" customHeight="1" x14ac:dyDescent="0.3"/>
    <row r="431" ht="45" customHeight="1" x14ac:dyDescent="0.3"/>
    <row r="432" ht="45" customHeight="1" x14ac:dyDescent="0.3"/>
    <row r="433" ht="45" customHeight="1" x14ac:dyDescent="0.3"/>
    <row r="434" ht="45" customHeight="1" x14ac:dyDescent="0.3"/>
    <row r="435" ht="45" customHeight="1" x14ac:dyDescent="0.3"/>
    <row r="436" ht="45" customHeight="1" x14ac:dyDescent="0.3"/>
    <row r="437" ht="45" customHeight="1" x14ac:dyDescent="0.3"/>
    <row r="438" ht="45" customHeight="1" x14ac:dyDescent="0.3"/>
    <row r="439" ht="45" customHeight="1" x14ac:dyDescent="0.3"/>
    <row r="440" ht="45" customHeight="1" x14ac:dyDescent="0.3"/>
    <row r="441" ht="45" customHeight="1" x14ac:dyDescent="0.3"/>
    <row r="442" ht="45" customHeight="1" x14ac:dyDescent="0.3"/>
    <row r="443" ht="45" customHeight="1" x14ac:dyDescent="0.3"/>
    <row r="444" ht="45" customHeight="1" x14ac:dyDescent="0.3"/>
    <row r="445" ht="45" customHeight="1" x14ac:dyDescent="0.3"/>
    <row r="446" ht="45" customHeight="1" x14ac:dyDescent="0.3"/>
    <row r="447" ht="45" customHeight="1" x14ac:dyDescent="0.3"/>
    <row r="448" ht="45" customHeight="1" x14ac:dyDescent="0.3"/>
    <row r="449" ht="45" customHeight="1" x14ac:dyDescent="0.3"/>
    <row r="450" ht="45" customHeight="1" x14ac:dyDescent="0.3"/>
    <row r="451" ht="45" customHeight="1" x14ac:dyDescent="0.3"/>
    <row r="452" ht="45" customHeight="1" x14ac:dyDescent="0.3"/>
    <row r="453" ht="45" customHeight="1" x14ac:dyDescent="0.3"/>
    <row r="454" ht="45" customHeight="1" x14ac:dyDescent="0.3"/>
    <row r="455" ht="45" customHeight="1" x14ac:dyDescent="0.3"/>
    <row r="456" ht="45" customHeight="1" x14ac:dyDescent="0.3"/>
    <row r="457" ht="45" customHeight="1" x14ac:dyDescent="0.3"/>
    <row r="458" ht="45" customHeight="1" x14ac:dyDescent="0.3"/>
    <row r="459" ht="45" customHeight="1" x14ac:dyDescent="0.3"/>
    <row r="460" ht="45" customHeight="1" x14ac:dyDescent="0.3"/>
    <row r="461" ht="45" customHeight="1" x14ac:dyDescent="0.3"/>
    <row r="462" ht="45" customHeight="1" x14ac:dyDescent="0.3"/>
    <row r="463" ht="45" customHeight="1" x14ac:dyDescent="0.3"/>
    <row r="464" ht="45" customHeight="1" x14ac:dyDescent="0.3"/>
    <row r="465" ht="45" customHeight="1" x14ac:dyDescent="0.3"/>
    <row r="466" ht="45" customHeight="1" x14ac:dyDescent="0.3"/>
    <row r="467" ht="45" customHeight="1" x14ac:dyDescent="0.3"/>
    <row r="468" ht="45" customHeight="1" x14ac:dyDescent="0.3"/>
    <row r="469" ht="45" customHeight="1" x14ac:dyDescent="0.3"/>
    <row r="470" ht="45" customHeight="1" x14ac:dyDescent="0.3"/>
    <row r="471" ht="45" customHeight="1" x14ac:dyDescent="0.3"/>
    <row r="472" ht="45" customHeight="1" x14ac:dyDescent="0.3"/>
    <row r="473" ht="45" customHeight="1" x14ac:dyDescent="0.3"/>
    <row r="474" ht="45" customHeight="1" x14ac:dyDescent="0.3"/>
    <row r="475" ht="45" customHeight="1" x14ac:dyDescent="0.3"/>
    <row r="476" ht="45" customHeight="1" x14ac:dyDescent="0.3"/>
    <row r="477" ht="45" customHeight="1" x14ac:dyDescent="0.3"/>
    <row r="478" ht="45" customHeight="1" x14ac:dyDescent="0.3"/>
    <row r="479" ht="45" customHeight="1" x14ac:dyDescent="0.3"/>
    <row r="480" ht="45" customHeight="1" x14ac:dyDescent="0.3"/>
    <row r="481" ht="45" customHeight="1" x14ac:dyDescent="0.3"/>
    <row r="482" ht="45" customHeight="1" x14ac:dyDescent="0.3"/>
    <row r="483" ht="45" customHeight="1" x14ac:dyDescent="0.3"/>
    <row r="484" ht="45" customHeight="1" x14ac:dyDescent="0.3"/>
    <row r="485" ht="45" customHeight="1" x14ac:dyDescent="0.3"/>
    <row r="486" ht="45" customHeight="1" x14ac:dyDescent="0.3"/>
    <row r="487" ht="45" customHeight="1" x14ac:dyDescent="0.3"/>
    <row r="488" ht="45" customHeight="1" x14ac:dyDescent="0.3"/>
    <row r="489" ht="45" customHeight="1" x14ac:dyDescent="0.3"/>
    <row r="490" ht="45" customHeight="1" x14ac:dyDescent="0.3"/>
    <row r="491" ht="45" customHeight="1" x14ac:dyDescent="0.3"/>
    <row r="492" ht="45" customHeight="1" x14ac:dyDescent="0.3"/>
    <row r="493" ht="45" customHeight="1" x14ac:dyDescent="0.3"/>
    <row r="494" ht="45" customHeight="1" x14ac:dyDescent="0.3"/>
    <row r="495" ht="45" customHeight="1" x14ac:dyDescent="0.3"/>
    <row r="496" ht="45" customHeight="1" x14ac:dyDescent="0.3"/>
    <row r="497" ht="45" customHeight="1" x14ac:dyDescent="0.3"/>
    <row r="498" ht="45" customHeight="1" x14ac:dyDescent="0.3"/>
    <row r="499" ht="45" customHeight="1" x14ac:dyDescent="0.3"/>
    <row r="500" ht="45" customHeight="1" x14ac:dyDescent="0.3"/>
    <row r="501" ht="45" customHeight="1" x14ac:dyDescent="0.3"/>
    <row r="502" ht="45" customHeight="1" x14ac:dyDescent="0.3"/>
    <row r="503" ht="45" customHeight="1" x14ac:dyDescent="0.3"/>
    <row r="504" ht="45" customHeight="1" x14ac:dyDescent="0.3"/>
    <row r="505" ht="45" customHeight="1" x14ac:dyDescent="0.3"/>
    <row r="506" ht="45" customHeight="1" x14ac:dyDescent="0.3"/>
    <row r="507" ht="45" customHeight="1" x14ac:dyDescent="0.3"/>
    <row r="508" ht="45" customHeight="1" x14ac:dyDescent="0.3"/>
    <row r="509" ht="45" customHeight="1" x14ac:dyDescent="0.3"/>
    <row r="510" ht="45" customHeight="1" x14ac:dyDescent="0.3"/>
    <row r="511" ht="45" customHeight="1" x14ac:dyDescent="0.3"/>
    <row r="512" ht="45" customHeight="1" x14ac:dyDescent="0.3"/>
    <row r="513" ht="45" customHeight="1" x14ac:dyDescent="0.3"/>
    <row r="514" ht="45" customHeight="1" x14ac:dyDescent="0.3"/>
    <row r="515" ht="45" customHeight="1" x14ac:dyDescent="0.3"/>
    <row r="516" ht="45" customHeight="1" x14ac:dyDescent="0.3"/>
    <row r="517" ht="45" customHeight="1" x14ac:dyDescent="0.3"/>
    <row r="518" ht="45" customHeight="1" x14ac:dyDescent="0.3"/>
    <row r="519" ht="45" customHeight="1" x14ac:dyDescent="0.3"/>
    <row r="520" ht="45" customHeight="1" x14ac:dyDescent="0.3"/>
    <row r="521" ht="45" customHeight="1" x14ac:dyDescent="0.3"/>
    <row r="522" ht="45" customHeight="1" x14ac:dyDescent="0.3"/>
    <row r="523" ht="45" customHeight="1" x14ac:dyDescent="0.3"/>
    <row r="524" ht="45" customHeight="1" x14ac:dyDescent="0.3"/>
    <row r="525" ht="45" customHeight="1" x14ac:dyDescent="0.3"/>
    <row r="526" ht="45" customHeight="1" x14ac:dyDescent="0.3"/>
    <row r="527" ht="45" customHeight="1" x14ac:dyDescent="0.3"/>
    <row r="528" ht="45" customHeight="1" x14ac:dyDescent="0.3"/>
    <row r="529" ht="45" customHeight="1" x14ac:dyDescent="0.3"/>
    <row r="530" ht="45" customHeight="1" x14ac:dyDescent="0.3"/>
    <row r="531" ht="45" customHeight="1" x14ac:dyDescent="0.3"/>
    <row r="532" ht="45" customHeight="1" x14ac:dyDescent="0.3"/>
    <row r="533" ht="45" customHeight="1" x14ac:dyDescent="0.3"/>
    <row r="534" ht="45" customHeight="1" x14ac:dyDescent="0.3"/>
    <row r="535" ht="45" customHeight="1" x14ac:dyDescent="0.3"/>
    <row r="536" ht="45" customHeight="1" x14ac:dyDescent="0.3"/>
    <row r="537" ht="45" customHeight="1" x14ac:dyDescent="0.3"/>
    <row r="538" ht="45" customHeight="1" x14ac:dyDescent="0.3"/>
    <row r="539" ht="45" customHeight="1" x14ac:dyDescent="0.3"/>
    <row r="540" ht="45" customHeight="1" x14ac:dyDescent="0.3"/>
    <row r="541" ht="45" customHeight="1" x14ac:dyDescent="0.3"/>
    <row r="542" ht="45" customHeight="1" x14ac:dyDescent="0.3"/>
    <row r="543" ht="45" customHeight="1" x14ac:dyDescent="0.3"/>
    <row r="544" ht="45" customHeight="1" x14ac:dyDescent="0.3"/>
    <row r="545" ht="45" customHeight="1" x14ac:dyDescent="0.3"/>
    <row r="546" ht="45" customHeight="1" x14ac:dyDescent="0.3"/>
    <row r="547" ht="45" customHeight="1" x14ac:dyDescent="0.3"/>
    <row r="548" ht="45" customHeight="1" x14ac:dyDescent="0.3"/>
    <row r="549" ht="45" customHeight="1" x14ac:dyDescent="0.3"/>
    <row r="550" ht="45" customHeight="1" x14ac:dyDescent="0.3"/>
    <row r="551" ht="45" customHeight="1" x14ac:dyDescent="0.3"/>
    <row r="552" ht="45" customHeight="1" x14ac:dyDescent="0.3"/>
    <row r="553" ht="45" customHeight="1" x14ac:dyDescent="0.3"/>
    <row r="554" ht="45" customHeight="1" x14ac:dyDescent="0.3"/>
    <row r="555" ht="45" customHeight="1" x14ac:dyDescent="0.3"/>
    <row r="556" ht="45" customHeight="1" x14ac:dyDescent="0.3"/>
    <row r="557" ht="45" customHeight="1" x14ac:dyDescent="0.3"/>
    <row r="558" ht="45" customHeight="1" x14ac:dyDescent="0.3"/>
    <row r="559" ht="45" customHeight="1" x14ac:dyDescent="0.3"/>
    <row r="560" ht="45" customHeight="1" x14ac:dyDescent="0.3"/>
    <row r="561" ht="45" customHeight="1" x14ac:dyDescent="0.3"/>
    <row r="562" ht="45" customHeight="1" x14ac:dyDescent="0.3"/>
    <row r="563" ht="45" customHeight="1" x14ac:dyDescent="0.3"/>
    <row r="564" ht="45" customHeight="1" x14ac:dyDescent="0.3"/>
    <row r="565" ht="45" customHeight="1" x14ac:dyDescent="0.3"/>
    <row r="566" ht="45" customHeight="1" x14ac:dyDescent="0.3"/>
    <row r="567" ht="45" customHeight="1" x14ac:dyDescent="0.3"/>
    <row r="568" ht="45" customHeight="1" x14ac:dyDescent="0.3"/>
    <row r="569" ht="45" customHeight="1" x14ac:dyDescent="0.3"/>
    <row r="570" ht="45" customHeight="1" x14ac:dyDescent="0.3"/>
    <row r="571" ht="45" customHeight="1" x14ac:dyDescent="0.3"/>
    <row r="572" ht="45" customHeight="1" x14ac:dyDescent="0.3"/>
    <row r="573" ht="45" customHeight="1" x14ac:dyDescent="0.3"/>
    <row r="574" ht="45" customHeight="1" x14ac:dyDescent="0.3"/>
    <row r="575" ht="45" customHeight="1" x14ac:dyDescent="0.3"/>
    <row r="576" ht="45" customHeight="1" x14ac:dyDescent="0.3"/>
    <row r="577" ht="45" customHeight="1" x14ac:dyDescent="0.3"/>
    <row r="578" ht="45" customHeight="1" x14ac:dyDescent="0.3"/>
    <row r="579" ht="45" customHeight="1" x14ac:dyDescent="0.3"/>
    <row r="580" ht="45" customHeight="1" x14ac:dyDescent="0.3"/>
    <row r="581" ht="45" customHeight="1" x14ac:dyDescent="0.3"/>
    <row r="582" ht="45" customHeight="1" x14ac:dyDescent="0.3"/>
    <row r="583" ht="45" customHeight="1" x14ac:dyDescent="0.3"/>
    <row r="584" ht="45" customHeight="1" x14ac:dyDescent="0.3"/>
    <row r="585" ht="45" customHeight="1" x14ac:dyDescent="0.3"/>
    <row r="586" ht="45" customHeight="1" x14ac:dyDescent="0.3"/>
    <row r="587" ht="45" customHeight="1" x14ac:dyDescent="0.3"/>
    <row r="588" ht="45" customHeight="1" x14ac:dyDescent="0.3"/>
    <row r="589" ht="45" customHeight="1" x14ac:dyDescent="0.3"/>
    <row r="590" ht="45" customHeight="1" x14ac:dyDescent="0.3"/>
    <row r="591" ht="45" customHeight="1" x14ac:dyDescent="0.3"/>
    <row r="592" ht="45" customHeight="1" x14ac:dyDescent="0.3"/>
    <row r="593" ht="45" customHeight="1" x14ac:dyDescent="0.3"/>
    <row r="594" ht="45" customHeight="1" x14ac:dyDescent="0.3"/>
    <row r="595" ht="45" customHeight="1" x14ac:dyDescent="0.3"/>
    <row r="596" ht="45" customHeight="1" x14ac:dyDescent="0.3"/>
    <row r="597" ht="45" customHeight="1" x14ac:dyDescent="0.3"/>
    <row r="598" ht="45" customHeight="1" x14ac:dyDescent="0.3"/>
    <row r="599" ht="45" customHeight="1" x14ac:dyDescent="0.3"/>
    <row r="600" ht="45" customHeight="1" x14ac:dyDescent="0.3"/>
    <row r="601" ht="45" customHeight="1" x14ac:dyDescent="0.3"/>
    <row r="602" ht="45" customHeight="1" x14ac:dyDescent="0.3"/>
    <row r="603" ht="45" customHeight="1" x14ac:dyDescent="0.3"/>
    <row r="604" ht="45" customHeight="1" x14ac:dyDescent="0.3"/>
    <row r="605" ht="45" customHeight="1" x14ac:dyDescent="0.3"/>
    <row r="606" ht="45" customHeight="1" x14ac:dyDescent="0.3"/>
    <row r="607" ht="45" customHeight="1" x14ac:dyDescent="0.3"/>
    <row r="608" ht="45" customHeight="1" x14ac:dyDescent="0.3"/>
    <row r="609" ht="45" customHeight="1" x14ac:dyDescent="0.3"/>
    <row r="610" ht="45" customHeight="1" x14ac:dyDescent="0.3"/>
    <row r="611" ht="45" customHeight="1" x14ac:dyDescent="0.3"/>
    <row r="612" ht="45" customHeight="1" x14ac:dyDescent="0.3"/>
    <row r="613" ht="45" customHeight="1" x14ac:dyDescent="0.3"/>
    <row r="614" ht="45" customHeight="1" x14ac:dyDescent="0.3"/>
    <row r="615" ht="45" customHeight="1" x14ac:dyDescent="0.3"/>
    <row r="616" ht="45" customHeight="1" x14ac:dyDescent="0.3"/>
    <row r="617" ht="45" customHeight="1" x14ac:dyDescent="0.3"/>
    <row r="618" ht="45" customHeight="1" x14ac:dyDescent="0.3"/>
    <row r="619" ht="45" customHeight="1" x14ac:dyDescent="0.3"/>
    <row r="620" ht="45" customHeight="1" x14ac:dyDescent="0.3"/>
    <row r="621" ht="45" customHeight="1" x14ac:dyDescent="0.3"/>
    <row r="622" ht="45" customHeight="1" x14ac:dyDescent="0.3"/>
    <row r="623" ht="45" customHeight="1" x14ac:dyDescent="0.3"/>
    <row r="624" ht="45" customHeight="1" x14ac:dyDescent="0.3"/>
    <row r="625" ht="45" customHeight="1" x14ac:dyDescent="0.3"/>
    <row r="626" ht="45" customHeight="1" x14ac:dyDescent="0.3"/>
    <row r="627" ht="45" customHeight="1" x14ac:dyDescent="0.3"/>
    <row r="628" ht="45" customHeight="1" x14ac:dyDescent="0.3"/>
    <row r="629" ht="45" customHeight="1" x14ac:dyDescent="0.3"/>
    <row r="630" ht="45" customHeight="1" x14ac:dyDescent="0.3"/>
    <row r="631" ht="45" customHeight="1" x14ac:dyDescent="0.3"/>
    <row r="632" ht="45" customHeight="1" x14ac:dyDescent="0.3"/>
    <row r="633" ht="45" customHeight="1" x14ac:dyDescent="0.3"/>
    <row r="634" ht="45" customHeight="1" x14ac:dyDescent="0.3"/>
    <row r="635" ht="45" customHeight="1" x14ac:dyDescent="0.3"/>
    <row r="636" ht="45" customHeight="1" x14ac:dyDescent="0.3"/>
    <row r="637" ht="45" customHeight="1" x14ac:dyDescent="0.3"/>
    <row r="638" ht="45" customHeight="1" x14ac:dyDescent="0.3"/>
    <row r="639" ht="45" customHeight="1" x14ac:dyDescent="0.3"/>
    <row r="640" ht="45" customHeight="1" x14ac:dyDescent="0.3"/>
    <row r="641" ht="45" customHeight="1" x14ac:dyDescent="0.3"/>
    <row r="642" ht="45" customHeight="1" x14ac:dyDescent="0.3"/>
    <row r="643" ht="45" customHeight="1" x14ac:dyDescent="0.3"/>
    <row r="644" ht="45" customHeight="1" x14ac:dyDescent="0.3"/>
    <row r="645" ht="45" customHeight="1" x14ac:dyDescent="0.3"/>
    <row r="646" ht="45" customHeight="1" x14ac:dyDescent="0.3"/>
    <row r="647" ht="45" customHeight="1" x14ac:dyDescent="0.3"/>
    <row r="648" ht="45" customHeight="1" x14ac:dyDescent="0.3"/>
    <row r="649" ht="45" customHeight="1" x14ac:dyDescent="0.3"/>
    <row r="650" ht="45" customHeight="1" x14ac:dyDescent="0.3"/>
    <row r="651" ht="45" customHeight="1" x14ac:dyDescent="0.3"/>
    <row r="652" ht="45" customHeight="1" x14ac:dyDescent="0.3"/>
    <row r="653" ht="45" customHeight="1" x14ac:dyDescent="0.3"/>
    <row r="654" ht="45" customHeight="1" x14ac:dyDescent="0.3"/>
    <row r="655" ht="45" customHeight="1" x14ac:dyDescent="0.3"/>
    <row r="656" ht="45" customHeight="1" x14ac:dyDescent="0.3"/>
    <row r="657" ht="45" customHeight="1" x14ac:dyDescent="0.3"/>
  </sheetData>
  <dataConsolidate/>
  <mergeCells count="8">
    <mergeCell ref="DC2:DC6"/>
    <mergeCell ref="BW2:BW6"/>
    <mergeCell ref="CH2:CH6"/>
    <mergeCell ref="P2:P6"/>
    <mergeCell ref="R2:R6"/>
    <mergeCell ref="S2:S6"/>
    <mergeCell ref="T2:T6"/>
    <mergeCell ref="U2:U6"/>
  </mergeCells>
  <phoneticPr fontId="20" type="noConversion"/>
  <conditionalFormatting sqref="B7:B12">
    <cfRule type="cellIs" dxfId="11" priority="176" operator="equal">
      <formula>"ACTIVO"</formula>
    </cfRule>
  </conditionalFormatting>
  <conditionalFormatting sqref="A8:P12 R8:V12">
    <cfRule type="expression" dxfId="10" priority="1698">
      <formula>$DD8&gt;0</formula>
    </cfRule>
    <cfRule type="expression" dxfId="9" priority="1699" stopIfTrue="1">
      <formula>$B8="INACTIVO"</formula>
    </cfRule>
  </conditionalFormatting>
  <conditionalFormatting sqref="Q8:Q12">
    <cfRule type="expression" dxfId="8" priority="5">
      <formula>$DD8&gt;0</formula>
    </cfRule>
    <cfRule type="expression" dxfId="7" priority="6" stopIfTrue="1">
      <formula>$B8="INACTIVO"</formula>
    </cfRule>
  </conditionalFormatting>
  <conditionalFormatting sqref="W8:W12">
    <cfRule type="expression" dxfId="6" priority="3">
      <formula>$DD8&gt;0</formula>
    </cfRule>
    <cfRule type="expression" dxfId="5" priority="4" stopIfTrue="1">
      <formula>$B8="INACTIVO"</formula>
    </cfRule>
  </conditionalFormatting>
  <conditionalFormatting sqref="X8:DD12">
    <cfRule type="expression" dxfId="4" priority="1">
      <formula>$DD8&gt;0</formula>
    </cfRule>
    <cfRule type="expression" dxfId="3" priority="2" stopIfTrue="1">
      <formula>$B8="INACTIVO"</formula>
    </cfRule>
  </conditionalFormatting>
  <conditionalFormatting sqref="A8:A12">
    <cfRule type="duplicateValues" dxfId="0" priority="1703"/>
  </conditionalFormatting>
  <dataValidations count="21">
    <dataValidation type="custom" allowBlank="1" showInputMessage="1" showErrorMessage="1" sqref="D3:G6 A2:C6 H2:DD6 BW8:BW12 DC8:DC12 P8:P12 R8:V12 CH8:CH12" xr:uid="{C880C9EF-44A4-474D-B9E4-0305B5994263}">
      <formula1>""</formula1>
    </dataValidation>
    <dataValidation type="list" allowBlank="1" showInputMessage="1" showErrorMessage="1" sqref="CI8:CI12 X8:X12 BX8:BX12 BM8:BM12" xr:uid="{1DDDF599-23C5-BA47-BA4C-1B6FDBF9BD5C}">
      <formula1>INDIRECT("PAIS[PAIS]")</formula1>
    </dataValidation>
    <dataValidation type="list" allowBlank="1" showInputMessage="1" showErrorMessage="1" sqref="BA8:BB12 AG8:AH12 AL8:AL12 AJ8:AJ12 AA8:AA12 CP8:CQ12 CY8:CY12 AY8:AY12 CS8:CS12 CN8:CN12 BD8:BD12" xr:uid="{7419A663-BCBC-6546-BAF4-75E722A00790}">
      <formula1>INDIRECT("SI_NO[SI/NO]")</formula1>
    </dataValidation>
    <dataValidation type="list" allowBlank="1" showInputMessage="1" showErrorMessage="1" sqref="BC8:BC12" xr:uid="{B635D49B-BB37-FC48-A614-4A2EE1CB2B41}">
      <formula1>INDIRECT("CRITERIOS_DE_FOCALIZACION[CRITERIOS_DE_FOCALIZACION]")</formula1>
    </dataValidation>
    <dataValidation type="list" allowBlank="1" showInputMessage="1" showErrorMessage="1" sqref="BE8:BE12" xr:uid="{920CF1AE-E055-9041-AE98-1DE431232EDD}">
      <formula1>INDIRECT("FAMILIA[FAMILIA]")</formula1>
    </dataValidation>
    <dataValidation type="list" allowBlank="1" showInputMessage="1" showErrorMessage="1" sqref="BF8:BF12 BP8:BP12 CA8:CA12" xr:uid="{C991E67D-E827-A64C-839B-E968D115944D}">
      <formula1>INDIRECT("TIPODEDOCUMENTOADULTO[TIPO DE DOCUMENTO]")</formula1>
    </dataValidation>
    <dataValidation type="list" allowBlank="1" showInputMessage="1" showErrorMessage="1" sqref="H8:H12" xr:uid="{115BFEFD-7F37-BF49-B641-5B15B7259080}">
      <formula1>INDIRECT("UNIDAD[UNIDAD]")</formula1>
    </dataValidation>
    <dataValidation type="list" allowBlank="1" showInputMessage="1" showErrorMessage="1" sqref="AX8:AX12" xr:uid="{DB05D8F1-81C4-0442-9B06-77F6FE15516E}">
      <formula1>INDIRECT("GRUPO_ÉTNICO[GRUPO_ÉTNICO]")</formula1>
    </dataValidation>
    <dataValidation type="list" allowBlank="1" showInputMessage="1" showErrorMessage="1" sqref="AN8:AN12" xr:uid="{767A8CDD-A634-C441-90BF-FED4F1AA9681}">
      <formula1>INDIRECT("BOGOTÁ[BOGOTÁ]")</formula1>
    </dataValidation>
    <dataValidation type="list" allowBlank="1" showInputMessage="1" showErrorMessage="1" sqref="AO8:AO12" xr:uid="{C939EC7B-E102-AB4F-B574-1A5E353FDD6F}">
      <formula1>INDIRECT("ZONA_UBICACION[ZONA_UBICACION]")</formula1>
    </dataValidation>
    <dataValidation type="list" allowBlank="1" showInputMessage="1" showErrorMessage="1" sqref="B8:B12" xr:uid="{E666969B-C90B-AD42-B301-66930259ED17}">
      <formula1>INDIRECT("ACTIVO_INACTIVO[ACTIVO/INACTIVO]")</formula1>
    </dataValidation>
    <dataValidation type="list" allowBlank="1" showInputMessage="1" showErrorMessage="1" sqref="K8:K12" xr:uid="{28D425CD-405F-4E47-ADA3-04B805F14F87}">
      <formula1>INDIRECT("TIPODEDOCUMENTO[TIPO DE DOCUMENTO]")</formula1>
    </dataValidation>
    <dataValidation type="list" allowBlank="1" showInputMessage="1" showErrorMessage="1" sqref="AM8:AM12" xr:uid="{868E4A72-148F-604D-9114-BD64CEA351C8}">
      <formula1>INDIRECT("PAIS_RESIDENCIA[PAIS_RESIDENCIA]")</formula1>
    </dataValidation>
    <dataValidation type="list" allowBlank="1" showInputMessage="1" showErrorMessage="1" sqref="W8:W12" xr:uid="{8503FE1E-6E78-7C40-AA04-FB2E980EB721}">
      <formula1>INDIRECT("GENERO[GENERO]")</formula1>
    </dataValidation>
    <dataValidation type="list" allowBlank="1" showInputMessage="1" showErrorMessage="1" sqref="CL8:CL12" xr:uid="{DF0E640C-BC3D-F64D-BA02-F200D52CC0A2}">
      <formula1>INDIRECT("REGIMEN[REGIMEN]")</formula1>
    </dataValidation>
    <dataValidation type="list" allowBlank="1" showInputMessage="1" showErrorMessage="1" sqref="AD8:AD12" xr:uid="{008CCFFB-E3A5-D940-82F5-4D7EAEFE03EB}">
      <formula1>INDIRECT("TIPOS_DE_DISCAPACIDAD[TIPOS_DE_DISCAPACIDAD]")</formula1>
    </dataValidation>
    <dataValidation type="list" allowBlank="1" showInputMessage="1" showErrorMessage="1" errorTitle="ERROR" error="NO PUEDE INGRESAR VALORES PORQUE EL USUARIO NO SE ENCUENTRA SISBENIZADO." sqref="AZ8:AZ12" xr:uid="{8F24739D-A92D-194C-8241-A6E9C0A44A17}">
      <formula1>INDIRECT("SISBEN[SISBEN]")</formula1>
    </dataValidation>
    <dataValidation type="whole" allowBlank="1" showInputMessage="1" showErrorMessage="1" sqref="CZ8:DA12" xr:uid="{7FBBE662-46D7-A34C-A4CA-F9B1A2E7214E}">
      <formula1>0</formula1>
      <formula2>36</formula2>
    </dataValidation>
    <dataValidation type="list" allowBlank="1" showInputMessage="1" showErrorMessage="1" sqref="Y8:Z12 CM8:CM12 CJ8:CK12 AP8:AR12 AB8:AB12 AI8:AI12 AK8:AK12 BY8:BZ12 BN8:BO12" xr:uid="{934EE947-4D70-7445-B76E-6660A10277FF}">
      <formula1>INDIRECT(X8)</formula1>
    </dataValidation>
    <dataValidation type="custom" allowBlank="1" showInputMessage="1" showErrorMessage="1" errorTitle="ERROR" error="NO SE PUEDE HABIALITAR ESTE CAMPO PORQUE EN LA CASILLA &quot;ZONA DE UBICACIÓN&quot; USTED SELECCIONÓ CABECERA." sqref="AS8:AS12" xr:uid="{4A9770BE-1A22-8946-973D-878A3742A16B}">
      <formula1>AO8="RESTO"</formula1>
    </dataValidation>
    <dataValidation type="list" allowBlank="1" showInputMessage="1" showErrorMessage="1" sqref="AF8:AF12" xr:uid="{B893D9D6-1A3A-F345-B47A-441975D61911}">
      <formula1>INDIRECT(AA8)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304490E-D67D-C949-B9A0-A5A768A5CB68}">
          <x14:formula1>
            <xm:f>'LISTAS DESPLEGABLES'!$AL$3:$AL$34</xm:f>
          </x14:formula1>
          <xm:sqref>E1:F1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0070C0"/>
  </sheetPr>
  <dimension ref="B12:I84"/>
  <sheetViews>
    <sheetView zoomScale="65" zoomScaleNormal="70" workbookViewId="0">
      <pane ySplit="9" topLeftCell="A10" activePane="bottomLeft" state="frozen"/>
      <selection pane="bottomLeft" activeCell="D18" sqref="D18"/>
    </sheetView>
  </sheetViews>
  <sheetFormatPr baseColWidth="10" defaultRowHeight="14.4" x14ac:dyDescent="0.3"/>
  <cols>
    <col min="2" max="2" width="26.77734375" customWidth="1"/>
    <col min="3" max="3" width="31.77734375" bestFit="1" customWidth="1"/>
    <col min="4" max="5" width="16.77734375" customWidth="1"/>
    <col min="6" max="6" width="24" customWidth="1"/>
    <col min="7" max="7" width="23.33203125" customWidth="1"/>
    <col min="8" max="8" width="13.33203125" customWidth="1"/>
  </cols>
  <sheetData>
    <row r="12" spans="2:4" ht="15" thickBot="1" x14ac:dyDescent="0.35"/>
    <row r="13" spans="2:4" s="2" customFormat="1" ht="29.4" thickBot="1" x14ac:dyDescent="0.35">
      <c r="B13" s="48" t="s">
        <v>2501</v>
      </c>
      <c r="C13" s="2" t="s">
        <v>2602</v>
      </c>
      <c r="D13" s="2" t="s">
        <v>2705</v>
      </c>
    </row>
    <row r="14" spans="2:4" x14ac:dyDescent="0.3">
      <c r="B14" s="33" t="s">
        <v>2494</v>
      </c>
      <c r="C14" s="2">
        <v>51</v>
      </c>
      <c r="D14" s="49">
        <v>0.14571428571428571</v>
      </c>
    </row>
    <row r="15" spans="2:4" ht="15" thickBot="1" x14ac:dyDescent="0.35">
      <c r="B15" s="33" t="s">
        <v>3626</v>
      </c>
      <c r="C15" s="2">
        <v>56</v>
      </c>
      <c r="D15" s="49">
        <v>0.16</v>
      </c>
    </row>
    <row r="16" spans="2:4" ht="15" thickBot="1" x14ac:dyDescent="0.35">
      <c r="B16" s="33" t="s">
        <v>3627</v>
      </c>
      <c r="C16" s="2">
        <v>189</v>
      </c>
      <c r="D16" s="49">
        <v>0.54</v>
      </c>
    </row>
    <row r="17" spans="2:9" ht="15" thickBot="1" x14ac:dyDescent="0.35">
      <c r="B17" s="33" t="s">
        <v>4030</v>
      </c>
      <c r="C17" s="2">
        <v>54</v>
      </c>
      <c r="D17" s="49">
        <v>0.15428571428571428</v>
      </c>
    </row>
    <row r="18" spans="2:9" ht="15" thickBot="1" x14ac:dyDescent="0.35">
      <c r="B18" s="47" t="s">
        <v>2502</v>
      </c>
      <c r="C18" s="42">
        <v>350</v>
      </c>
      <c r="D18" s="53">
        <v>1</v>
      </c>
    </row>
    <row r="23" spans="2:9" x14ac:dyDescent="0.3">
      <c r="F23" s="114"/>
    </row>
    <row r="25" spans="2:9" ht="15" thickBot="1" x14ac:dyDescent="0.35"/>
    <row r="26" spans="2:9" s="2" customFormat="1" ht="29.4" thickBot="1" x14ac:dyDescent="0.35">
      <c r="B26" s="44" t="s">
        <v>2599</v>
      </c>
      <c r="C26" s="45"/>
      <c r="D26" s="41" t="s">
        <v>2382</v>
      </c>
      <c r="E26" s="46"/>
      <c r="F26" s="82"/>
      <c r="G26" s="83"/>
      <c r="H26"/>
      <c r="I26"/>
    </row>
    <row r="27" spans="2:9" s="2" customFormat="1" ht="43.8" thickBot="1" x14ac:dyDescent="0.35">
      <c r="B27" s="41" t="s">
        <v>2492</v>
      </c>
      <c r="C27" s="41" t="s">
        <v>2493</v>
      </c>
      <c r="D27" s="41" t="s">
        <v>2497</v>
      </c>
      <c r="E27" s="84" t="s">
        <v>2498</v>
      </c>
      <c r="F27" s="84" t="s">
        <v>2499</v>
      </c>
      <c r="G27" s="40" t="s">
        <v>2502</v>
      </c>
      <c r="H27"/>
      <c r="I27"/>
    </row>
    <row r="28" spans="2:9" s="2" customFormat="1" x14ac:dyDescent="0.3">
      <c r="B28" s="2" t="s">
        <v>4029</v>
      </c>
      <c r="C28" s="2" t="s">
        <v>3697</v>
      </c>
      <c r="D28" s="2">
        <v>17</v>
      </c>
      <c r="E28" s="2">
        <v>20</v>
      </c>
      <c r="F28" s="2">
        <v>12</v>
      </c>
      <c r="G28" s="124">
        <v>49</v>
      </c>
      <c r="H28"/>
    </row>
    <row r="29" spans="2:9" x14ac:dyDescent="0.3">
      <c r="B29" s="2" t="s">
        <v>4046</v>
      </c>
      <c r="C29" s="2" t="s">
        <v>4048</v>
      </c>
      <c r="D29" s="2">
        <v>1</v>
      </c>
      <c r="E29" s="2">
        <v>4</v>
      </c>
      <c r="F29" s="2">
        <v>48</v>
      </c>
      <c r="G29" s="125">
        <v>53</v>
      </c>
    </row>
    <row r="30" spans="2:9" x14ac:dyDescent="0.3">
      <c r="B30" s="2" t="s">
        <v>4077</v>
      </c>
      <c r="C30" s="2" t="s">
        <v>4407</v>
      </c>
      <c r="D30" s="2"/>
      <c r="E30" s="2"/>
      <c r="F30" s="2">
        <v>28</v>
      </c>
      <c r="G30" s="125">
        <v>28</v>
      </c>
    </row>
    <row r="31" spans="2:9" ht="28.8" x14ac:dyDescent="0.3">
      <c r="B31" s="2" t="s">
        <v>4406</v>
      </c>
      <c r="C31" s="2" t="s">
        <v>3703</v>
      </c>
      <c r="D31" s="2"/>
      <c r="E31" s="2"/>
      <c r="F31" s="2">
        <v>22</v>
      </c>
      <c r="G31" s="125">
        <v>22</v>
      </c>
    </row>
    <row r="32" spans="2:9" x14ac:dyDescent="0.3">
      <c r="B32" s="2" t="s">
        <v>4072</v>
      </c>
      <c r="C32" s="2" t="s">
        <v>4073</v>
      </c>
      <c r="D32" s="2"/>
      <c r="E32" s="2">
        <v>3</v>
      </c>
      <c r="F32" s="2">
        <v>46</v>
      </c>
      <c r="G32" s="125">
        <v>49</v>
      </c>
    </row>
    <row r="33" spans="2:9" ht="28.8" x14ac:dyDescent="0.3">
      <c r="B33" s="2" t="s">
        <v>4074</v>
      </c>
      <c r="C33" s="2" t="s">
        <v>4039</v>
      </c>
      <c r="D33" s="2">
        <v>3</v>
      </c>
      <c r="E33" s="2">
        <v>1</v>
      </c>
      <c r="F33" s="2">
        <v>44</v>
      </c>
      <c r="G33" s="125">
        <v>48</v>
      </c>
    </row>
    <row r="34" spans="2:9" x14ac:dyDescent="0.3">
      <c r="B34" s="2" t="s">
        <v>4075</v>
      </c>
      <c r="C34" s="2" t="s">
        <v>4040</v>
      </c>
      <c r="D34" s="2"/>
      <c r="E34" s="2"/>
      <c r="F34" s="2">
        <v>51</v>
      </c>
      <c r="G34" s="125">
        <v>51</v>
      </c>
    </row>
    <row r="35" spans="2:9" ht="15" thickBot="1" x14ac:dyDescent="0.35">
      <c r="B35" s="2" t="s">
        <v>4076</v>
      </c>
      <c r="C35" s="2" t="s">
        <v>4047</v>
      </c>
      <c r="D35" s="2">
        <v>1</v>
      </c>
      <c r="E35" s="2">
        <v>1</v>
      </c>
      <c r="F35" s="2">
        <v>48</v>
      </c>
      <c r="G35" s="125">
        <v>50</v>
      </c>
    </row>
    <row r="36" spans="2:9" ht="15" thickBot="1" x14ac:dyDescent="0.35">
      <c r="B36" s="42" t="s">
        <v>2502</v>
      </c>
      <c r="C36" s="43"/>
      <c r="D36" s="42">
        <v>22</v>
      </c>
      <c r="E36" s="123">
        <v>29</v>
      </c>
      <c r="F36" s="123">
        <v>299</v>
      </c>
      <c r="G36" s="40">
        <v>350</v>
      </c>
    </row>
    <row r="38" spans="2:9" ht="15" thickBot="1" x14ac:dyDescent="0.35"/>
    <row r="40" spans="2:9" ht="15" thickBot="1" x14ac:dyDescent="0.35"/>
    <row r="41" spans="2:9" ht="15" thickBot="1" x14ac:dyDescent="0.35"/>
    <row r="42" spans="2:9" ht="15" thickBot="1" x14ac:dyDescent="0.35">
      <c r="B42" s="44" t="s">
        <v>2705</v>
      </c>
      <c r="C42" s="45"/>
      <c r="D42" s="54" t="s">
        <v>2500</v>
      </c>
      <c r="E42" s="46"/>
      <c r="F42" s="82"/>
      <c r="G42" s="83"/>
      <c r="H42" s="82"/>
    </row>
    <row r="43" spans="2:9" ht="72" x14ac:dyDescent="0.3">
      <c r="B43" s="66" t="s">
        <v>2492</v>
      </c>
      <c r="C43" s="66" t="s">
        <v>2493</v>
      </c>
      <c r="D43" s="37" t="s">
        <v>2494</v>
      </c>
      <c r="E43" s="37" t="s">
        <v>3626</v>
      </c>
      <c r="F43" s="37" t="s">
        <v>3627</v>
      </c>
      <c r="G43" s="37" t="s">
        <v>4030</v>
      </c>
      <c r="H43" s="65" t="s">
        <v>2502</v>
      </c>
    </row>
    <row r="44" spans="2:9" s="2" customFormat="1" x14ac:dyDescent="0.3">
      <c r="B44" s="37" t="s">
        <v>4029</v>
      </c>
      <c r="C44" s="2" t="s">
        <v>3697</v>
      </c>
      <c r="D44" s="37">
        <v>37</v>
      </c>
      <c r="E44" s="37">
        <v>12</v>
      </c>
      <c r="F44" s="37"/>
      <c r="G44" s="37"/>
      <c r="H44" s="65">
        <v>49</v>
      </c>
      <c r="I44"/>
    </row>
    <row r="45" spans="2:9" s="2" customFormat="1" x14ac:dyDescent="0.3">
      <c r="B45" s="37" t="s">
        <v>4046</v>
      </c>
      <c r="C45" s="2" t="s">
        <v>4048</v>
      </c>
      <c r="D45" s="37">
        <v>5</v>
      </c>
      <c r="E45" s="37">
        <v>6</v>
      </c>
      <c r="F45" s="37">
        <v>22</v>
      </c>
      <c r="G45" s="37">
        <v>20</v>
      </c>
      <c r="H45" s="65">
        <v>53</v>
      </c>
      <c r="I45"/>
    </row>
    <row r="46" spans="2:9" s="2" customFormat="1" x14ac:dyDescent="0.3">
      <c r="B46" s="37" t="s">
        <v>4077</v>
      </c>
      <c r="C46" s="2" t="s">
        <v>4407</v>
      </c>
      <c r="D46" s="37"/>
      <c r="E46" s="37">
        <v>27</v>
      </c>
      <c r="F46" s="37">
        <v>1</v>
      </c>
      <c r="G46" s="37"/>
      <c r="H46" s="65">
        <v>28</v>
      </c>
      <c r="I46"/>
    </row>
    <row r="47" spans="2:9" s="2" customFormat="1" ht="28.8" x14ac:dyDescent="0.3">
      <c r="B47" s="37" t="s">
        <v>4406</v>
      </c>
      <c r="C47" s="2" t="s">
        <v>3703</v>
      </c>
      <c r="D47" s="37"/>
      <c r="E47" s="37">
        <v>1</v>
      </c>
      <c r="F47" s="37">
        <v>16</v>
      </c>
      <c r="G47" s="37">
        <v>5</v>
      </c>
      <c r="H47" s="65">
        <v>22</v>
      </c>
      <c r="I47"/>
    </row>
    <row r="48" spans="2:9" s="2" customFormat="1" x14ac:dyDescent="0.3">
      <c r="B48" s="37" t="s">
        <v>4072</v>
      </c>
      <c r="C48" s="2" t="s">
        <v>4073</v>
      </c>
      <c r="D48" s="37">
        <v>3</v>
      </c>
      <c r="E48" s="37"/>
      <c r="F48" s="37">
        <v>43</v>
      </c>
      <c r="G48" s="37">
        <v>3</v>
      </c>
      <c r="H48" s="65">
        <v>49</v>
      </c>
      <c r="I48"/>
    </row>
    <row r="49" spans="2:9" s="2" customFormat="1" ht="28.8" x14ac:dyDescent="0.3">
      <c r="B49" s="37" t="s">
        <v>4074</v>
      </c>
      <c r="C49" s="2" t="s">
        <v>4039</v>
      </c>
      <c r="D49" s="37">
        <v>4</v>
      </c>
      <c r="E49" s="37">
        <v>6</v>
      </c>
      <c r="F49" s="37">
        <v>23</v>
      </c>
      <c r="G49" s="37">
        <v>15</v>
      </c>
      <c r="H49" s="65">
        <v>48</v>
      </c>
      <c r="I49"/>
    </row>
    <row r="50" spans="2:9" s="2" customFormat="1" x14ac:dyDescent="0.3">
      <c r="B50" s="37" t="s">
        <v>4075</v>
      </c>
      <c r="C50" s="2" t="s">
        <v>4040</v>
      </c>
      <c r="D50" s="37"/>
      <c r="E50" s="37">
        <v>3</v>
      </c>
      <c r="F50" s="37">
        <v>44</v>
      </c>
      <c r="G50" s="37">
        <v>4</v>
      </c>
      <c r="H50" s="65">
        <v>51</v>
      </c>
      <c r="I50"/>
    </row>
    <row r="51" spans="2:9" s="2" customFormat="1" x14ac:dyDescent="0.3">
      <c r="B51" s="37" t="s">
        <v>4076</v>
      </c>
      <c r="C51" s="2" t="s">
        <v>4047</v>
      </c>
      <c r="D51" s="37">
        <v>2</v>
      </c>
      <c r="E51" s="37">
        <v>1</v>
      </c>
      <c r="F51" s="37">
        <v>40</v>
      </c>
      <c r="G51" s="37">
        <v>7</v>
      </c>
      <c r="H51" s="65">
        <v>50</v>
      </c>
      <c r="I51"/>
    </row>
    <row r="52" spans="2:9" x14ac:dyDescent="0.3">
      <c r="B52" s="65" t="s">
        <v>2502</v>
      </c>
      <c r="C52" s="65"/>
      <c r="D52" s="65">
        <v>51</v>
      </c>
      <c r="E52" s="65">
        <v>56</v>
      </c>
      <c r="F52" s="65">
        <v>189</v>
      </c>
      <c r="G52" s="65">
        <v>54</v>
      </c>
      <c r="H52" s="65">
        <v>350</v>
      </c>
    </row>
    <row r="83" ht="15" thickBot="1" x14ac:dyDescent="0.35"/>
    <row r="84" ht="15" thickBot="1" x14ac:dyDescent="0.35"/>
  </sheetData>
  <pageMargins left="0.7" right="0.7" top="0.75" bottom="0.75" header="0.3" footer="0.3"/>
  <pageSetup paperSize="9" orientation="portrait" r:id="rId4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>
    <tabColor rgb="FFFFFF00"/>
    <pageSetUpPr fitToPage="1"/>
  </sheetPr>
  <dimension ref="A1:H31"/>
  <sheetViews>
    <sheetView showGridLines="0" topLeftCell="A7" zoomScale="85" zoomScaleNormal="85" workbookViewId="0">
      <selection activeCell="G31" sqref="G31"/>
    </sheetView>
  </sheetViews>
  <sheetFormatPr baseColWidth="10" defaultRowHeight="14.4" x14ac:dyDescent="0.3"/>
  <cols>
    <col min="2" max="2" width="40.44140625" bestFit="1" customWidth="1"/>
    <col min="3" max="3" width="21.6640625" customWidth="1"/>
    <col min="4" max="4" width="20.44140625" customWidth="1"/>
    <col min="5" max="5" width="15.77734375" customWidth="1"/>
    <col min="6" max="6" width="11.6640625" customWidth="1"/>
  </cols>
  <sheetData>
    <row r="1" spans="1:8" x14ac:dyDescent="0.3">
      <c r="A1" s="59"/>
    </row>
    <row r="4" spans="1:8" ht="15.6" x14ac:dyDescent="0.3">
      <c r="B4" s="128" t="str">
        <f ca="1">+"PROYECCIÓN"&amp;" " &amp;TEXT('MATRIZ PRINCIPAL'!B1,"dd/mm/yyy")</f>
        <v>PROYECCIÓN 27/03/2023</v>
      </c>
      <c r="C4" s="128"/>
      <c r="D4" s="128"/>
      <c r="E4" s="128"/>
    </row>
    <row r="5" spans="1:8" x14ac:dyDescent="0.3">
      <c r="B5" s="34" t="s">
        <v>2706</v>
      </c>
      <c r="C5" s="54" t="s">
        <v>2673</v>
      </c>
      <c r="E5" s="81"/>
    </row>
    <row r="6" spans="1:8" ht="43.2" x14ac:dyDescent="0.3">
      <c r="B6" s="34" t="s">
        <v>2501</v>
      </c>
      <c r="C6" s="2" t="s">
        <v>2494</v>
      </c>
      <c r="D6" s="2" t="s">
        <v>3626</v>
      </c>
      <c r="E6" s="2" t="s">
        <v>3627</v>
      </c>
      <c r="F6" s="2" t="s">
        <v>4030</v>
      </c>
      <c r="G6" s="55" t="s">
        <v>2502</v>
      </c>
    </row>
    <row r="7" spans="1:8" x14ac:dyDescent="0.3">
      <c r="A7" t="s">
        <v>2735</v>
      </c>
      <c r="B7" s="1" t="s">
        <v>3718</v>
      </c>
      <c r="C7" s="2">
        <v>51</v>
      </c>
      <c r="D7" s="2">
        <v>56</v>
      </c>
      <c r="E7" s="2">
        <v>189</v>
      </c>
      <c r="F7" s="2">
        <v>54</v>
      </c>
      <c r="G7" s="2">
        <v>350</v>
      </c>
    </row>
    <row r="8" spans="1:8" x14ac:dyDescent="0.3">
      <c r="B8" s="57" t="s">
        <v>2502</v>
      </c>
      <c r="C8" s="55">
        <v>51</v>
      </c>
      <c r="D8" s="55">
        <v>56</v>
      </c>
      <c r="E8" s="55">
        <v>189</v>
      </c>
      <c r="F8" s="55">
        <v>54</v>
      </c>
      <c r="G8" s="55">
        <v>350</v>
      </c>
    </row>
    <row r="9" spans="1:8" x14ac:dyDescent="0.3">
      <c r="H9" s="2"/>
    </row>
    <row r="10" spans="1:8" x14ac:dyDescent="0.3">
      <c r="H10" s="2"/>
    </row>
    <row r="11" spans="1:8" x14ac:dyDescent="0.3">
      <c r="H11" s="2"/>
    </row>
    <row r="12" spans="1:8" x14ac:dyDescent="0.3">
      <c r="H12" s="2"/>
    </row>
    <row r="13" spans="1:8" x14ac:dyDescent="0.3">
      <c r="H13" s="2"/>
    </row>
    <row r="16" spans="1:8" x14ac:dyDescent="0.3">
      <c r="B16" s="1"/>
      <c r="C16" s="2"/>
      <c r="D16" s="2"/>
      <c r="E16" s="2"/>
    </row>
    <row r="18" spans="2:7" x14ac:dyDescent="0.3">
      <c r="B18" s="34" t="s">
        <v>2707</v>
      </c>
      <c r="C18" s="54" t="s">
        <v>2673</v>
      </c>
      <c r="E18" s="81"/>
    </row>
    <row r="19" spans="2:7" ht="43.2" x14ac:dyDescent="0.3">
      <c r="B19" s="34" t="s">
        <v>2501</v>
      </c>
      <c r="C19" s="2" t="s">
        <v>2494</v>
      </c>
      <c r="D19" s="2" t="s">
        <v>3626</v>
      </c>
      <c r="E19" s="2" t="s">
        <v>3627</v>
      </c>
      <c r="F19" s="2" t="s">
        <v>4030</v>
      </c>
      <c r="G19" s="55" t="s">
        <v>2502</v>
      </c>
    </row>
    <row r="20" spans="2:7" x14ac:dyDescent="0.3">
      <c r="B20" s="1" t="s">
        <v>3718</v>
      </c>
      <c r="C20" s="49">
        <v>0.19692307692307692</v>
      </c>
      <c r="D20" s="49">
        <v>0.13846153846153847</v>
      </c>
      <c r="E20" s="49">
        <v>0.56615384615384612</v>
      </c>
      <c r="F20" s="49">
        <v>9.8461538461538461E-2</v>
      </c>
      <c r="G20" s="49">
        <v>1</v>
      </c>
    </row>
    <row r="21" spans="2:7" x14ac:dyDescent="0.3">
      <c r="B21" s="57" t="s">
        <v>2502</v>
      </c>
      <c r="C21" s="56">
        <v>0.19692307692307692</v>
      </c>
      <c r="D21" s="56">
        <v>0.13846153846153847</v>
      </c>
      <c r="E21" s="56">
        <v>0.56615384615384612</v>
      </c>
      <c r="F21" s="56">
        <v>9.8461538461538461E-2</v>
      </c>
      <c r="G21" s="56">
        <v>1</v>
      </c>
    </row>
    <row r="30" spans="2:7" ht="15" customHeight="1" x14ac:dyDescent="0.3">
      <c r="B30" s="129"/>
      <c r="C30" s="129"/>
      <c r="D30" s="129"/>
      <c r="E30" s="129"/>
    </row>
    <row r="31" spans="2:7" x14ac:dyDescent="0.3">
      <c r="B31" s="129"/>
      <c r="C31" s="129"/>
      <c r="D31" s="129"/>
      <c r="E31" s="129"/>
    </row>
  </sheetData>
  <mergeCells count="2">
    <mergeCell ref="B4:E4"/>
    <mergeCell ref="B30:E31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fitToHeight="0" orientation="landscape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>
    <tabColor theme="9" tint="0.39997558519241921"/>
  </sheetPr>
  <dimension ref="C12:U214"/>
  <sheetViews>
    <sheetView showGridLines="0" zoomScale="50" zoomScaleNormal="85" workbookViewId="0">
      <pane ySplit="9" topLeftCell="A21" activePane="bottomLeft" state="frozen"/>
      <selection pane="bottomLeft" activeCell="F37" sqref="F37"/>
    </sheetView>
  </sheetViews>
  <sheetFormatPr baseColWidth="10" defaultRowHeight="14.4" x14ac:dyDescent="0.3"/>
  <cols>
    <col min="3" max="3" width="26.109375" customWidth="1"/>
    <col min="4" max="5" width="26" customWidth="1"/>
    <col min="7" max="7" width="45.6640625" customWidth="1"/>
    <col min="8" max="8" width="24.33203125" customWidth="1"/>
    <col min="9" max="9" width="27.44140625" customWidth="1"/>
    <col min="11" max="11" width="26.109375" customWidth="1"/>
    <col min="12" max="12" width="33.6640625" customWidth="1"/>
    <col min="13" max="13" width="19.44140625" customWidth="1"/>
  </cols>
  <sheetData>
    <row r="12" spans="3:21" s="2" customFormat="1" x14ac:dyDescent="0.3">
      <c r="C12" s="34" t="s">
        <v>2601</v>
      </c>
      <c r="D12" s="2" t="s">
        <v>2565</v>
      </c>
    </row>
    <row r="13" spans="3:21" x14ac:dyDescent="0.3">
      <c r="C13" s="33" t="s">
        <v>2427</v>
      </c>
      <c r="D13" s="2">
        <v>350</v>
      </c>
    </row>
    <row r="15" spans="3:21" x14ac:dyDescent="0.3">
      <c r="C15" s="33"/>
      <c r="D15" s="2"/>
    </row>
    <row r="16" spans="3:21" x14ac:dyDescent="0.3">
      <c r="C16" s="130" t="s">
        <v>2596</v>
      </c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</row>
    <row r="17" spans="3:21" x14ac:dyDescent="0.3">
      <c r="C17" s="130"/>
      <c r="D17" s="130"/>
      <c r="E17" s="13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30"/>
      <c r="T17" s="130"/>
      <c r="U17" s="130"/>
    </row>
    <row r="18" spans="3:21" x14ac:dyDescent="0.3">
      <c r="C18" s="130"/>
      <c r="D18" s="130"/>
      <c r="E18" s="13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</row>
    <row r="22" spans="3:21" s="2" customFormat="1" ht="28.8" x14ac:dyDescent="0.3">
      <c r="C22" s="34" t="s">
        <v>128</v>
      </c>
      <c r="D22" s="2" t="s">
        <v>2566</v>
      </c>
      <c r="E22" s="2" t="s">
        <v>2503</v>
      </c>
      <c r="G22" s="34" t="s">
        <v>2382</v>
      </c>
      <c r="H22" s="2" t="s">
        <v>2560</v>
      </c>
      <c r="I22" s="2" t="s">
        <v>2504</v>
      </c>
      <c r="K22" s="34" t="s">
        <v>2392</v>
      </c>
      <c r="L22" s="2" t="s">
        <v>2561</v>
      </c>
      <c r="M22" s="2" t="s">
        <v>2585</v>
      </c>
    </row>
    <row r="23" spans="3:21" s="36" customFormat="1" x14ac:dyDescent="0.3">
      <c r="C23" s="36" t="s">
        <v>129</v>
      </c>
      <c r="D23" s="1">
        <v>164</v>
      </c>
      <c r="E23" s="35">
        <v>0.46857142857142858</v>
      </c>
      <c r="G23" s="33" t="s">
        <v>2497</v>
      </c>
      <c r="H23" s="2">
        <v>22</v>
      </c>
      <c r="I23" s="39">
        <v>6.2857142857142861E-2</v>
      </c>
      <c r="K23" s="33" t="s">
        <v>8</v>
      </c>
      <c r="L23" s="2">
        <v>337</v>
      </c>
      <c r="M23" s="39">
        <v>0.96285714285714286</v>
      </c>
    </row>
    <row r="24" spans="3:21" x14ac:dyDescent="0.3">
      <c r="C24" s="36" t="s">
        <v>130</v>
      </c>
      <c r="D24" s="1">
        <v>186</v>
      </c>
      <c r="E24" s="35">
        <v>0.53142857142857147</v>
      </c>
      <c r="G24" s="33" t="s">
        <v>2498</v>
      </c>
      <c r="H24" s="2">
        <v>29</v>
      </c>
      <c r="I24" s="39">
        <v>8.2857142857142851E-2</v>
      </c>
      <c r="K24" s="33" t="s">
        <v>9</v>
      </c>
      <c r="L24" s="2">
        <v>12</v>
      </c>
      <c r="M24" s="39">
        <v>3.4285714285714287E-2</v>
      </c>
    </row>
    <row r="25" spans="3:21" x14ac:dyDescent="0.3">
      <c r="C25" s="33" t="s">
        <v>2502</v>
      </c>
      <c r="D25" s="1">
        <v>350</v>
      </c>
      <c r="E25" s="35">
        <v>1</v>
      </c>
      <c r="G25" s="33" t="s">
        <v>2499</v>
      </c>
      <c r="H25" s="2">
        <v>299</v>
      </c>
      <c r="I25" s="39">
        <v>0.85428571428571431</v>
      </c>
      <c r="K25" s="33" t="s">
        <v>11</v>
      </c>
      <c r="L25" s="2">
        <v>1</v>
      </c>
      <c r="M25" s="39">
        <v>2.8571428571428571E-3</v>
      </c>
    </row>
    <row r="26" spans="3:21" x14ac:dyDescent="0.3">
      <c r="G26" s="33" t="s">
        <v>2502</v>
      </c>
      <c r="H26" s="2">
        <v>350</v>
      </c>
      <c r="I26" s="39">
        <v>1</v>
      </c>
      <c r="K26" s="33" t="s">
        <v>2502</v>
      </c>
      <c r="L26" s="2">
        <v>350</v>
      </c>
      <c r="M26" s="39">
        <v>1</v>
      </c>
    </row>
    <row r="45" spans="3:21" x14ac:dyDescent="0.3">
      <c r="C45" s="131" t="s">
        <v>2598</v>
      </c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</row>
    <row r="46" spans="3:21" x14ac:dyDescent="0.3"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</row>
    <row r="47" spans="3:21" x14ac:dyDescent="0.3"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</row>
    <row r="50" spans="3:13" x14ac:dyDescent="0.3">
      <c r="C50" s="34" t="s">
        <v>2583</v>
      </c>
      <c r="D50" s="2" t="s">
        <v>2562</v>
      </c>
      <c r="E50" s="2" t="s">
        <v>2563</v>
      </c>
      <c r="G50" s="54" t="s">
        <v>2584</v>
      </c>
      <c r="H50" t="s">
        <v>3657</v>
      </c>
      <c r="I50" t="s">
        <v>3658</v>
      </c>
      <c r="K50" s="34" t="s">
        <v>2484</v>
      </c>
      <c r="L50" s="2" t="s">
        <v>2567</v>
      </c>
      <c r="M50" s="2" t="s">
        <v>2568</v>
      </c>
    </row>
    <row r="51" spans="3:13" x14ac:dyDescent="0.3">
      <c r="C51" s="33" t="s">
        <v>2490</v>
      </c>
      <c r="D51" s="2">
        <v>21</v>
      </c>
      <c r="E51" s="39">
        <v>6.1046511627906974E-2</v>
      </c>
      <c r="G51" s="33" t="s">
        <v>2496</v>
      </c>
      <c r="H51" s="2">
        <v>347</v>
      </c>
      <c r="I51" s="49">
        <v>0.99142857142857144</v>
      </c>
      <c r="K51" s="33" t="s">
        <v>2457</v>
      </c>
      <c r="L51" s="2">
        <v>94</v>
      </c>
      <c r="M51" s="39">
        <v>0.27405247813411077</v>
      </c>
    </row>
    <row r="52" spans="3:13" x14ac:dyDescent="0.3">
      <c r="C52" s="33" t="s">
        <v>2443</v>
      </c>
      <c r="D52" s="2">
        <v>170</v>
      </c>
      <c r="E52" s="39">
        <v>0.4941860465116279</v>
      </c>
      <c r="G52" s="33" t="s">
        <v>2495</v>
      </c>
      <c r="H52" s="2">
        <v>3</v>
      </c>
      <c r="I52" s="49">
        <v>8.5714285714285719E-3</v>
      </c>
      <c r="K52" s="33" t="s">
        <v>2460</v>
      </c>
      <c r="L52" s="2">
        <v>26</v>
      </c>
      <c r="M52" s="39">
        <v>7.5801749271137031E-2</v>
      </c>
    </row>
    <row r="53" spans="3:13" x14ac:dyDescent="0.3">
      <c r="C53" s="33" t="s">
        <v>2444</v>
      </c>
      <c r="D53" s="2">
        <v>149</v>
      </c>
      <c r="E53" s="39">
        <v>0.43313953488372092</v>
      </c>
      <c r="G53" s="33" t="s">
        <v>2502</v>
      </c>
      <c r="H53" s="2">
        <v>350</v>
      </c>
      <c r="I53" s="49">
        <v>1</v>
      </c>
      <c r="K53" s="33" t="s">
        <v>2490</v>
      </c>
      <c r="L53" s="2">
        <v>21</v>
      </c>
      <c r="M53" s="39">
        <v>6.1224489795918366E-2</v>
      </c>
    </row>
    <row r="54" spans="3:13" x14ac:dyDescent="0.3">
      <c r="C54" s="33" t="s">
        <v>2613</v>
      </c>
      <c r="D54" s="2"/>
      <c r="E54" s="39">
        <v>0</v>
      </c>
      <c r="K54" s="33" t="s">
        <v>2455</v>
      </c>
      <c r="L54" s="2">
        <v>2</v>
      </c>
      <c r="M54" s="39">
        <v>5.8309037900874635E-3</v>
      </c>
    </row>
    <row r="55" spans="3:13" x14ac:dyDescent="0.3">
      <c r="C55" s="33" t="s">
        <v>2445</v>
      </c>
      <c r="D55" s="2">
        <v>4</v>
      </c>
      <c r="E55" s="39">
        <v>1.1627906976744186E-2</v>
      </c>
      <c r="K55" s="33" t="s">
        <v>2462</v>
      </c>
      <c r="L55" s="2">
        <v>49</v>
      </c>
      <c r="M55" s="39">
        <v>0.14285714285714285</v>
      </c>
    </row>
    <row r="56" spans="3:13" x14ac:dyDescent="0.3">
      <c r="C56" s="33" t="s">
        <v>2502</v>
      </c>
      <c r="D56" s="2">
        <v>344</v>
      </c>
      <c r="E56" s="39">
        <v>1</v>
      </c>
      <c r="K56" s="33" t="s">
        <v>2468</v>
      </c>
      <c r="L56" s="2">
        <v>32</v>
      </c>
      <c r="M56" s="39">
        <v>9.3294460641399415E-2</v>
      </c>
    </row>
    <row r="57" spans="3:13" x14ac:dyDescent="0.3">
      <c r="K57" s="33" t="s">
        <v>2450</v>
      </c>
      <c r="L57" s="2">
        <v>27</v>
      </c>
      <c r="M57" s="39">
        <v>7.8717201166180764E-2</v>
      </c>
    </row>
    <row r="58" spans="3:13" x14ac:dyDescent="0.3">
      <c r="K58" s="33" t="s">
        <v>2478</v>
      </c>
      <c r="L58" s="2">
        <v>1</v>
      </c>
      <c r="M58" s="39">
        <v>2.9154518950437317E-3</v>
      </c>
    </row>
    <row r="59" spans="3:13" x14ac:dyDescent="0.3">
      <c r="K59" s="33" t="s">
        <v>2466</v>
      </c>
      <c r="L59" s="2">
        <v>32</v>
      </c>
      <c r="M59" s="39">
        <v>9.3294460641399415E-2</v>
      </c>
    </row>
    <row r="60" spans="3:13" x14ac:dyDescent="0.3">
      <c r="K60" s="33" t="s">
        <v>4058</v>
      </c>
      <c r="L60" s="2">
        <v>2</v>
      </c>
      <c r="M60" s="39">
        <v>5.8309037900874635E-3</v>
      </c>
    </row>
    <row r="61" spans="3:13" x14ac:dyDescent="0.3">
      <c r="K61" s="33" t="s">
        <v>2448</v>
      </c>
      <c r="L61" s="2">
        <v>5</v>
      </c>
      <c r="M61" s="39">
        <v>1.4577259475218658E-2</v>
      </c>
    </row>
    <row r="62" spans="3:13" x14ac:dyDescent="0.3">
      <c r="K62" s="33" t="s">
        <v>2470</v>
      </c>
      <c r="L62" s="2">
        <v>15</v>
      </c>
      <c r="M62" s="39">
        <v>4.3731778425655975E-2</v>
      </c>
    </row>
    <row r="63" spans="3:13" x14ac:dyDescent="0.3">
      <c r="K63" s="33" t="s">
        <v>2464</v>
      </c>
      <c r="L63" s="2">
        <v>1</v>
      </c>
      <c r="M63" s="39">
        <v>2.9154518950437317E-3</v>
      </c>
    </row>
    <row r="64" spans="3:13" x14ac:dyDescent="0.3">
      <c r="K64" s="33" t="s">
        <v>2476</v>
      </c>
      <c r="L64" s="2">
        <v>4</v>
      </c>
      <c r="M64" s="39">
        <v>1.1661807580174927E-2</v>
      </c>
    </row>
    <row r="65" spans="11:13" x14ac:dyDescent="0.3">
      <c r="K65" s="33" t="s">
        <v>2613</v>
      </c>
      <c r="L65" s="2"/>
      <c r="M65" s="39">
        <v>0</v>
      </c>
    </row>
    <row r="66" spans="11:13" x14ac:dyDescent="0.3">
      <c r="K66" s="33" t="s">
        <v>4057</v>
      </c>
      <c r="L66" s="2">
        <v>2</v>
      </c>
      <c r="M66" s="39">
        <v>5.8309037900874635E-3</v>
      </c>
    </row>
    <row r="67" spans="11:13" x14ac:dyDescent="0.3">
      <c r="K67" s="33" t="s">
        <v>4066</v>
      </c>
      <c r="L67" s="2">
        <v>3</v>
      </c>
      <c r="M67" s="39">
        <v>8.7463556851311956E-3</v>
      </c>
    </row>
    <row r="68" spans="11:13" x14ac:dyDescent="0.3">
      <c r="K68" s="33" t="s">
        <v>4053</v>
      </c>
      <c r="L68" s="2">
        <v>1</v>
      </c>
      <c r="M68" s="39">
        <v>2.9154518950437317E-3</v>
      </c>
    </row>
    <row r="69" spans="11:13" x14ac:dyDescent="0.3">
      <c r="K69" s="33" t="s">
        <v>3763</v>
      </c>
      <c r="L69" s="2">
        <v>1</v>
      </c>
      <c r="M69" s="39">
        <v>2.9154518950437317E-3</v>
      </c>
    </row>
    <row r="70" spans="11:13" x14ac:dyDescent="0.3">
      <c r="K70" s="33" t="s">
        <v>4079</v>
      </c>
      <c r="L70" s="2">
        <v>2</v>
      </c>
      <c r="M70" s="39">
        <v>5.8309037900874635E-3</v>
      </c>
    </row>
    <row r="71" spans="11:13" x14ac:dyDescent="0.3">
      <c r="K71" s="33" t="s">
        <v>4056</v>
      </c>
      <c r="L71" s="2">
        <v>7</v>
      </c>
      <c r="M71" s="39">
        <v>2.0408163265306121E-2</v>
      </c>
    </row>
    <row r="72" spans="11:13" x14ac:dyDescent="0.3">
      <c r="K72" s="33" t="s">
        <v>2481</v>
      </c>
      <c r="L72" s="2">
        <v>1</v>
      </c>
      <c r="M72" s="39">
        <v>2.9154518950437317E-3</v>
      </c>
    </row>
    <row r="73" spans="11:13" x14ac:dyDescent="0.3">
      <c r="K73" s="33" t="s">
        <v>2485</v>
      </c>
      <c r="L73" s="2">
        <v>2</v>
      </c>
      <c r="M73" s="39">
        <v>5.8309037900874635E-3</v>
      </c>
    </row>
    <row r="74" spans="11:13" x14ac:dyDescent="0.3">
      <c r="K74" s="33" t="s">
        <v>3762</v>
      </c>
      <c r="L74" s="2">
        <v>2</v>
      </c>
      <c r="M74" s="39">
        <v>5.8309037900874635E-3</v>
      </c>
    </row>
    <row r="75" spans="11:13" x14ac:dyDescent="0.3">
      <c r="K75" s="33" t="s">
        <v>2486</v>
      </c>
      <c r="L75" s="2">
        <v>2</v>
      </c>
      <c r="M75" s="39">
        <v>5.8309037900874635E-3</v>
      </c>
    </row>
    <row r="76" spans="11:13" x14ac:dyDescent="0.3">
      <c r="K76" s="33" t="s">
        <v>2469</v>
      </c>
      <c r="L76" s="2">
        <v>1</v>
      </c>
      <c r="M76" s="39">
        <v>2.9154518950437317E-3</v>
      </c>
    </row>
    <row r="77" spans="11:13" x14ac:dyDescent="0.3">
      <c r="K77" s="33" t="s">
        <v>2479</v>
      </c>
      <c r="L77" s="2">
        <v>1</v>
      </c>
      <c r="M77" s="39">
        <v>2.9154518950437317E-3</v>
      </c>
    </row>
    <row r="78" spans="11:13" x14ac:dyDescent="0.3">
      <c r="K78" s="33" t="s">
        <v>4049</v>
      </c>
      <c r="L78" s="2">
        <v>1</v>
      </c>
      <c r="M78" s="39">
        <v>2.9154518950437317E-3</v>
      </c>
    </row>
    <row r="79" spans="11:13" x14ac:dyDescent="0.3">
      <c r="K79" s="33" t="s">
        <v>4071</v>
      </c>
      <c r="L79" s="2">
        <v>1</v>
      </c>
      <c r="M79" s="39">
        <v>2.9154518950437317E-3</v>
      </c>
    </row>
    <row r="80" spans="11:13" x14ac:dyDescent="0.3">
      <c r="K80" s="33" t="s">
        <v>4080</v>
      </c>
      <c r="L80" s="2">
        <v>1</v>
      </c>
      <c r="M80" s="39">
        <v>2.9154518950437317E-3</v>
      </c>
    </row>
    <row r="81" spans="3:13" ht="57.6" x14ac:dyDescent="0.3">
      <c r="C81" s="34" t="s">
        <v>2582</v>
      </c>
      <c r="D81" s="2" t="s">
        <v>2580</v>
      </c>
      <c r="E81" s="2" t="s">
        <v>2581</v>
      </c>
      <c r="G81" s="34" t="s">
        <v>2588</v>
      </c>
      <c r="H81" s="2" t="s">
        <v>2586</v>
      </c>
      <c r="I81" s="2" t="s">
        <v>2587</v>
      </c>
      <c r="K81" s="33" t="s">
        <v>4404</v>
      </c>
      <c r="L81" s="2">
        <v>1</v>
      </c>
      <c r="M81" s="39">
        <v>2.9154518950437317E-3</v>
      </c>
    </row>
    <row r="82" spans="3:13" x14ac:dyDescent="0.3">
      <c r="C82" s="33" t="s">
        <v>2613</v>
      </c>
      <c r="D82" s="2"/>
      <c r="E82" s="39">
        <v>0</v>
      </c>
      <c r="G82" s="33" t="s">
        <v>2496</v>
      </c>
      <c r="H82" s="2">
        <v>107</v>
      </c>
      <c r="I82" s="39">
        <v>0.34185303514376997</v>
      </c>
      <c r="K82" s="33" t="s">
        <v>4405</v>
      </c>
      <c r="L82" s="2">
        <v>3</v>
      </c>
      <c r="M82" s="39">
        <v>8.7463556851311956E-3</v>
      </c>
    </row>
    <row r="83" spans="3:13" x14ac:dyDescent="0.3">
      <c r="C83" s="33" t="s">
        <v>2495</v>
      </c>
      <c r="D83" s="2">
        <v>300</v>
      </c>
      <c r="E83" s="39">
        <v>0.91463414634146345</v>
      </c>
      <c r="G83" s="33" t="s">
        <v>2495</v>
      </c>
      <c r="H83" s="2">
        <v>205</v>
      </c>
      <c r="I83" s="39">
        <v>0.65495207667731625</v>
      </c>
      <c r="K83" s="33" t="s">
        <v>2502</v>
      </c>
      <c r="L83" s="2">
        <v>343</v>
      </c>
      <c r="M83" s="39">
        <v>1</v>
      </c>
    </row>
    <row r="84" spans="3:13" x14ac:dyDescent="0.3">
      <c r="C84" s="33" t="s">
        <v>2496</v>
      </c>
      <c r="D84" s="2">
        <v>28</v>
      </c>
      <c r="E84" s="39">
        <v>8.5365853658536592E-2</v>
      </c>
      <c r="G84" s="33" t="s">
        <v>2613</v>
      </c>
      <c r="H84" s="2"/>
      <c r="I84" s="39">
        <v>0</v>
      </c>
    </row>
    <row r="85" spans="3:13" x14ac:dyDescent="0.3">
      <c r="C85" s="33" t="s">
        <v>2502</v>
      </c>
      <c r="D85" s="2">
        <v>328</v>
      </c>
      <c r="E85" s="39">
        <v>1</v>
      </c>
      <c r="G85" s="33" t="s">
        <v>3709</v>
      </c>
      <c r="H85" s="2">
        <v>1</v>
      </c>
      <c r="I85" s="39">
        <v>3.1948881789137379E-3</v>
      </c>
    </row>
    <row r="86" spans="3:13" x14ac:dyDescent="0.3">
      <c r="G86" s="33" t="s">
        <v>2502</v>
      </c>
      <c r="H86" s="2">
        <v>313</v>
      </c>
      <c r="I86" s="39">
        <v>1</v>
      </c>
    </row>
    <row r="104" spans="3:21" x14ac:dyDescent="0.3">
      <c r="C104" s="132" t="s">
        <v>2597</v>
      </c>
      <c r="D104" s="132"/>
      <c r="E104" s="132"/>
      <c r="F104" s="132"/>
      <c r="G104" s="132"/>
      <c r="H104" s="132"/>
      <c r="I104" s="132"/>
      <c r="J104" s="132"/>
      <c r="K104" s="132"/>
      <c r="L104" s="132"/>
      <c r="M104" s="132"/>
      <c r="N104" s="132"/>
      <c r="O104" s="132"/>
      <c r="P104" s="132"/>
      <c r="Q104" s="132"/>
      <c r="R104" s="132"/>
      <c r="S104" s="132"/>
      <c r="T104" s="132"/>
      <c r="U104" s="132"/>
    </row>
    <row r="105" spans="3:21" x14ac:dyDescent="0.3">
      <c r="C105" s="132"/>
      <c r="D105" s="132"/>
      <c r="E105" s="132"/>
      <c r="F105" s="132"/>
      <c r="G105" s="132"/>
      <c r="H105" s="132"/>
      <c r="I105" s="132"/>
      <c r="J105" s="132"/>
      <c r="K105" s="132"/>
      <c r="L105" s="132"/>
      <c r="M105" s="132"/>
      <c r="N105" s="132"/>
      <c r="O105" s="132"/>
      <c r="P105" s="132"/>
      <c r="Q105" s="132"/>
      <c r="R105" s="132"/>
      <c r="S105" s="132"/>
      <c r="T105" s="132"/>
      <c r="U105" s="132"/>
    </row>
    <row r="106" spans="3:21" x14ac:dyDescent="0.3">
      <c r="C106" s="132"/>
      <c r="D106" s="132"/>
      <c r="E106" s="132"/>
      <c r="F106" s="132"/>
      <c r="G106" s="132"/>
      <c r="H106" s="132"/>
      <c r="I106" s="132"/>
      <c r="J106" s="132"/>
      <c r="K106" s="132"/>
      <c r="L106" s="132"/>
      <c r="M106" s="132"/>
      <c r="N106" s="132"/>
      <c r="O106" s="132"/>
      <c r="P106" s="132"/>
      <c r="Q106" s="132"/>
      <c r="R106" s="132"/>
      <c r="S106" s="132"/>
      <c r="T106" s="132"/>
      <c r="U106" s="132"/>
    </row>
    <row r="109" spans="3:21" ht="43.2" x14ac:dyDescent="0.3">
      <c r="C109" s="34" t="s">
        <v>2401</v>
      </c>
      <c r="D109" s="2" t="s">
        <v>2589</v>
      </c>
      <c r="E109" s="2" t="s">
        <v>2590</v>
      </c>
      <c r="G109" s="34" t="s">
        <v>2611</v>
      </c>
      <c r="H109" s="2" t="s">
        <v>2609</v>
      </c>
      <c r="I109" s="2" t="s">
        <v>2610</v>
      </c>
      <c r="K109" s="34" t="s">
        <v>2404</v>
      </c>
      <c r="L109" s="2" t="s">
        <v>2591</v>
      </c>
      <c r="M109" s="2" t="s">
        <v>2592</v>
      </c>
    </row>
    <row r="110" spans="3:21" x14ac:dyDescent="0.3">
      <c r="C110" s="33" t="s">
        <v>140</v>
      </c>
      <c r="D110" s="2">
        <v>342</v>
      </c>
      <c r="E110" s="39">
        <v>0.97714285714285709</v>
      </c>
      <c r="G110" s="33" t="s">
        <v>2606</v>
      </c>
      <c r="H110" s="2">
        <v>2</v>
      </c>
      <c r="I110" s="39">
        <v>5.7306590257879654E-3</v>
      </c>
      <c r="K110" s="33" t="s">
        <v>3731</v>
      </c>
      <c r="L110" s="2">
        <v>48</v>
      </c>
      <c r="M110" s="39">
        <v>0.14906832298136646</v>
      </c>
    </row>
    <row r="111" spans="3:21" x14ac:dyDescent="0.3">
      <c r="C111" s="33" t="s">
        <v>141</v>
      </c>
      <c r="D111" s="2">
        <v>8</v>
      </c>
      <c r="E111" s="39">
        <v>2.2857142857142857E-2</v>
      </c>
      <c r="G111" s="33" t="s">
        <v>2613</v>
      </c>
      <c r="H111" s="2"/>
      <c r="I111" s="39">
        <v>0</v>
      </c>
      <c r="K111" s="33" t="s">
        <v>4046</v>
      </c>
      <c r="L111" s="2">
        <v>36</v>
      </c>
      <c r="M111" s="39">
        <v>0.11180124223602485</v>
      </c>
    </row>
    <row r="112" spans="3:21" x14ac:dyDescent="0.3">
      <c r="C112" s="33" t="s">
        <v>2502</v>
      </c>
      <c r="D112" s="2">
        <v>350</v>
      </c>
      <c r="E112" s="39">
        <v>1</v>
      </c>
      <c r="G112" s="33" t="s">
        <v>151</v>
      </c>
      <c r="H112" s="2">
        <v>347</v>
      </c>
      <c r="I112" s="39">
        <v>0.99426934097421205</v>
      </c>
      <c r="K112" s="33" t="s">
        <v>3723</v>
      </c>
      <c r="L112" s="2">
        <v>32</v>
      </c>
      <c r="M112" s="39">
        <v>9.9378881987577633E-2</v>
      </c>
    </row>
    <row r="113" spans="7:13" x14ac:dyDescent="0.3">
      <c r="G113" s="33" t="s">
        <v>2502</v>
      </c>
      <c r="H113" s="2">
        <v>349</v>
      </c>
      <c r="I113" s="39">
        <v>1</v>
      </c>
      <c r="K113" s="33" t="s">
        <v>3741</v>
      </c>
      <c r="L113" s="2">
        <v>25</v>
      </c>
      <c r="M113" s="39">
        <v>7.7639751552795025E-2</v>
      </c>
    </row>
    <row r="114" spans="7:13" x14ac:dyDescent="0.3">
      <c r="K114" s="33" t="s">
        <v>4051</v>
      </c>
      <c r="L114" s="2">
        <v>19</v>
      </c>
      <c r="M114" s="39">
        <v>5.9006211180124224E-2</v>
      </c>
    </row>
    <row r="115" spans="7:13" x14ac:dyDescent="0.3">
      <c r="K115" s="33" t="s">
        <v>3744</v>
      </c>
      <c r="L115" s="2">
        <v>16</v>
      </c>
      <c r="M115" s="39">
        <v>4.9689440993788817E-2</v>
      </c>
    </row>
    <row r="116" spans="7:13" x14ac:dyDescent="0.3">
      <c r="K116" s="33" t="s">
        <v>3718</v>
      </c>
      <c r="L116" s="2">
        <v>13</v>
      </c>
      <c r="M116" s="39">
        <v>4.0372670807453416E-2</v>
      </c>
    </row>
    <row r="117" spans="7:13" x14ac:dyDescent="0.3">
      <c r="K117" s="33" t="s">
        <v>3755</v>
      </c>
      <c r="L117" s="2">
        <v>13</v>
      </c>
      <c r="M117" s="39">
        <v>4.0372670807453416E-2</v>
      </c>
    </row>
    <row r="118" spans="7:13" x14ac:dyDescent="0.3">
      <c r="K118" s="33" t="s">
        <v>3735</v>
      </c>
      <c r="L118" s="2">
        <v>12</v>
      </c>
      <c r="M118" s="39">
        <v>3.7267080745341616E-2</v>
      </c>
    </row>
    <row r="119" spans="7:13" x14ac:dyDescent="0.3">
      <c r="K119" s="33" t="s">
        <v>4054</v>
      </c>
      <c r="L119" s="2">
        <v>8</v>
      </c>
      <c r="M119" s="39">
        <v>2.4844720496894408E-2</v>
      </c>
    </row>
    <row r="120" spans="7:13" x14ac:dyDescent="0.3">
      <c r="K120" s="33" t="s">
        <v>3733</v>
      </c>
      <c r="L120" s="2">
        <v>8</v>
      </c>
      <c r="M120" s="39">
        <v>2.4844720496894408E-2</v>
      </c>
    </row>
    <row r="121" spans="7:13" x14ac:dyDescent="0.3">
      <c r="K121" s="33" t="s">
        <v>3739</v>
      </c>
      <c r="L121" s="2">
        <v>8</v>
      </c>
      <c r="M121" s="39">
        <v>2.4844720496894408E-2</v>
      </c>
    </row>
    <row r="122" spans="7:13" x14ac:dyDescent="0.3">
      <c r="K122" s="33" t="s">
        <v>3749</v>
      </c>
      <c r="L122" s="2">
        <v>7</v>
      </c>
      <c r="M122" s="39">
        <v>2.1739130434782608E-2</v>
      </c>
    </row>
    <row r="123" spans="7:13" x14ac:dyDescent="0.3">
      <c r="K123" s="33" t="s">
        <v>3742</v>
      </c>
      <c r="L123" s="2">
        <v>5</v>
      </c>
      <c r="M123" s="39">
        <v>1.5527950310559006E-2</v>
      </c>
    </row>
    <row r="124" spans="7:13" x14ac:dyDescent="0.3">
      <c r="K124" s="33" t="s">
        <v>4035</v>
      </c>
      <c r="L124" s="2">
        <v>5</v>
      </c>
      <c r="M124" s="39">
        <v>1.5527950310559006E-2</v>
      </c>
    </row>
    <row r="125" spans="7:13" x14ac:dyDescent="0.3">
      <c r="K125" s="33" t="s">
        <v>3743</v>
      </c>
      <c r="L125" s="2">
        <v>4</v>
      </c>
      <c r="M125" s="39">
        <v>1.2422360248447204E-2</v>
      </c>
    </row>
    <row r="126" spans="7:13" x14ac:dyDescent="0.3">
      <c r="K126" s="33" t="s">
        <v>3736</v>
      </c>
      <c r="L126" s="2">
        <v>4</v>
      </c>
      <c r="M126" s="39">
        <v>1.2422360248447204E-2</v>
      </c>
    </row>
    <row r="127" spans="7:13" x14ac:dyDescent="0.3">
      <c r="K127" s="33" t="s">
        <v>3748</v>
      </c>
      <c r="L127" s="2">
        <v>3</v>
      </c>
      <c r="M127" s="39">
        <v>9.316770186335404E-3</v>
      </c>
    </row>
    <row r="128" spans="7:13" x14ac:dyDescent="0.3">
      <c r="K128" s="33" t="s">
        <v>4070</v>
      </c>
      <c r="L128" s="2">
        <v>3</v>
      </c>
      <c r="M128" s="39">
        <v>9.316770186335404E-3</v>
      </c>
    </row>
    <row r="129" spans="11:13" x14ac:dyDescent="0.3">
      <c r="K129" s="33" t="s">
        <v>3757</v>
      </c>
      <c r="L129" s="2">
        <v>2</v>
      </c>
      <c r="M129" s="39">
        <v>6.2111801242236021E-3</v>
      </c>
    </row>
    <row r="130" spans="11:13" x14ac:dyDescent="0.3">
      <c r="K130" s="33" t="s">
        <v>3747</v>
      </c>
      <c r="L130" s="2">
        <v>2</v>
      </c>
      <c r="M130" s="39">
        <v>6.2111801242236021E-3</v>
      </c>
    </row>
    <row r="131" spans="11:13" x14ac:dyDescent="0.3">
      <c r="K131" s="33" t="s">
        <v>4067</v>
      </c>
      <c r="L131" s="2">
        <v>2</v>
      </c>
      <c r="M131" s="39">
        <v>6.2111801242236021E-3</v>
      </c>
    </row>
    <row r="132" spans="11:13" x14ac:dyDescent="0.3">
      <c r="K132" s="33" t="s">
        <v>3737</v>
      </c>
      <c r="L132" s="2">
        <v>2</v>
      </c>
      <c r="M132" s="39">
        <v>6.2111801242236021E-3</v>
      </c>
    </row>
    <row r="133" spans="11:13" x14ac:dyDescent="0.3">
      <c r="K133" s="33" t="s">
        <v>4052</v>
      </c>
      <c r="L133" s="2">
        <v>2</v>
      </c>
      <c r="M133" s="39">
        <v>6.2111801242236021E-3</v>
      </c>
    </row>
    <row r="134" spans="11:13" x14ac:dyDescent="0.3">
      <c r="K134" s="33" t="s">
        <v>4022</v>
      </c>
      <c r="L134" s="2">
        <v>2</v>
      </c>
      <c r="M134" s="39">
        <v>6.2111801242236021E-3</v>
      </c>
    </row>
    <row r="135" spans="11:13" x14ac:dyDescent="0.3">
      <c r="K135" s="33" t="s">
        <v>3098</v>
      </c>
      <c r="L135" s="2">
        <v>2</v>
      </c>
      <c r="M135" s="39">
        <v>6.2111801242236021E-3</v>
      </c>
    </row>
    <row r="136" spans="11:13" x14ac:dyDescent="0.3">
      <c r="K136" s="33" t="s">
        <v>3732</v>
      </c>
      <c r="L136" s="2">
        <v>2</v>
      </c>
      <c r="M136" s="39">
        <v>6.2111801242236021E-3</v>
      </c>
    </row>
    <row r="137" spans="11:13" x14ac:dyDescent="0.3">
      <c r="K137" s="33" t="s">
        <v>4041</v>
      </c>
      <c r="L137" s="2">
        <v>2</v>
      </c>
      <c r="M137" s="39">
        <v>6.2111801242236021E-3</v>
      </c>
    </row>
    <row r="138" spans="11:13" x14ac:dyDescent="0.3">
      <c r="K138" s="33" t="s">
        <v>3752</v>
      </c>
      <c r="L138" s="2">
        <v>2</v>
      </c>
      <c r="M138" s="39">
        <v>6.2111801242236021E-3</v>
      </c>
    </row>
    <row r="139" spans="11:13" x14ac:dyDescent="0.3">
      <c r="K139" s="33" t="s">
        <v>3745</v>
      </c>
      <c r="L139" s="2">
        <v>2</v>
      </c>
      <c r="M139" s="39">
        <v>6.2111801242236021E-3</v>
      </c>
    </row>
    <row r="140" spans="11:13" x14ac:dyDescent="0.3">
      <c r="K140" s="33" t="s">
        <v>4037</v>
      </c>
      <c r="L140" s="2">
        <v>1</v>
      </c>
      <c r="M140" s="39">
        <v>3.105590062111801E-3</v>
      </c>
    </row>
    <row r="141" spans="11:13" x14ac:dyDescent="0.3">
      <c r="K141" s="33" t="s">
        <v>4055</v>
      </c>
      <c r="L141" s="2">
        <v>1</v>
      </c>
      <c r="M141" s="39">
        <v>3.105590062111801E-3</v>
      </c>
    </row>
    <row r="142" spans="11:13" x14ac:dyDescent="0.3">
      <c r="K142" s="33" t="s">
        <v>4044</v>
      </c>
      <c r="L142" s="2">
        <v>1</v>
      </c>
      <c r="M142" s="39">
        <v>3.105590062111801E-3</v>
      </c>
    </row>
    <row r="143" spans="11:13" x14ac:dyDescent="0.3">
      <c r="K143" s="33" t="s">
        <v>3726</v>
      </c>
      <c r="L143" s="2">
        <v>1</v>
      </c>
      <c r="M143" s="39">
        <v>3.105590062111801E-3</v>
      </c>
    </row>
    <row r="144" spans="11:13" x14ac:dyDescent="0.3">
      <c r="K144" s="33" t="s">
        <v>4068</v>
      </c>
      <c r="L144" s="2">
        <v>1</v>
      </c>
      <c r="M144" s="39">
        <v>3.105590062111801E-3</v>
      </c>
    </row>
    <row r="145" spans="11:13" x14ac:dyDescent="0.3">
      <c r="K145" s="33" t="s">
        <v>3734</v>
      </c>
      <c r="L145" s="2">
        <v>1</v>
      </c>
      <c r="M145" s="39">
        <v>3.105590062111801E-3</v>
      </c>
    </row>
    <row r="146" spans="11:13" x14ac:dyDescent="0.3">
      <c r="K146" s="33" t="s">
        <v>4043</v>
      </c>
      <c r="L146" s="2">
        <v>1</v>
      </c>
      <c r="M146" s="39">
        <v>3.105590062111801E-3</v>
      </c>
    </row>
    <row r="147" spans="11:13" x14ac:dyDescent="0.3">
      <c r="K147" s="33" t="s">
        <v>2744</v>
      </c>
      <c r="L147" s="2">
        <v>1</v>
      </c>
      <c r="M147" s="39">
        <v>3.105590062111801E-3</v>
      </c>
    </row>
    <row r="148" spans="11:13" x14ac:dyDescent="0.3">
      <c r="K148" s="33" t="s">
        <v>4061</v>
      </c>
      <c r="L148" s="2">
        <v>1</v>
      </c>
      <c r="M148" s="39">
        <v>3.105590062111801E-3</v>
      </c>
    </row>
    <row r="149" spans="11:13" x14ac:dyDescent="0.3">
      <c r="K149" s="33" t="s">
        <v>4408</v>
      </c>
      <c r="L149" s="2">
        <v>1</v>
      </c>
      <c r="M149" s="39">
        <v>3.105590062111801E-3</v>
      </c>
    </row>
    <row r="150" spans="11:13" x14ac:dyDescent="0.3">
      <c r="K150" s="33" t="s">
        <v>3730</v>
      </c>
      <c r="L150" s="2">
        <v>1</v>
      </c>
      <c r="M150" s="39">
        <v>3.105590062111801E-3</v>
      </c>
    </row>
    <row r="151" spans="11:13" x14ac:dyDescent="0.3">
      <c r="K151" s="33" t="s">
        <v>3740</v>
      </c>
      <c r="L151" s="2">
        <v>1</v>
      </c>
      <c r="M151" s="39">
        <v>3.105590062111801E-3</v>
      </c>
    </row>
    <row r="152" spans="11:13" x14ac:dyDescent="0.3">
      <c r="K152" s="33" t="s">
        <v>4081</v>
      </c>
      <c r="L152" s="2">
        <v>1</v>
      </c>
      <c r="M152" s="39">
        <v>3.105590062111801E-3</v>
      </c>
    </row>
    <row r="153" spans="11:13" x14ac:dyDescent="0.3">
      <c r="K153" s="33" t="s">
        <v>71</v>
      </c>
      <c r="L153" s="2">
        <v>1</v>
      </c>
      <c r="M153" s="39">
        <v>3.105590062111801E-3</v>
      </c>
    </row>
    <row r="154" spans="11:13" x14ac:dyDescent="0.3">
      <c r="K154" s="33" t="s">
        <v>4038</v>
      </c>
      <c r="L154" s="2">
        <v>1</v>
      </c>
      <c r="M154" s="39">
        <v>3.105590062111801E-3</v>
      </c>
    </row>
    <row r="155" spans="11:13" x14ac:dyDescent="0.3">
      <c r="K155" s="33" t="s">
        <v>2878</v>
      </c>
      <c r="L155" s="2">
        <v>1</v>
      </c>
      <c r="M155" s="39">
        <v>3.105590062111801E-3</v>
      </c>
    </row>
    <row r="156" spans="11:13" x14ac:dyDescent="0.3">
      <c r="K156" s="33" t="s">
        <v>4042</v>
      </c>
      <c r="L156" s="2">
        <v>1</v>
      </c>
      <c r="M156" s="39">
        <v>3.105590062111801E-3</v>
      </c>
    </row>
    <row r="157" spans="11:13" x14ac:dyDescent="0.3">
      <c r="K157" s="33" t="s">
        <v>3754</v>
      </c>
      <c r="L157" s="2">
        <v>1</v>
      </c>
      <c r="M157" s="39">
        <v>3.105590062111801E-3</v>
      </c>
    </row>
    <row r="158" spans="11:13" x14ac:dyDescent="0.3">
      <c r="K158" s="33" t="s">
        <v>2640</v>
      </c>
      <c r="L158" s="2">
        <v>1</v>
      </c>
      <c r="M158" s="39">
        <v>3.105590062111801E-3</v>
      </c>
    </row>
    <row r="159" spans="11:13" x14ac:dyDescent="0.3">
      <c r="K159" s="33" t="s">
        <v>3750</v>
      </c>
      <c r="L159" s="2">
        <v>1</v>
      </c>
      <c r="M159" s="39">
        <v>3.105590062111801E-3</v>
      </c>
    </row>
    <row r="160" spans="11:13" x14ac:dyDescent="0.3">
      <c r="K160" s="33" t="s">
        <v>3746</v>
      </c>
      <c r="L160" s="2">
        <v>1</v>
      </c>
      <c r="M160" s="39">
        <v>3.105590062111801E-3</v>
      </c>
    </row>
    <row r="161" spans="11:13" x14ac:dyDescent="0.3">
      <c r="K161" s="33" t="s">
        <v>3751</v>
      </c>
      <c r="L161" s="2">
        <v>1</v>
      </c>
      <c r="M161" s="39">
        <v>3.105590062111801E-3</v>
      </c>
    </row>
    <row r="162" spans="11:13" x14ac:dyDescent="0.3">
      <c r="K162" s="33" t="s">
        <v>4403</v>
      </c>
      <c r="L162" s="2">
        <v>1</v>
      </c>
      <c r="M162" s="39">
        <v>3.105590062111801E-3</v>
      </c>
    </row>
    <row r="163" spans="11:13" x14ac:dyDescent="0.3">
      <c r="K163" s="33" t="s">
        <v>3753</v>
      </c>
      <c r="L163" s="2">
        <v>1</v>
      </c>
      <c r="M163" s="39">
        <v>3.105590062111801E-3</v>
      </c>
    </row>
    <row r="164" spans="11:13" x14ac:dyDescent="0.3">
      <c r="K164" s="33" t="s">
        <v>4045</v>
      </c>
      <c r="L164" s="2">
        <v>1</v>
      </c>
      <c r="M164" s="39">
        <v>3.105590062111801E-3</v>
      </c>
    </row>
    <row r="165" spans="11:13" x14ac:dyDescent="0.3">
      <c r="K165" s="33" t="s">
        <v>4033</v>
      </c>
      <c r="L165" s="2">
        <v>1</v>
      </c>
      <c r="M165" s="39">
        <v>3.105590062111801E-3</v>
      </c>
    </row>
    <row r="166" spans="11:13" x14ac:dyDescent="0.3">
      <c r="K166" s="33" t="s">
        <v>3686</v>
      </c>
      <c r="L166" s="2">
        <v>1</v>
      </c>
      <c r="M166" s="39">
        <v>3.105590062111801E-3</v>
      </c>
    </row>
    <row r="167" spans="11:13" x14ac:dyDescent="0.3">
      <c r="K167" s="33" t="s">
        <v>3758</v>
      </c>
      <c r="L167" s="2">
        <v>1</v>
      </c>
      <c r="M167" s="39">
        <v>3.105590062111801E-3</v>
      </c>
    </row>
    <row r="168" spans="11:13" x14ac:dyDescent="0.3">
      <c r="K168" s="33" t="s">
        <v>3199</v>
      </c>
      <c r="L168" s="2">
        <v>1</v>
      </c>
      <c r="M168" s="39">
        <v>3.105590062111801E-3</v>
      </c>
    </row>
    <row r="169" spans="11:13" x14ac:dyDescent="0.3">
      <c r="K169" s="33" t="s">
        <v>3759</v>
      </c>
      <c r="L169" s="2">
        <v>1</v>
      </c>
      <c r="M169" s="39">
        <v>3.105590062111801E-3</v>
      </c>
    </row>
    <row r="170" spans="11:13" x14ac:dyDescent="0.3">
      <c r="K170" s="33" t="s">
        <v>4031</v>
      </c>
      <c r="L170" s="2">
        <v>1</v>
      </c>
      <c r="M170" s="39">
        <v>3.105590062111801E-3</v>
      </c>
    </row>
    <row r="171" spans="11:13" x14ac:dyDescent="0.3">
      <c r="K171" s="33" t="s">
        <v>2613</v>
      </c>
      <c r="L171" s="2"/>
      <c r="M171" s="39">
        <v>0</v>
      </c>
    </row>
    <row r="172" spans="11:13" x14ac:dyDescent="0.3">
      <c r="K172" s="33" t="s">
        <v>2502</v>
      </c>
      <c r="L172" s="2">
        <v>322</v>
      </c>
      <c r="M172" s="39">
        <v>1</v>
      </c>
    </row>
    <row r="184" spans="3:13" x14ac:dyDescent="0.3">
      <c r="L184" s="2"/>
    </row>
    <row r="185" spans="3:13" x14ac:dyDescent="0.3">
      <c r="L185" s="2"/>
    </row>
    <row r="186" spans="3:13" x14ac:dyDescent="0.3">
      <c r="L186" s="2"/>
    </row>
    <row r="187" spans="3:13" x14ac:dyDescent="0.3">
      <c r="L187" s="2"/>
    </row>
    <row r="190" spans="3:13" ht="28.8" x14ac:dyDescent="0.3">
      <c r="C190" s="34" t="s">
        <v>2402</v>
      </c>
      <c r="D190" s="2" t="s">
        <v>2505</v>
      </c>
      <c r="E190" s="2" t="s">
        <v>2564</v>
      </c>
      <c r="G190" s="34" t="s">
        <v>2501</v>
      </c>
      <c r="H190" s="2" t="s">
        <v>2593</v>
      </c>
      <c r="I190" s="2" t="s">
        <v>2594</v>
      </c>
      <c r="K190" s="34" t="s">
        <v>2501</v>
      </c>
      <c r="L190" s="2" t="s">
        <v>2614</v>
      </c>
      <c r="M190" s="2" t="s">
        <v>3589</v>
      </c>
    </row>
    <row r="191" spans="3:13" x14ac:dyDescent="0.3">
      <c r="C191" s="33">
        <v>1</v>
      </c>
      <c r="D191" s="2">
        <v>323</v>
      </c>
      <c r="E191" s="39">
        <v>0.94169096209912539</v>
      </c>
      <c r="G191" s="33" t="s">
        <v>2496</v>
      </c>
      <c r="H191" s="2">
        <v>203</v>
      </c>
      <c r="I191" s="39">
        <v>0.60237388724035612</v>
      </c>
      <c r="K191" s="60" t="s">
        <v>2613</v>
      </c>
      <c r="L191" s="2"/>
      <c r="M191" s="39">
        <v>0</v>
      </c>
    </row>
    <row r="192" spans="3:13" x14ac:dyDescent="0.3">
      <c r="C192" s="33">
        <v>2</v>
      </c>
      <c r="D192" s="2">
        <v>20</v>
      </c>
      <c r="E192" s="39">
        <v>5.8309037900874633E-2</v>
      </c>
      <c r="G192" s="33" t="s">
        <v>2495</v>
      </c>
      <c r="H192" s="2">
        <v>134</v>
      </c>
      <c r="I192" s="39">
        <v>0.39762611275964393</v>
      </c>
      <c r="K192" s="60" t="s">
        <v>3600</v>
      </c>
      <c r="L192" s="2">
        <v>4</v>
      </c>
      <c r="M192" s="39">
        <v>2.9629629629629631E-2</v>
      </c>
    </row>
    <row r="193" spans="3:13" x14ac:dyDescent="0.3">
      <c r="C193" s="33">
        <v>0</v>
      </c>
      <c r="D193" s="2">
        <v>0</v>
      </c>
      <c r="E193" s="39">
        <v>0</v>
      </c>
      <c r="G193" s="33" t="s">
        <v>2613</v>
      </c>
      <c r="H193" s="2"/>
      <c r="I193" s="39">
        <v>0</v>
      </c>
      <c r="K193" s="60" t="s">
        <v>3653</v>
      </c>
      <c r="L193" s="2">
        <v>8</v>
      </c>
      <c r="M193" s="39">
        <v>5.9259259259259262E-2</v>
      </c>
    </row>
    <row r="194" spans="3:13" x14ac:dyDescent="0.3">
      <c r="C194" s="33" t="s">
        <v>2613</v>
      </c>
      <c r="D194" s="2"/>
      <c r="E194" s="39">
        <v>0</v>
      </c>
      <c r="G194" s="33" t="s">
        <v>2502</v>
      </c>
      <c r="H194" s="2">
        <v>337</v>
      </c>
      <c r="I194" s="39">
        <v>1</v>
      </c>
      <c r="K194" s="60" t="s">
        <v>3592</v>
      </c>
      <c r="L194" s="2">
        <v>15</v>
      </c>
      <c r="M194" s="39">
        <v>0.1111111111111111</v>
      </c>
    </row>
    <row r="195" spans="3:13" x14ac:dyDescent="0.3">
      <c r="C195" s="33" t="s">
        <v>4059</v>
      </c>
      <c r="D195" s="2">
        <v>0</v>
      </c>
      <c r="E195" s="39">
        <v>0</v>
      </c>
      <c r="K195" s="60" t="s">
        <v>3595</v>
      </c>
      <c r="L195" s="2">
        <v>10</v>
      </c>
      <c r="M195" s="39">
        <v>7.407407407407407E-2</v>
      </c>
    </row>
    <row r="196" spans="3:13" x14ac:dyDescent="0.3">
      <c r="C196" s="33" t="s">
        <v>2502</v>
      </c>
      <c r="D196" s="1">
        <v>343</v>
      </c>
      <c r="E196" s="35">
        <v>1</v>
      </c>
      <c r="K196" s="60" t="s">
        <v>3594</v>
      </c>
      <c r="L196" s="2">
        <v>11</v>
      </c>
      <c r="M196" s="39">
        <v>8.1481481481481488E-2</v>
      </c>
    </row>
    <row r="197" spans="3:13" x14ac:dyDescent="0.3">
      <c r="K197" s="60" t="s">
        <v>3602</v>
      </c>
      <c r="L197" s="2">
        <v>9</v>
      </c>
      <c r="M197" s="39">
        <v>6.6666666666666666E-2</v>
      </c>
    </row>
    <row r="198" spans="3:13" x14ac:dyDescent="0.3">
      <c r="K198" s="60" t="s">
        <v>3598</v>
      </c>
      <c r="L198" s="2">
        <v>6</v>
      </c>
      <c r="M198" s="39">
        <v>4.4444444444444446E-2</v>
      </c>
    </row>
    <row r="199" spans="3:13" x14ac:dyDescent="0.3">
      <c r="K199" s="60" t="s">
        <v>3599</v>
      </c>
      <c r="L199" s="2">
        <v>3</v>
      </c>
      <c r="M199" s="39">
        <v>2.2222222222222223E-2</v>
      </c>
    </row>
    <row r="200" spans="3:13" x14ac:dyDescent="0.3">
      <c r="K200" s="60" t="s">
        <v>3605</v>
      </c>
      <c r="L200" s="2">
        <v>9</v>
      </c>
      <c r="M200" s="39">
        <v>6.6666666666666666E-2</v>
      </c>
    </row>
    <row r="201" spans="3:13" x14ac:dyDescent="0.3">
      <c r="K201" s="60" t="s">
        <v>3591</v>
      </c>
      <c r="L201" s="2">
        <v>14</v>
      </c>
      <c r="M201" s="39">
        <v>0.1037037037037037</v>
      </c>
    </row>
    <row r="202" spans="3:13" x14ac:dyDescent="0.3">
      <c r="K202" s="60" t="s">
        <v>3604</v>
      </c>
      <c r="L202" s="2">
        <v>1</v>
      </c>
      <c r="M202" s="39">
        <v>7.4074074074074077E-3</v>
      </c>
    </row>
    <row r="203" spans="3:13" x14ac:dyDescent="0.3">
      <c r="K203" s="60" t="s">
        <v>3593</v>
      </c>
      <c r="L203" s="2">
        <v>10</v>
      </c>
      <c r="M203" s="39">
        <v>7.407407407407407E-2</v>
      </c>
    </row>
    <row r="204" spans="3:13" x14ac:dyDescent="0.3">
      <c r="K204" s="60" t="s">
        <v>3596</v>
      </c>
      <c r="L204" s="2">
        <v>1</v>
      </c>
      <c r="M204" s="39">
        <v>7.4074074074074077E-3</v>
      </c>
    </row>
    <row r="205" spans="3:13" x14ac:dyDescent="0.3">
      <c r="K205" s="60" t="s">
        <v>3601</v>
      </c>
      <c r="L205" s="2">
        <v>8</v>
      </c>
      <c r="M205" s="39">
        <v>5.9259259259259262E-2</v>
      </c>
    </row>
    <row r="206" spans="3:13" x14ac:dyDescent="0.3">
      <c r="K206" s="60" t="s">
        <v>3606</v>
      </c>
      <c r="L206" s="2">
        <v>5</v>
      </c>
      <c r="M206" s="39">
        <v>3.7037037037037035E-2</v>
      </c>
    </row>
    <row r="207" spans="3:13" x14ac:dyDescent="0.3">
      <c r="K207" s="60" t="s">
        <v>3590</v>
      </c>
      <c r="L207" s="2">
        <v>6</v>
      </c>
      <c r="M207" s="39">
        <v>4.4444444444444446E-2</v>
      </c>
    </row>
    <row r="208" spans="3:13" x14ac:dyDescent="0.3">
      <c r="K208" s="60" t="s">
        <v>3603</v>
      </c>
      <c r="L208" s="2">
        <v>2</v>
      </c>
      <c r="M208" s="39">
        <v>1.4814814814814815E-2</v>
      </c>
    </row>
    <row r="209" spans="11:16" x14ac:dyDescent="0.3">
      <c r="K209" s="60" t="s">
        <v>3597</v>
      </c>
      <c r="L209" s="2">
        <v>2</v>
      </c>
      <c r="M209" s="39">
        <v>1.4814814814814815E-2</v>
      </c>
    </row>
    <row r="210" spans="11:16" x14ac:dyDescent="0.3">
      <c r="K210" s="60" t="s">
        <v>3652</v>
      </c>
      <c r="L210" s="2">
        <v>8</v>
      </c>
      <c r="M210" s="39">
        <v>5.9259259259259262E-2</v>
      </c>
    </row>
    <row r="211" spans="11:16" x14ac:dyDescent="0.3">
      <c r="K211" s="60" t="s">
        <v>4050</v>
      </c>
      <c r="L211" s="2">
        <v>1</v>
      </c>
      <c r="M211" s="39">
        <v>7.4074074074074077E-3</v>
      </c>
    </row>
    <row r="212" spans="11:16" x14ac:dyDescent="0.3">
      <c r="K212" s="60" t="s">
        <v>4069</v>
      </c>
      <c r="L212" s="2">
        <v>1</v>
      </c>
      <c r="M212" s="39">
        <v>7.4074074074074077E-3</v>
      </c>
      <c r="P212" s="61"/>
    </row>
    <row r="213" spans="11:16" x14ac:dyDescent="0.3">
      <c r="K213" s="60" t="s">
        <v>2496</v>
      </c>
      <c r="L213" s="2">
        <v>1</v>
      </c>
      <c r="M213" s="39">
        <v>7.4074074074074077E-3</v>
      </c>
      <c r="P213" s="61"/>
    </row>
    <row r="214" spans="11:16" x14ac:dyDescent="0.3">
      <c r="K214" s="33" t="s">
        <v>2502</v>
      </c>
      <c r="L214" s="2">
        <v>135</v>
      </c>
      <c r="M214" s="39">
        <v>1</v>
      </c>
    </row>
  </sheetData>
  <sheetProtection sort="0" autoFilter="0" pivotTables="0"/>
  <mergeCells count="3">
    <mergeCell ref="C16:U18"/>
    <mergeCell ref="C45:U47"/>
    <mergeCell ref="C104:U106"/>
  </mergeCells>
  <pageMargins left="0.7" right="0.7" top="0.75" bottom="0.75" header="0.3" footer="0.3"/>
  <pageSetup paperSize="9" orientation="portrait" r:id="rId16"/>
  <drawing r:id="rId17"/>
  <extLst>
    <ext xmlns:x14="http://schemas.microsoft.com/office/spreadsheetml/2009/9/main" uri="{A8765BA9-456A-4dab-B4F3-ACF838C121DE}">
      <x14:slicerList>
        <x14:slicer r:id="rId18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22658-610D-C745-93F8-B9C2B9B96B96}">
  <dimension ref="A1:M347"/>
  <sheetViews>
    <sheetView workbookViewId="0">
      <selection activeCell="P250" sqref="P250"/>
    </sheetView>
  </sheetViews>
  <sheetFormatPr baseColWidth="10" defaultRowHeight="14.4" x14ac:dyDescent="0.3"/>
  <cols>
    <col min="2" max="2" width="29.33203125" customWidth="1"/>
    <col min="9" max="9" width="3" customWidth="1"/>
    <col min="10" max="10" width="31.6640625" customWidth="1"/>
    <col min="11" max="11" width="11.109375" bestFit="1" customWidth="1"/>
    <col min="12" max="12" width="30.6640625" customWidth="1"/>
  </cols>
  <sheetData>
    <row r="1" spans="1:12" x14ac:dyDescent="0.3">
      <c r="C1" t="s">
        <v>4401</v>
      </c>
      <c r="D1" t="s">
        <v>4402</v>
      </c>
    </row>
    <row r="2" spans="1:12" x14ac:dyDescent="0.3">
      <c r="A2" s="115">
        <v>1023048716</v>
      </c>
      <c r="B2" t="s">
        <v>4083</v>
      </c>
      <c r="C2" s="59">
        <v>44750</v>
      </c>
      <c r="D2" s="59">
        <f>VLOOKUP(A2,F:G,2,0)</f>
        <v>44750</v>
      </c>
      <c r="E2" t="b">
        <f>D2=C2</f>
        <v>1</v>
      </c>
      <c r="F2">
        <v>1013030791</v>
      </c>
      <c r="G2" s="59">
        <v>44740</v>
      </c>
      <c r="K2">
        <v>1016753638</v>
      </c>
      <c r="L2" t="e">
        <f>VLOOKUP(K2,'MATRIZ PRINCIPAL'!A:J,10,0)</f>
        <v>#N/A</v>
      </c>
    </row>
    <row r="3" spans="1:12" x14ac:dyDescent="0.3">
      <c r="A3" s="115">
        <v>1012926906</v>
      </c>
      <c r="B3" t="s">
        <v>4084</v>
      </c>
      <c r="C3" s="59">
        <v>44070</v>
      </c>
      <c r="D3" s="59">
        <f t="shared" ref="D3:D66" si="0">VLOOKUP(A3,F:G,2,0)</f>
        <v>44070</v>
      </c>
      <c r="E3" t="b">
        <f t="shared" ref="E3:E66" si="1">D3=C3</f>
        <v>1</v>
      </c>
      <c r="F3">
        <v>1023048400</v>
      </c>
      <c r="G3" s="59">
        <v>44716</v>
      </c>
      <c r="K3">
        <v>1013030791</v>
      </c>
      <c r="L3" t="e">
        <f>VLOOKUP(K3,'MATRIZ PRINCIPAL'!A:J,10,0)</f>
        <v>#N/A</v>
      </c>
    </row>
    <row r="4" spans="1:12" x14ac:dyDescent="0.3">
      <c r="A4" s="115">
        <v>1023045681</v>
      </c>
      <c r="B4" t="s">
        <v>4085</v>
      </c>
      <c r="C4" s="59">
        <v>44128</v>
      </c>
      <c r="D4" s="59">
        <f t="shared" si="0"/>
        <v>44128</v>
      </c>
      <c r="E4" t="b">
        <f t="shared" si="1"/>
        <v>1</v>
      </c>
      <c r="F4">
        <v>1023048417</v>
      </c>
      <c r="G4" s="59">
        <v>44693</v>
      </c>
      <c r="K4">
        <v>1021319533</v>
      </c>
      <c r="L4" t="e">
        <f>VLOOKUP(K4,'MATRIZ PRINCIPAL'!A:J,10,0)</f>
        <v>#N/A</v>
      </c>
    </row>
    <row r="5" spans="1:12" x14ac:dyDescent="0.3">
      <c r="A5" s="115">
        <v>1023046490</v>
      </c>
      <c r="B5" t="s">
        <v>4086</v>
      </c>
      <c r="C5" s="121">
        <v>44278</v>
      </c>
      <c r="D5" s="59">
        <f t="shared" si="0"/>
        <v>44278</v>
      </c>
      <c r="E5" t="b">
        <f t="shared" si="1"/>
        <v>1</v>
      </c>
      <c r="F5">
        <v>1023048499</v>
      </c>
      <c r="G5" s="59">
        <v>44692</v>
      </c>
      <c r="K5">
        <v>1021515724</v>
      </c>
      <c r="L5" t="e">
        <f>VLOOKUP(K5,'MATRIZ PRINCIPAL'!A:J,10,0)</f>
        <v>#N/A</v>
      </c>
    </row>
    <row r="6" spans="1:12" x14ac:dyDescent="0.3">
      <c r="A6" s="115">
        <v>1023048027</v>
      </c>
      <c r="B6" t="s">
        <v>4087</v>
      </c>
      <c r="C6" s="121">
        <v>44591</v>
      </c>
      <c r="D6" s="59">
        <f t="shared" si="0"/>
        <v>44591</v>
      </c>
      <c r="E6" t="b">
        <f t="shared" si="1"/>
        <v>1</v>
      </c>
      <c r="F6">
        <v>1023048559</v>
      </c>
      <c r="G6" s="59">
        <v>44717</v>
      </c>
      <c r="K6">
        <v>1023046387</v>
      </c>
      <c r="L6" t="e">
        <f>VLOOKUP(K6,'MATRIZ PRINCIPAL'!A:J,10,0)</f>
        <v>#N/A</v>
      </c>
    </row>
    <row r="7" spans="1:12" x14ac:dyDescent="0.3">
      <c r="A7" s="115">
        <v>1243860756</v>
      </c>
      <c r="B7" t="s">
        <v>3838</v>
      </c>
      <c r="C7" s="121">
        <v>44521</v>
      </c>
      <c r="D7" s="59">
        <f t="shared" si="0"/>
        <v>44521</v>
      </c>
      <c r="E7" t="b">
        <f t="shared" si="1"/>
        <v>1</v>
      </c>
      <c r="F7">
        <v>1023048659</v>
      </c>
      <c r="G7" s="59">
        <v>44740</v>
      </c>
      <c r="K7">
        <v>1023048101</v>
      </c>
      <c r="L7" t="e">
        <f>VLOOKUP(K7,'MATRIZ PRINCIPAL'!A:J,10,0)</f>
        <v>#N/A</v>
      </c>
    </row>
    <row r="8" spans="1:12" x14ac:dyDescent="0.3">
      <c r="A8" s="115">
        <v>1023048793</v>
      </c>
      <c r="B8" t="s">
        <v>4088</v>
      </c>
      <c r="C8" s="59">
        <v>44764</v>
      </c>
      <c r="D8" s="59">
        <f t="shared" si="0"/>
        <v>44764</v>
      </c>
      <c r="E8" t="b">
        <f t="shared" si="1"/>
        <v>1</v>
      </c>
      <c r="F8">
        <v>1023048697</v>
      </c>
      <c r="G8" s="59">
        <v>44724</v>
      </c>
      <c r="K8">
        <v>1023048142</v>
      </c>
      <c r="L8" t="e">
        <f>VLOOKUP(K8,'MATRIZ PRINCIPAL'!A:J,10,0)</f>
        <v>#N/A</v>
      </c>
    </row>
    <row r="9" spans="1:12" x14ac:dyDescent="0.3">
      <c r="A9" s="115">
        <v>1032515264</v>
      </c>
      <c r="B9" t="s">
        <v>4089</v>
      </c>
      <c r="C9" s="59">
        <v>44699</v>
      </c>
      <c r="D9" s="59">
        <f t="shared" si="0"/>
        <v>44699</v>
      </c>
      <c r="E9" t="b">
        <f t="shared" si="1"/>
        <v>1</v>
      </c>
      <c r="F9">
        <v>1023048716</v>
      </c>
      <c r="G9" s="59">
        <v>44750</v>
      </c>
      <c r="K9">
        <v>1023048150</v>
      </c>
      <c r="L9" t="e">
        <f>VLOOKUP(K9,'MATRIZ PRINCIPAL'!A:J,10,0)</f>
        <v>#N/A</v>
      </c>
    </row>
    <row r="10" spans="1:12" x14ac:dyDescent="0.3">
      <c r="A10" s="115">
        <v>1033822280</v>
      </c>
      <c r="B10" t="s">
        <v>4090</v>
      </c>
      <c r="C10" s="121">
        <v>43169</v>
      </c>
      <c r="D10" s="59">
        <f t="shared" si="0"/>
        <v>43169</v>
      </c>
      <c r="E10" t="b">
        <f t="shared" si="1"/>
        <v>1</v>
      </c>
      <c r="F10">
        <v>1023048734</v>
      </c>
      <c r="G10" s="59">
        <v>44752</v>
      </c>
      <c r="K10">
        <v>1023048255</v>
      </c>
      <c r="L10" t="e">
        <f>VLOOKUP(K10,'MATRIZ PRINCIPAL'!A:J,10,0)</f>
        <v>#N/A</v>
      </c>
    </row>
    <row r="11" spans="1:12" x14ac:dyDescent="0.3">
      <c r="A11" s="115">
        <v>1240693955</v>
      </c>
      <c r="B11" t="s">
        <v>4091</v>
      </c>
      <c r="C11" s="121">
        <v>44216</v>
      </c>
      <c r="D11" s="59">
        <f t="shared" si="0"/>
        <v>44216</v>
      </c>
      <c r="E11" t="b">
        <f t="shared" si="1"/>
        <v>1</v>
      </c>
      <c r="F11">
        <v>1023048793</v>
      </c>
      <c r="G11" s="59">
        <v>44764</v>
      </c>
      <c r="K11">
        <v>1023048337</v>
      </c>
      <c r="L11" t="e">
        <f>VLOOKUP(K11,'MATRIZ PRINCIPAL'!A:J,10,0)</f>
        <v>#N/A</v>
      </c>
    </row>
    <row r="12" spans="1:12" x14ac:dyDescent="0.3">
      <c r="A12" s="115">
        <v>1243859943</v>
      </c>
      <c r="B12" t="s">
        <v>4092</v>
      </c>
      <c r="C12" s="121">
        <v>44224</v>
      </c>
      <c r="D12" s="59">
        <f t="shared" si="0"/>
        <v>44224</v>
      </c>
      <c r="E12" t="b">
        <f t="shared" si="1"/>
        <v>1</v>
      </c>
      <c r="F12">
        <v>1023048810</v>
      </c>
      <c r="G12" s="59">
        <v>44760</v>
      </c>
      <c r="K12">
        <v>1023048396</v>
      </c>
      <c r="L12" t="e">
        <f>VLOOKUP(K12,'MATRIZ PRINCIPAL'!A:J,10,0)</f>
        <v>#N/A</v>
      </c>
    </row>
    <row r="13" spans="1:12" x14ac:dyDescent="0.3">
      <c r="A13" s="115">
        <v>1243859248</v>
      </c>
      <c r="B13" t="s">
        <v>4093</v>
      </c>
      <c r="C13" s="121">
        <v>44042</v>
      </c>
      <c r="D13" s="59">
        <f t="shared" si="0"/>
        <v>44042</v>
      </c>
      <c r="E13" t="b">
        <f t="shared" si="1"/>
        <v>1</v>
      </c>
      <c r="F13">
        <v>1023048858</v>
      </c>
      <c r="G13" s="59">
        <v>44746</v>
      </c>
      <c r="K13">
        <v>1023048403</v>
      </c>
      <c r="L13" t="e">
        <f>VLOOKUP(K13,'MATRIZ PRINCIPAL'!A:J,10,0)</f>
        <v>#N/A</v>
      </c>
    </row>
    <row r="14" spans="1:12" x14ac:dyDescent="0.3">
      <c r="A14" s="115">
        <v>1023048659</v>
      </c>
      <c r="B14" t="s">
        <v>4094</v>
      </c>
      <c r="C14" s="59">
        <v>44740</v>
      </c>
      <c r="D14" s="59">
        <f t="shared" si="0"/>
        <v>44740</v>
      </c>
      <c r="E14" t="b">
        <f t="shared" si="1"/>
        <v>1</v>
      </c>
      <c r="F14">
        <v>1023048879</v>
      </c>
      <c r="G14" s="59">
        <v>44768</v>
      </c>
      <c r="K14">
        <v>1023048417</v>
      </c>
      <c r="L14" t="e">
        <f>VLOOKUP(K14,'MATRIZ PRINCIPAL'!A:J,10,0)</f>
        <v>#N/A</v>
      </c>
    </row>
    <row r="15" spans="1:12" x14ac:dyDescent="0.3">
      <c r="A15" s="115">
        <v>1245078722</v>
      </c>
      <c r="B15" t="s">
        <v>4004</v>
      </c>
      <c r="C15" s="121">
        <v>44326</v>
      </c>
      <c r="D15" s="59">
        <f t="shared" si="0"/>
        <v>44326</v>
      </c>
      <c r="E15" t="b">
        <f t="shared" si="1"/>
        <v>1</v>
      </c>
      <c r="F15">
        <v>1023048929</v>
      </c>
      <c r="G15" s="59">
        <v>44780</v>
      </c>
      <c r="K15">
        <v>1023048499</v>
      </c>
      <c r="L15" t="e">
        <f>VLOOKUP(K15,'MATRIZ PRINCIPAL'!A:J,10,0)</f>
        <v>#N/A</v>
      </c>
    </row>
    <row r="16" spans="1:12" x14ac:dyDescent="0.3">
      <c r="A16" s="115">
        <v>1016921602</v>
      </c>
      <c r="B16" t="s">
        <v>4095</v>
      </c>
      <c r="C16" s="121">
        <v>43895</v>
      </c>
      <c r="D16" s="59">
        <f t="shared" si="0"/>
        <v>43895</v>
      </c>
      <c r="E16" t="b">
        <f t="shared" si="1"/>
        <v>1</v>
      </c>
      <c r="F16">
        <v>1023048955</v>
      </c>
      <c r="G16" s="59">
        <v>44776</v>
      </c>
      <c r="K16">
        <v>1023048559</v>
      </c>
      <c r="L16" t="e">
        <f>VLOOKUP(K16,'MATRIZ PRINCIPAL'!A:J,10,0)</f>
        <v>#N/A</v>
      </c>
    </row>
    <row r="17" spans="1:12" x14ac:dyDescent="0.3">
      <c r="A17" s="115">
        <v>1023046494</v>
      </c>
      <c r="B17" t="s">
        <v>4096</v>
      </c>
      <c r="C17" s="59">
        <v>44244</v>
      </c>
      <c r="D17" s="59">
        <f t="shared" si="0"/>
        <v>44244</v>
      </c>
      <c r="E17" t="b">
        <f t="shared" si="1"/>
        <v>1</v>
      </c>
      <c r="F17">
        <v>1023048978</v>
      </c>
      <c r="G17" s="59">
        <v>44769</v>
      </c>
      <c r="K17">
        <v>1023048659</v>
      </c>
      <c r="L17" t="e">
        <f>VLOOKUP(K17,'MATRIZ PRINCIPAL'!A:J,10,0)</f>
        <v>#N/A</v>
      </c>
    </row>
    <row r="18" spans="1:12" x14ac:dyDescent="0.3">
      <c r="A18" s="115">
        <v>1023046253</v>
      </c>
      <c r="B18" t="s">
        <v>4097</v>
      </c>
      <c r="C18" s="121">
        <v>44236</v>
      </c>
      <c r="D18" s="59">
        <f t="shared" si="0"/>
        <v>44236</v>
      </c>
      <c r="E18" t="b">
        <f t="shared" si="1"/>
        <v>1</v>
      </c>
      <c r="F18">
        <v>1023048984</v>
      </c>
      <c r="G18" s="59">
        <v>44777</v>
      </c>
      <c r="K18">
        <v>1023048697</v>
      </c>
      <c r="L18" t="e">
        <f>VLOOKUP(K18,'MATRIZ PRINCIPAL'!A:J,10,0)</f>
        <v>#N/A</v>
      </c>
    </row>
    <row r="19" spans="1:12" x14ac:dyDescent="0.3">
      <c r="A19" s="115">
        <v>1243860477</v>
      </c>
      <c r="B19" t="s">
        <v>4098</v>
      </c>
      <c r="C19" s="59">
        <v>44393</v>
      </c>
      <c r="D19" s="59">
        <f t="shared" si="0"/>
        <v>44393</v>
      </c>
      <c r="E19" t="b">
        <f t="shared" si="1"/>
        <v>1</v>
      </c>
      <c r="F19">
        <v>1023422698</v>
      </c>
      <c r="G19" s="59">
        <v>44712</v>
      </c>
      <c r="K19">
        <v>1023048716</v>
      </c>
      <c r="L19" t="e">
        <f>VLOOKUP(K19,'MATRIZ PRINCIPAL'!A:J,10,0)</f>
        <v>#N/A</v>
      </c>
    </row>
    <row r="20" spans="1:12" x14ac:dyDescent="0.3">
      <c r="A20" s="115">
        <v>1016750852</v>
      </c>
      <c r="B20" t="s">
        <v>4099</v>
      </c>
      <c r="C20" s="121">
        <v>44144</v>
      </c>
      <c r="D20" s="59">
        <f t="shared" si="0"/>
        <v>44144</v>
      </c>
      <c r="E20" t="b">
        <f t="shared" si="1"/>
        <v>1</v>
      </c>
      <c r="F20">
        <v>1023990155</v>
      </c>
      <c r="G20" s="59">
        <v>44712</v>
      </c>
      <c r="K20">
        <v>1023422698</v>
      </c>
      <c r="L20" t="e">
        <f>VLOOKUP(K20,'MATRIZ PRINCIPAL'!A:J,10,0)</f>
        <v>#N/A</v>
      </c>
    </row>
    <row r="21" spans="1:12" x14ac:dyDescent="0.3">
      <c r="A21" s="115">
        <v>1023041908</v>
      </c>
      <c r="B21" t="s">
        <v>4100</v>
      </c>
      <c r="C21" s="121">
        <v>43366</v>
      </c>
      <c r="D21" s="59">
        <f t="shared" si="0"/>
        <v>43366</v>
      </c>
      <c r="E21" t="b">
        <f t="shared" si="1"/>
        <v>1</v>
      </c>
      <c r="F21">
        <v>1023990310</v>
      </c>
      <c r="G21" s="59">
        <v>44736</v>
      </c>
      <c r="K21">
        <v>1023990310</v>
      </c>
      <c r="L21" t="e">
        <f>VLOOKUP(K21,'MATRIZ PRINCIPAL'!A:J,10,0)</f>
        <v>#N/A</v>
      </c>
    </row>
    <row r="22" spans="1:12" x14ac:dyDescent="0.3">
      <c r="A22" s="115">
        <v>1023045458</v>
      </c>
      <c r="B22" t="s">
        <v>4101</v>
      </c>
      <c r="C22" s="59">
        <v>44068</v>
      </c>
      <c r="D22" s="59">
        <f t="shared" si="0"/>
        <v>44068</v>
      </c>
      <c r="E22" t="b">
        <f t="shared" si="1"/>
        <v>1</v>
      </c>
      <c r="F22">
        <v>1023990615</v>
      </c>
      <c r="G22" s="59">
        <v>44735</v>
      </c>
      <c r="K22">
        <v>1028675820</v>
      </c>
      <c r="L22" t="e">
        <f>VLOOKUP(K22,'MATRIZ PRINCIPAL'!A:J,10,0)</f>
        <v>#N/A</v>
      </c>
    </row>
    <row r="23" spans="1:12" x14ac:dyDescent="0.3">
      <c r="A23" s="115">
        <v>1016749017</v>
      </c>
      <c r="B23" t="s">
        <v>4102</v>
      </c>
      <c r="C23" s="121">
        <v>43895</v>
      </c>
      <c r="D23" s="59">
        <f t="shared" si="0"/>
        <v>43895</v>
      </c>
      <c r="E23" t="b">
        <f t="shared" si="1"/>
        <v>1</v>
      </c>
      <c r="F23">
        <v>1023990627</v>
      </c>
      <c r="G23" s="59">
        <v>44744</v>
      </c>
      <c r="K23">
        <v>1031188618</v>
      </c>
      <c r="L23" t="e">
        <f>VLOOKUP(K23,'MATRIZ PRINCIPAL'!A:J,10,0)</f>
        <v>#N/A</v>
      </c>
    </row>
    <row r="24" spans="1:12" x14ac:dyDescent="0.3">
      <c r="A24" s="115">
        <v>1031858155</v>
      </c>
      <c r="B24" t="s">
        <v>4103</v>
      </c>
      <c r="C24" s="121">
        <v>44279</v>
      </c>
      <c r="D24" s="59">
        <f t="shared" si="0"/>
        <v>44279</v>
      </c>
      <c r="E24" t="b">
        <f t="shared" si="1"/>
        <v>1</v>
      </c>
      <c r="F24">
        <v>1028675792</v>
      </c>
      <c r="G24" s="59">
        <v>44700</v>
      </c>
      <c r="K24">
        <v>1032515264</v>
      </c>
      <c r="L24" t="e">
        <f>VLOOKUP(K24,'MATRIZ PRINCIPAL'!A:J,10,0)</f>
        <v>#N/A</v>
      </c>
    </row>
    <row r="25" spans="1:12" x14ac:dyDescent="0.3">
      <c r="A25" s="115">
        <v>1119187596</v>
      </c>
      <c r="B25" t="s">
        <v>4104</v>
      </c>
      <c r="C25" s="121">
        <v>44038</v>
      </c>
      <c r="D25" s="59">
        <f t="shared" si="0"/>
        <v>44038</v>
      </c>
      <c r="E25" t="b">
        <f t="shared" si="1"/>
        <v>1</v>
      </c>
      <c r="F25">
        <v>1028675793</v>
      </c>
      <c r="G25" s="59">
        <v>44705</v>
      </c>
      <c r="K25">
        <v>1074161366</v>
      </c>
      <c r="L25" t="e">
        <f>VLOOKUP(K25,'MATRIZ PRINCIPAL'!A:J,10,0)</f>
        <v>#N/A</v>
      </c>
    </row>
    <row r="26" spans="1:12" x14ac:dyDescent="0.3">
      <c r="A26" s="115">
        <v>1140939399</v>
      </c>
      <c r="B26" t="s">
        <v>4105</v>
      </c>
      <c r="C26" s="121">
        <v>44073</v>
      </c>
      <c r="D26" s="59">
        <f t="shared" si="0"/>
        <v>44073</v>
      </c>
      <c r="E26" t="b">
        <f t="shared" si="1"/>
        <v>1</v>
      </c>
      <c r="F26">
        <v>1028675820</v>
      </c>
      <c r="G26" s="59">
        <v>44718</v>
      </c>
      <c r="K26">
        <v>1243861036</v>
      </c>
      <c r="L26" t="e">
        <f>VLOOKUP(K26,'MATRIZ PRINCIPAL'!A:J,10,0)</f>
        <v>#N/A</v>
      </c>
    </row>
    <row r="27" spans="1:12" x14ac:dyDescent="0.3">
      <c r="A27" s="115">
        <v>1243860045</v>
      </c>
      <c r="B27" t="s">
        <v>4106</v>
      </c>
      <c r="C27" s="59">
        <v>44112</v>
      </c>
      <c r="D27" s="59">
        <f t="shared" si="0"/>
        <v>44112</v>
      </c>
      <c r="E27" t="b">
        <f t="shared" si="1"/>
        <v>1</v>
      </c>
      <c r="F27">
        <v>1028675913</v>
      </c>
      <c r="G27" s="59">
        <v>44771</v>
      </c>
      <c r="K27">
        <v>1243861083</v>
      </c>
      <c r="L27" t="e">
        <f>VLOOKUP(K27,'MATRIZ PRINCIPAL'!A:J,10,0)</f>
        <v>#N/A</v>
      </c>
    </row>
    <row r="28" spans="1:12" x14ac:dyDescent="0.3">
      <c r="A28" s="115">
        <v>1023046020</v>
      </c>
      <c r="B28" t="s">
        <v>4107</v>
      </c>
      <c r="C28" s="59">
        <v>44174</v>
      </c>
      <c r="D28" s="59">
        <f t="shared" si="0"/>
        <v>44174</v>
      </c>
      <c r="E28" t="b">
        <f t="shared" si="1"/>
        <v>1</v>
      </c>
      <c r="F28">
        <v>1028675921</v>
      </c>
      <c r="G28" s="59">
        <v>44777</v>
      </c>
      <c r="K28">
        <v>1243861089</v>
      </c>
      <c r="L28" t="e">
        <f>VLOOKUP(K28,'MATRIZ PRINCIPAL'!A:J,10,0)</f>
        <v>#N/A</v>
      </c>
    </row>
    <row r="29" spans="1:12" x14ac:dyDescent="0.3">
      <c r="A29" s="115">
        <v>1243861083</v>
      </c>
      <c r="B29" t="s">
        <v>4108</v>
      </c>
      <c r="C29" s="121">
        <v>44700</v>
      </c>
      <c r="D29" s="59">
        <f t="shared" si="0"/>
        <v>44700</v>
      </c>
      <c r="E29" t="b">
        <f t="shared" si="1"/>
        <v>1</v>
      </c>
      <c r="F29">
        <v>1028675965</v>
      </c>
      <c r="G29" s="59">
        <v>44798</v>
      </c>
      <c r="K29">
        <v>6042020114</v>
      </c>
      <c r="L29" t="e">
        <f>VLOOKUP(K29,'MATRIZ PRINCIPAL'!A:J,10,0)</f>
        <v>#N/A</v>
      </c>
    </row>
    <row r="30" spans="1:12" x14ac:dyDescent="0.3">
      <c r="A30" s="115">
        <v>1243861023</v>
      </c>
      <c r="B30" t="s">
        <v>4109</v>
      </c>
      <c r="C30" s="59">
        <v>44652</v>
      </c>
      <c r="D30" s="59">
        <f t="shared" si="0"/>
        <v>44652</v>
      </c>
      <c r="E30" t="b">
        <f t="shared" si="1"/>
        <v>1</v>
      </c>
      <c r="F30">
        <v>1031188618</v>
      </c>
      <c r="G30" s="59">
        <v>44726</v>
      </c>
      <c r="K30">
        <v>1010849316</v>
      </c>
      <c r="L30" t="e">
        <f>VLOOKUP(K30,'MATRIZ PRINCIPAL'!A:J,10,0)</f>
        <v>#N/A</v>
      </c>
    </row>
    <row r="31" spans="1:12" x14ac:dyDescent="0.3">
      <c r="A31" s="115">
        <v>1023045269</v>
      </c>
      <c r="B31" t="s">
        <v>4110</v>
      </c>
      <c r="C31" s="121">
        <v>43872</v>
      </c>
      <c r="D31" s="59">
        <f t="shared" si="0"/>
        <v>43872</v>
      </c>
      <c r="E31" t="b">
        <f t="shared" si="1"/>
        <v>1</v>
      </c>
      <c r="F31">
        <v>1032515264</v>
      </c>
      <c r="G31" s="59">
        <v>44699</v>
      </c>
      <c r="K31">
        <v>1011259607</v>
      </c>
      <c r="L31" t="e">
        <f>VLOOKUP(K31,'MATRIZ PRINCIPAL'!A:J,10,0)</f>
        <v>#N/A</v>
      </c>
    </row>
    <row r="32" spans="1:12" x14ac:dyDescent="0.3">
      <c r="A32" s="115">
        <v>1243859299</v>
      </c>
      <c r="B32" t="s">
        <v>4111</v>
      </c>
      <c r="C32" s="121">
        <v>44043</v>
      </c>
      <c r="D32" s="59">
        <f t="shared" si="0"/>
        <v>44043</v>
      </c>
      <c r="E32" t="b">
        <f t="shared" si="1"/>
        <v>1</v>
      </c>
      <c r="F32">
        <v>1051681940</v>
      </c>
      <c r="G32" s="59">
        <v>44684</v>
      </c>
      <c r="K32">
        <v>1016750794</v>
      </c>
      <c r="L32" t="e">
        <f>VLOOKUP(K32,'MATRIZ PRINCIPAL'!A:J,10,0)</f>
        <v>#N/A</v>
      </c>
    </row>
    <row r="33" spans="1:12" x14ac:dyDescent="0.3">
      <c r="A33" s="115">
        <v>1140937336</v>
      </c>
      <c r="B33" t="s">
        <v>4112</v>
      </c>
      <c r="C33" s="121">
        <v>43946</v>
      </c>
      <c r="D33" s="59">
        <f t="shared" si="0"/>
        <v>43946</v>
      </c>
      <c r="E33" t="b">
        <f t="shared" si="1"/>
        <v>1</v>
      </c>
      <c r="F33">
        <v>1074161366</v>
      </c>
      <c r="G33" s="59">
        <v>44702</v>
      </c>
      <c r="K33">
        <v>1021694945</v>
      </c>
      <c r="L33" t="e">
        <f>VLOOKUP(K33,'MATRIZ PRINCIPAL'!A:J,10,0)</f>
        <v>#N/A</v>
      </c>
    </row>
    <row r="34" spans="1:12" x14ac:dyDescent="0.3">
      <c r="A34" s="115">
        <v>1021695137</v>
      </c>
      <c r="B34" t="s">
        <v>4113</v>
      </c>
      <c r="C34" s="121">
        <v>43953</v>
      </c>
      <c r="D34" s="59">
        <f t="shared" si="0"/>
        <v>43953</v>
      </c>
      <c r="E34" t="b">
        <f t="shared" si="1"/>
        <v>1</v>
      </c>
      <c r="F34">
        <v>1117558241</v>
      </c>
      <c r="G34" s="59">
        <v>44745</v>
      </c>
      <c r="K34">
        <v>1023043525</v>
      </c>
      <c r="L34" t="e">
        <f>VLOOKUP(K34,'MATRIZ PRINCIPAL'!A:J,10,0)</f>
        <v>#N/A</v>
      </c>
    </row>
    <row r="35" spans="1:12" x14ac:dyDescent="0.3">
      <c r="A35" s="115">
        <v>1023046352</v>
      </c>
      <c r="B35" t="s">
        <v>4114</v>
      </c>
      <c r="C35" s="121">
        <v>44241</v>
      </c>
      <c r="D35" s="59">
        <f t="shared" si="0"/>
        <v>44241</v>
      </c>
      <c r="E35" t="b">
        <f t="shared" si="1"/>
        <v>1</v>
      </c>
      <c r="F35">
        <v>1243763085</v>
      </c>
      <c r="G35" s="59">
        <v>44687</v>
      </c>
      <c r="K35">
        <v>1023045008</v>
      </c>
      <c r="L35" t="e">
        <f>VLOOKUP(K35,'MATRIZ PRINCIPAL'!A:J,10,0)</f>
        <v>#N/A</v>
      </c>
    </row>
    <row r="36" spans="1:12" x14ac:dyDescent="0.3">
      <c r="A36" s="115">
        <v>1243859093</v>
      </c>
      <c r="B36" t="s">
        <v>4115</v>
      </c>
      <c r="C36" s="121">
        <v>44011</v>
      </c>
      <c r="D36" s="59">
        <f t="shared" si="0"/>
        <v>44011</v>
      </c>
      <c r="E36" t="b">
        <f t="shared" si="1"/>
        <v>1</v>
      </c>
      <c r="F36">
        <v>1243763196</v>
      </c>
      <c r="G36" s="59">
        <v>44750</v>
      </c>
      <c r="K36">
        <v>1023045733</v>
      </c>
      <c r="L36" t="e">
        <f>VLOOKUP(K36,'MATRIZ PRINCIPAL'!A:J,10,0)</f>
        <v>#N/A</v>
      </c>
    </row>
    <row r="37" spans="1:12" x14ac:dyDescent="0.3">
      <c r="A37" s="115">
        <v>1243763196</v>
      </c>
      <c r="B37" t="s">
        <v>4116</v>
      </c>
      <c r="C37" s="59">
        <v>44750</v>
      </c>
      <c r="D37" s="59">
        <f t="shared" si="0"/>
        <v>44750</v>
      </c>
      <c r="E37" t="b">
        <f t="shared" si="1"/>
        <v>1</v>
      </c>
      <c r="F37">
        <v>1243861083</v>
      </c>
      <c r="G37" s="59">
        <v>44700</v>
      </c>
      <c r="K37">
        <v>1023045790</v>
      </c>
      <c r="L37" t="e">
        <f>VLOOKUP(K37,'MATRIZ PRINCIPAL'!A:J,10,0)</f>
        <v>#N/A</v>
      </c>
    </row>
    <row r="38" spans="1:12" x14ac:dyDescent="0.3">
      <c r="A38" s="115">
        <v>1023046195</v>
      </c>
      <c r="B38" t="s">
        <v>4117</v>
      </c>
      <c r="C38" s="121">
        <v>44235</v>
      </c>
      <c r="D38" s="59">
        <f t="shared" si="0"/>
        <v>44235</v>
      </c>
      <c r="E38" t="b">
        <f t="shared" si="1"/>
        <v>1</v>
      </c>
      <c r="F38">
        <v>1243861089</v>
      </c>
      <c r="G38" s="59">
        <v>44684</v>
      </c>
      <c r="K38">
        <v>1023045906</v>
      </c>
      <c r="L38" t="e">
        <f>VLOOKUP(K38,'MATRIZ PRINCIPAL'!A:J,10,0)</f>
        <v>#N/A</v>
      </c>
    </row>
    <row r="39" spans="1:12" x14ac:dyDescent="0.3">
      <c r="A39" s="115">
        <v>1016969726</v>
      </c>
      <c r="B39" t="s">
        <v>4118</v>
      </c>
      <c r="C39" s="59">
        <v>44104</v>
      </c>
      <c r="D39" s="59">
        <f t="shared" si="0"/>
        <v>44104</v>
      </c>
      <c r="E39" t="b">
        <f t="shared" si="1"/>
        <v>1</v>
      </c>
      <c r="F39">
        <v>1243861102</v>
      </c>
      <c r="G39" s="59">
        <v>44714</v>
      </c>
      <c r="K39">
        <v>1023046103</v>
      </c>
      <c r="L39" t="e">
        <f>VLOOKUP(K39,'MATRIZ PRINCIPAL'!A:J,10,0)</f>
        <v>#N/A</v>
      </c>
    </row>
    <row r="40" spans="1:12" x14ac:dyDescent="0.3">
      <c r="A40" s="115">
        <v>1243859420</v>
      </c>
      <c r="B40" t="s">
        <v>4119</v>
      </c>
      <c r="C40" s="121">
        <v>44067</v>
      </c>
      <c r="D40" s="59">
        <f t="shared" si="0"/>
        <v>44067</v>
      </c>
      <c r="E40" t="b">
        <f t="shared" si="1"/>
        <v>1</v>
      </c>
      <c r="F40">
        <v>1243861239</v>
      </c>
      <c r="G40" s="59">
        <v>44796</v>
      </c>
      <c r="K40">
        <v>1023046500</v>
      </c>
      <c r="L40" t="e">
        <f>VLOOKUP(K40,'MATRIZ PRINCIPAL'!A:J,10,0)</f>
        <v>#N/A</v>
      </c>
    </row>
    <row r="41" spans="1:12" x14ac:dyDescent="0.3">
      <c r="A41" s="115">
        <v>1023048142</v>
      </c>
      <c r="B41" t="s">
        <v>4120</v>
      </c>
      <c r="C41" s="59">
        <v>44652</v>
      </c>
      <c r="D41" s="59">
        <f t="shared" si="0"/>
        <v>44652</v>
      </c>
      <c r="E41" t="b">
        <f t="shared" si="1"/>
        <v>1</v>
      </c>
      <c r="F41">
        <v>1245079953</v>
      </c>
      <c r="G41" s="59">
        <v>44777</v>
      </c>
      <c r="K41">
        <v>1023046763</v>
      </c>
      <c r="L41" t="e">
        <f>VLOOKUP(K41,'MATRIZ PRINCIPAL'!A:J,10,0)</f>
        <v>#N/A</v>
      </c>
    </row>
    <row r="42" spans="1:12" x14ac:dyDescent="0.3">
      <c r="A42" s="115">
        <v>1023048417</v>
      </c>
      <c r="B42" t="s">
        <v>4121</v>
      </c>
      <c r="C42" s="121">
        <v>44693</v>
      </c>
      <c r="D42" s="59">
        <f t="shared" si="0"/>
        <v>44693</v>
      </c>
      <c r="E42" t="b">
        <f t="shared" si="1"/>
        <v>1</v>
      </c>
      <c r="F42">
        <v>1000257754</v>
      </c>
      <c r="G42" s="59">
        <v>37140</v>
      </c>
      <c r="K42">
        <v>1023047344</v>
      </c>
      <c r="L42" t="e">
        <f>VLOOKUP(K42,'MATRIZ PRINCIPAL'!A:J,10,0)</f>
        <v>#N/A</v>
      </c>
    </row>
    <row r="43" spans="1:12" x14ac:dyDescent="0.3">
      <c r="A43" s="115">
        <v>1245078680</v>
      </c>
      <c r="B43" t="s">
        <v>4005</v>
      </c>
      <c r="C43" s="121">
        <v>44306</v>
      </c>
      <c r="D43" s="59">
        <f t="shared" si="0"/>
        <v>44306</v>
      </c>
      <c r="E43" t="b">
        <f t="shared" si="1"/>
        <v>1</v>
      </c>
      <c r="F43">
        <v>1000777307</v>
      </c>
      <c r="G43" s="59">
        <v>37369</v>
      </c>
      <c r="K43">
        <v>1023047429</v>
      </c>
      <c r="L43" t="e">
        <f>VLOOKUP(K43,'MATRIZ PRINCIPAL'!A:J,10,0)</f>
        <v>#N/A</v>
      </c>
    </row>
    <row r="44" spans="1:12" x14ac:dyDescent="0.3">
      <c r="A44" s="115">
        <v>1023047218</v>
      </c>
      <c r="B44" t="s">
        <v>4122</v>
      </c>
      <c r="C44" s="121">
        <v>44462</v>
      </c>
      <c r="D44" s="59">
        <f t="shared" si="0"/>
        <v>44462</v>
      </c>
      <c r="E44" t="b">
        <f t="shared" si="1"/>
        <v>1</v>
      </c>
      <c r="F44">
        <v>1000931826</v>
      </c>
      <c r="G44" s="59">
        <v>37138</v>
      </c>
      <c r="K44">
        <v>1031858155</v>
      </c>
      <c r="L44" t="e">
        <f>VLOOKUP(K44,'MATRIZ PRINCIPAL'!A:J,10,0)</f>
        <v>#N/A</v>
      </c>
    </row>
    <row r="45" spans="1:12" x14ac:dyDescent="0.3">
      <c r="A45" s="115">
        <v>1243858572</v>
      </c>
      <c r="B45" t="s">
        <v>4123</v>
      </c>
      <c r="C45" s="121">
        <v>43898</v>
      </c>
      <c r="D45" s="59">
        <f t="shared" si="0"/>
        <v>43898</v>
      </c>
      <c r="E45" t="b">
        <f t="shared" si="1"/>
        <v>1</v>
      </c>
      <c r="F45">
        <v>1002646913</v>
      </c>
      <c r="G45" s="59">
        <v>37981</v>
      </c>
      <c r="K45">
        <v>1032513713</v>
      </c>
      <c r="L45" t="e">
        <f>VLOOKUP(K45,'MATRIZ PRINCIPAL'!A:J,10,0)</f>
        <v>#N/A</v>
      </c>
    </row>
    <row r="46" spans="1:12" x14ac:dyDescent="0.3">
      <c r="A46" s="115">
        <v>6042020114</v>
      </c>
      <c r="B46" t="s">
        <v>4124</v>
      </c>
      <c r="C46" s="121">
        <v>43927</v>
      </c>
      <c r="D46" s="59">
        <f t="shared" si="0"/>
        <v>43927</v>
      </c>
      <c r="E46" t="b">
        <f t="shared" si="1"/>
        <v>1</v>
      </c>
      <c r="F46">
        <v>1003734192</v>
      </c>
      <c r="G46" s="59">
        <v>37079</v>
      </c>
      <c r="K46">
        <v>1033825232</v>
      </c>
      <c r="L46" t="e">
        <f>VLOOKUP(K46,'MATRIZ PRINCIPAL'!A:J,10,0)</f>
        <v>#N/A</v>
      </c>
    </row>
    <row r="47" spans="1:12" x14ac:dyDescent="0.3">
      <c r="A47" s="115">
        <v>1002646913</v>
      </c>
      <c r="B47" t="s">
        <v>4125</v>
      </c>
      <c r="C47" s="59">
        <v>37981</v>
      </c>
      <c r="D47" s="59">
        <f t="shared" si="0"/>
        <v>37981</v>
      </c>
      <c r="E47" t="b">
        <f t="shared" si="1"/>
        <v>1</v>
      </c>
      <c r="F47">
        <v>1006666312</v>
      </c>
      <c r="G47" s="59">
        <v>37050</v>
      </c>
      <c r="K47">
        <v>1033830288</v>
      </c>
      <c r="L47" t="e">
        <f>VLOOKUP(K47,'MATRIZ PRINCIPAL'!A:J,10,0)</f>
        <v>#N/A</v>
      </c>
    </row>
    <row r="48" spans="1:12" x14ac:dyDescent="0.3">
      <c r="A48" s="115">
        <v>1023048396</v>
      </c>
      <c r="B48" t="s">
        <v>4126</v>
      </c>
      <c r="C48" s="121">
        <v>44682</v>
      </c>
      <c r="D48" s="59">
        <f t="shared" si="0"/>
        <v>44682</v>
      </c>
      <c r="E48" t="b">
        <f t="shared" si="1"/>
        <v>1</v>
      </c>
      <c r="F48">
        <v>1007101197</v>
      </c>
      <c r="G48" s="59">
        <v>37019</v>
      </c>
      <c r="K48">
        <v>1049663473</v>
      </c>
      <c r="L48" t="e">
        <f>VLOOKUP(K48,'MATRIZ PRINCIPAL'!A:J,10,0)</f>
        <v>#N/A</v>
      </c>
    </row>
    <row r="49" spans="1:12" x14ac:dyDescent="0.3">
      <c r="A49" s="115">
        <v>1000257754</v>
      </c>
      <c r="B49" t="s">
        <v>4127</v>
      </c>
      <c r="C49" s="121">
        <v>37140</v>
      </c>
      <c r="D49" s="59">
        <f t="shared" si="0"/>
        <v>37140</v>
      </c>
      <c r="E49" t="b">
        <f t="shared" si="1"/>
        <v>1</v>
      </c>
      <c r="F49">
        <v>1010231306</v>
      </c>
      <c r="G49" s="59">
        <v>35409</v>
      </c>
      <c r="K49">
        <v>1069307141</v>
      </c>
      <c r="L49" t="e">
        <f>VLOOKUP(K49,'MATRIZ PRINCIPAL'!A:J,10,0)</f>
        <v>#N/A</v>
      </c>
    </row>
    <row r="50" spans="1:12" x14ac:dyDescent="0.3">
      <c r="A50" s="115">
        <v>1022940608</v>
      </c>
      <c r="B50" t="s">
        <v>4128</v>
      </c>
      <c r="C50" s="59">
        <v>32190</v>
      </c>
      <c r="D50" s="59">
        <f t="shared" si="0"/>
        <v>32190</v>
      </c>
      <c r="E50" t="b">
        <f t="shared" si="1"/>
        <v>1</v>
      </c>
      <c r="F50">
        <v>1020730043</v>
      </c>
      <c r="G50" s="59">
        <v>35817</v>
      </c>
      <c r="K50">
        <v>1071551363</v>
      </c>
      <c r="L50" t="e">
        <f>VLOOKUP(K50,'MATRIZ PRINCIPAL'!A:J,10,0)</f>
        <v>#N/A</v>
      </c>
    </row>
    <row r="51" spans="1:12" x14ac:dyDescent="0.3">
      <c r="A51" s="115">
        <v>1243861089</v>
      </c>
      <c r="B51" t="s">
        <v>4129</v>
      </c>
      <c r="C51" s="59">
        <v>44684</v>
      </c>
      <c r="D51" s="59">
        <f t="shared" si="0"/>
        <v>44684</v>
      </c>
      <c r="E51" t="b">
        <f t="shared" si="1"/>
        <v>1</v>
      </c>
      <c r="F51">
        <v>1022940608</v>
      </c>
      <c r="G51" s="59">
        <v>32190</v>
      </c>
      <c r="K51">
        <v>1141371569</v>
      </c>
      <c r="L51" t="e">
        <f>VLOOKUP(K51,'MATRIZ PRINCIPAL'!A:J,10,0)</f>
        <v>#N/A</v>
      </c>
    </row>
    <row r="52" spans="1:12" x14ac:dyDescent="0.3">
      <c r="A52" s="115">
        <v>1033755043</v>
      </c>
      <c r="B52" t="s">
        <v>4130</v>
      </c>
      <c r="C52" s="121">
        <v>34050</v>
      </c>
      <c r="D52" s="59">
        <f t="shared" si="0"/>
        <v>34050</v>
      </c>
      <c r="E52" t="b">
        <f t="shared" si="1"/>
        <v>1</v>
      </c>
      <c r="F52">
        <v>1023005928</v>
      </c>
      <c r="G52" s="59">
        <v>34903</v>
      </c>
      <c r="K52">
        <v>1206226100</v>
      </c>
      <c r="L52" t="e">
        <f>VLOOKUP(K52,'MATRIZ PRINCIPAL'!A:J,10,0)</f>
        <v>#N/A</v>
      </c>
    </row>
    <row r="53" spans="1:12" x14ac:dyDescent="0.3">
      <c r="A53" s="115">
        <v>1023048403</v>
      </c>
      <c r="B53" t="s">
        <v>4131</v>
      </c>
      <c r="C53" s="121">
        <v>44674</v>
      </c>
      <c r="D53" s="59">
        <f t="shared" si="0"/>
        <v>44674</v>
      </c>
      <c r="E53" t="b">
        <f t="shared" si="1"/>
        <v>1</v>
      </c>
      <c r="F53">
        <v>1023022652</v>
      </c>
      <c r="G53" s="59">
        <v>35611</v>
      </c>
      <c r="K53">
        <v>1243858393</v>
      </c>
      <c r="L53" t="e">
        <f>VLOOKUP(K53,'MATRIZ PRINCIPAL'!A:J,10,0)</f>
        <v>#N/A</v>
      </c>
    </row>
    <row r="54" spans="1:12" x14ac:dyDescent="0.3">
      <c r="A54" s="115">
        <v>1016752849</v>
      </c>
      <c r="B54" t="s">
        <v>3856</v>
      </c>
      <c r="C54" s="121">
        <v>44459</v>
      </c>
      <c r="D54" s="59">
        <f t="shared" si="0"/>
        <v>44459</v>
      </c>
      <c r="E54" t="b">
        <f t="shared" si="1"/>
        <v>1</v>
      </c>
      <c r="F54">
        <v>1024576052</v>
      </c>
      <c r="G54" s="59">
        <v>35280</v>
      </c>
      <c r="K54">
        <v>1243859489</v>
      </c>
      <c r="L54" t="e">
        <f>VLOOKUP(K54,'MATRIZ PRINCIPAL'!A:J,10,0)</f>
        <v>#N/A</v>
      </c>
    </row>
    <row r="55" spans="1:12" x14ac:dyDescent="0.3">
      <c r="A55" s="115">
        <v>1023047489</v>
      </c>
      <c r="B55" t="s">
        <v>4132</v>
      </c>
      <c r="C55" s="59">
        <v>44497</v>
      </c>
      <c r="D55" s="59">
        <f t="shared" si="0"/>
        <v>44497</v>
      </c>
      <c r="E55" t="b">
        <f t="shared" si="1"/>
        <v>1</v>
      </c>
      <c r="F55">
        <v>1031172814</v>
      </c>
      <c r="G55" s="59">
        <v>35728</v>
      </c>
      <c r="K55">
        <v>1243860817</v>
      </c>
      <c r="L55" t="e">
        <f>VLOOKUP(K55,'MATRIZ PRINCIPAL'!A:J,10,0)</f>
        <v>#N/A</v>
      </c>
    </row>
    <row r="56" spans="1:12" x14ac:dyDescent="0.3">
      <c r="A56" s="115">
        <v>1023046387</v>
      </c>
      <c r="B56" t="s">
        <v>4133</v>
      </c>
      <c r="C56" s="121">
        <v>44683</v>
      </c>
      <c r="D56" s="59">
        <f t="shared" si="0"/>
        <v>44683</v>
      </c>
      <c r="E56" t="b">
        <f t="shared" si="1"/>
        <v>1</v>
      </c>
      <c r="F56">
        <v>1033755043</v>
      </c>
      <c r="G56" s="59">
        <v>34050</v>
      </c>
      <c r="K56">
        <v>1243860045</v>
      </c>
      <c r="L56" t="e">
        <f>VLOOKUP(K56,'MATRIZ PRINCIPAL'!A:J,10,0)</f>
        <v>#N/A</v>
      </c>
    </row>
    <row r="57" spans="1:12" x14ac:dyDescent="0.3">
      <c r="A57" s="115">
        <v>1013030625</v>
      </c>
      <c r="B57" t="s">
        <v>3825</v>
      </c>
      <c r="C57" s="121">
        <v>44575</v>
      </c>
      <c r="D57" s="59">
        <f t="shared" si="0"/>
        <v>44575</v>
      </c>
      <c r="E57" t="b">
        <f t="shared" si="1"/>
        <v>1</v>
      </c>
      <c r="F57">
        <v>1076019181</v>
      </c>
      <c r="G57" s="59">
        <v>35251</v>
      </c>
      <c r="K57">
        <v>1023048400</v>
      </c>
      <c r="L57" t="e">
        <f>VLOOKUP(K57,'MATRIZ PRINCIPAL'!A:J,10,0)</f>
        <v>#N/A</v>
      </c>
    </row>
    <row r="58" spans="1:12" x14ac:dyDescent="0.3">
      <c r="A58" s="115">
        <v>1243860849</v>
      </c>
      <c r="B58" t="s">
        <v>3824</v>
      </c>
      <c r="C58" s="121">
        <v>44557</v>
      </c>
      <c r="D58" s="59">
        <f t="shared" si="0"/>
        <v>44557</v>
      </c>
      <c r="E58" t="b">
        <f t="shared" si="1"/>
        <v>1</v>
      </c>
      <c r="F58">
        <v>1076320839</v>
      </c>
      <c r="G58" s="59">
        <v>34229</v>
      </c>
      <c r="K58">
        <v>1023048734</v>
      </c>
      <c r="L58" t="e">
        <f>VLOOKUP(K58,'MATRIZ PRINCIPAL'!A:J,10,0)</f>
        <v>#N/A</v>
      </c>
    </row>
    <row r="59" spans="1:12" x14ac:dyDescent="0.3">
      <c r="A59" s="115">
        <v>1027544666</v>
      </c>
      <c r="B59" t="s">
        <v>3826</v>
      </c>
      <c r="C59" s="121">
        <v>44616</v>
      </c>
      <c r="D59" s="59">
        <f t="shared" si="0"/>
        <v>44616</v>
      </c>
      <c r="E59" t="b">
        <f t="shared" si="1"/>
        <v>1</v>
      </c>
      <c r="F59">
        <v>1110469379</v>
      </c>
      <c r="G59" s="59">
        <v>32203</v>
      </c>
      <c r="K59">
        <v>1023048793</v>
      </c>
      <c r="L59" t="e">
        <f>VLOOKUP(K59,'MATRIZ PRINCIPAL'!A:J,10,0)</f>
        <v>#N/A</v>
      </c>
    </row>
    <row r="60" spans="1:12" x14ac:dyDescent="0.3">
      <c r="A60" s="115">
        <v>1023046673</v>
      </c>
      <c r="B60" t="s">
        <v>4000</v>
      </c>
      <c r="C60" s="121">
        <v>44338</v>
      </c>
      <c r="D60" s="59">
        <f t="shared" si="0"/>
        <v>44338</v>
      </c>
      <c r="E60" t="b">
        <f t="shared" si="1"/>
        <v>1</v>
      </c>
      <c r="F60">
        <v>1133154221</v>
      </c>
      <c r="G60" s="59">
        <v>32042</v>
      </c>
      <c r="K60">
        <v>1023048810</v>
      </c>
      <c r="L60" t="e">
        <f>VLOOKUP(K60,'MATRIZ PRINCIPAL'!A:J,10,0)</f>
        <v>#N/A</v>
      </c>
    </row>
    <row r="61" spans="1:12" x14ac:dyDescent="0.3">
      <c r="A61" s="115">
        <v>1018519864</v>
      </c>
      <c r="B61" t="s">
        <v>4134</v>
      </c>
      <c r="C61" s="121">
        <v>44419</v>
      </c>
      <c r="D61" s="59">
        <f t="shared" si="0"/>
        <v>44419</v>
      </c>
      <c r="E61" t="b">
        <f t="shared" si="1"/>
        <v>1</v>
      </c>
      <c r="F61" t="s">
        <v>4063</v>
      </c>
      <c r="G61" s="59">
        <v>37952</v>
      </c>
      <c r="K61">
        <v>1023048858</v>
      </c>
      <c r="L61" t="e">
        <f>VLOOKUP(K61,'MATRIZ PRINCIPAL'!A:J,10,0)</f>
        <v>#N/A</v>
      </c>
    </row>
    <row r="62" spans="1:12" x14ac:dyDescent="0.3">
      <c r="A62" s="115">
        <v>1032946299</v>
      </c>
      <c r="B62" t="s">
        <v>3982</v>
      </c>
      <c r="C62" s="121">
        <v>44388</v>
      </c>
      <c r="D62" s="59">
        <f t="shared" si="0"/>
        <v>44388</v>
      </c>
      <c r="E62" t="b">
        <f t="shared" si="1"/>
        <v>1</v>
      </c>
      <c r="F62">
        <v>1022935813</v>
      </c>
      <c r="G62" s="59">
        <v>38562</v>
      </c>
      <c r="K62">
        <v>1023048879</v>
      </c>
      <c r="L62" t="e">
        <f>VLOOKUP(K62,'MATRIZ PRINCIPAL'!A:J,10,0)</f>
        <v>#N/A</v>
      </c>
    </row>
    <row r="63" spans="1:12" x14ac:dyDescent="0.3">
      <c r="A63" s="115">
        <v>1031187767</v>
      </c>
      <c r="B63" t="s">
        <v>3983</v>
      </c>
      <c r="C63" s="121">
        <v>44397</v>
      </c>
      <c r="D63" s="59">
        <f t="shared" si="0"/>
        <v>44397</v>
      </c>
      <c r="E63" t="b">
        <f t="shared" si="1"/>
        <v>1</v>
      </c>
      <c r="F63">
        <v>1022939239</v>
      </c>
      <c r="G63" s="59">
        <v>38706</v>
      </c>
      <c r="K63">
        <v>1023048929</v>
      </c>
      <c r="L63" t="e">
        <f>VLOOKUP(K63,'MATRIZ PRINCIPAL'!A:J,10,0)</f>
        <v>#N/A</v>
      </c>
    </row>
    <row r="64" spans="1:12" x14ac:dyDescent="0.3">
      <c r="A64" s="115">
        <v>1015197913</v>
      </c>
      <c r="B64" t="s">
        <v>4135</v>
      </c>
      <c r="C64" s="59">
        <v>44213</v>
      </c>
      <c r="D64" s="59">
        <f t="shared" si="0"/>
        <v>44213</v>
      </c>
      <c r="E64" t="b">
        <f t="shared" si="1"/>
        <v>1</v>
      </c>
      <c r="F64">
        <v>1022944806</v>
      </c>
      <c r="G64" s="59">
        <v>38965</v>
      </c>
      <c r="K64">
        <v>1023048955</v>
      </c>
      <c r="L64" t="e">
        <f>VLOOKUP(K64,'MATRIZ PRINCIPAL'!A:J,10,0)</f>
        <v>#N/A</v>
      </c>
    </row>
    <row r="65" spans="1:12" x14ac:dyDescent="0.3">
      <c r="A65" s="115">
        <v>1032513713</v>
      </c>
      <c r="B65" t="s">
        <v>4136</v>
      </c>
      <c r="C65" s="121">
        <v>44237</v>
      </c>
      <c r="D65" s="59">
        <f t="shared" si="0"/>
        <v>44237</v>
      </c>
      <c r="E65" t="b">
        <f t="shared" si="1"/>
        <v>1</v>
      </c>
      <c r="F65">
        <v>1023378468</v>
      </c>
      <c r="G65" s="59">
        <v>39449</v>
      </c>
      <c r="K65">
        <v>1023048978</v>
      </c>
      <c r="L65" t="e">
        <f>VLOOKUP(K65,'MATRIZ PRINCIPAL'!A:J,10,0)</f>
        <v>#N/A</v>
      </c>
    </row>
    <row r="66" spans="1:12" x14ac:dyDescent="0.3">
      <c r="A66" s="115">
        <v>1013156586</v>
      </c>
      <c r="B66" t="s">
        <v>4137</v>
      </c>
      <c r="C66" s="121">
        <v>44055</v>
      </c>
      <c r="D66" s="59">
        <f t="shared" si="0"/>
        <v>44055</v>
      </c>
      <c r="E66" t="b">
        <f t="shared" si="1"/>
        <v>1</v>
      </c>
      <c r="F66">
        <v>1023894383</v>
      </c>
      <c r="G66" s="59">
        <v>38464</v>
      </c>
      <c r="K66">
        <v>1023048984</v>
      </c>
      <c r="L66" t="e">
        <f>VLOOKUP(K66,'MATRIZ PRINCIPAL'!A:J,10,0)</f>
        <v>#N/A</v>
      </c>
    </row>
    <row r="67" spans="1:12" x14ac:dyDescent="0.3">
      <c r="A67" s="115">
        <v>1023046291</v>
      </c>
      <c r="B67" t="s">
        <v>4138</v>
      </c>
      <c r="C67" s="121">
        <v>44221</v>
      </c>
      <c r="D67" s="59">
        <f t="shared" ref="D67:D130" si="2">VLOOKUP(A67,F:G,2,0)</f>
        <v>44221</v>
      </c>
      <c r="E67" t="b">
        <f t="shared" ref="E67:E130" si="3">D67=C67</f>
        <v>1</v>
      </c>
      <c r="F67">
        <v>1092349873</v>
      </c>
      <c r="G67" s="59">
        <v>39097</v>
      </c>
      <c r="K67">
        <v>1023049067</v>
      </c>
      <c r="L67" t="e">
        <f>VLOOKUP(K67,'MATRIZ PRINCIPAL'!A:J,10,0)</f>
        <v>#N/A</v>
      </c>
    </row>
    <row r="68" spans="1:12" x14ac:dyDescent="0.3">
      <c r="A68" s="115">
        <v>1233698686</v>
      </c>
      <c r="B68" t="s">
        <v>4139</v>
      </c>
      <c r="C68" s="121">
        <v>43667</v>
      </c>
      <c r="D68" s="59">
        <f t="shared" si="2"/>
        <v>43667</v>
      </c>
      <c r="E68" t="b">
        <f t="shared" si="3"/>
        <v>1</v>
      </c>
      <c r="F68">
        <v>2092021054</v>
      </c>
      <c r="G68" s="59">
        <v>44441</v>
      </c>
      <c r="K68">
        <v>1023049104</v>
      </c>
      <c r="L68" t="e">
        <f>VLOOKUP(K68,'MATRIZ PRINCIPAL'!A:J,10,0)</f>
        <v>#N/A</v>
      </c>
    </row>
    <row r="69" spans="1:12" x14ac:dyDescent="0.3">
      <c r="A69" s="115">
        <v>1023044822</v>
      </c>
      <c r="B69" t="s">
        <v>4140</v>
      </c>
      <c r="C69" s="121">
        <v>43763</v>
      </c>
      <c r="D69" s="59">
        <f t="shared" si="2"/>
        <v>43763</v>
      </c>
      <c r="E69" t="b">
        <f t="shared" si="3"/>
        <v>1</v>
      </c>
      <c r="F69">
        <v>6042020114</v>
      </c>
      <c r="G69" s="59">
        <v>43927</v>
      </c>
      <c r="K69">
        <v>1023049107</v>
      </c>
      <c r="L69" t="e">
        <f>VLOOKUP(K69,'MATRIZ PRINCIPAL'!A:J,10,0)</f>
        <v>#N/A</v>
      </c>
    </row>
    <row r="70" spans="1:12" x14ac:dyDescent="0.3">
      <c r="A70" s="115">
        <v>1023046277</v>
      </c>
      <c r="B70" t="s">
        <v>4141</v>
      </c>
      <c r="C70" s="121">
        <v>44247</v>
      </c>
      <c r="D70" s="59">
        <f t="shared" si="2"/>
        <v>44247</v>
      </c>
      <c r="E70" t="b">
        <f t="shared" si="3"/>
        <v>1</v>
      </c>
      <c r="F70">
        <v>705202105</v>
      </c>
      <c r="G70" s="59">
        <v>44323</v>
      </c>
      <c r="K70">
        <v>1023049140</v>
      </c>
      <c r="L70" t="e">
        <f>VLOOKUP(K70,'MATRIZ PRINCIPAL'!A:J,10,0)</f>
        <v>#N/A</v>
      </c>
    </row>
    <row r="71" spans="1:12" x14ac:dyDescent="0.3">
      <c r="A71" s="115">
        <v>1023046401</v>
      </c>
      <c r="B71" t="s">
        <v>4142</v>
      </c>
      <c r="C71" s="121">
        <v>44256</v>
      </c>
      <c r="D71" s="59">
        <f t="shared" si="2"/>
        <v>44256</v>
      </c>
      <c r="E71" t="b">
        <f t="shared" si="3"/>
        <v>1</v>
      </c>
      <c r="F71">
        <v>11022018069</v>
      </c>
      <c r="G71" s="59">
        <v>43142</v>
      </c>
      <c r="K71">
        <v>1023049192</v>
      </c>
      <c r="L71" t="e">
        <f>VLOOKUP(K71,'MATRIZ PRINCIPAL'!A:J,10,0)</f>
        <v>#N/A</v>
      </c>
    </row>
    <row r="72" spans="1:12" x14ac:dyDescent="0.3">
      <c r="A72" s="115">
        <v>1140937833</v>
      </c>
      <c r="B72" t="s">
        <v>4143</v>
      </c>
      <c r="C72" s="121">
        <v>43956</v>
      </c>
      <c r="D72" s="59">
        <f t="shared" si="2"/>
        <v>43956</v>
      </c>
      <c r="E72" t="b">
        <f t="shared" si="3"/>
        <v>1</v>
      </c>
      <c r="F72">
        <v>16012018237</v>
      </c>
      <c r="G72" s="59">
        <v>43116</v>
      </c>
      <c r="K72">
        <v>1023990155</v>
      </c>
      <c r="L72" t="e">
        <f>VLOOKUP(K72,'MATRIZ PRINCIPAL'!A:J,10,0)</f>
        <v>#N/A</v>
      </c>
    </row>
    <row r="73" spans="1:12" x14ac:dyDescent="0.3">
      <c r="A73" s="115">
        <v>1140937152</v>
      </c>
      <c r="B73" t="s">
        <v>4144</v>
      </c>
      <c r="C73" s="121">
        <v>43916</v>
      </c>
      <c r="D73" s="59">
        <f t="shared" si="2"/>
        <v>43916</v>
      </c>
      <c r="E73" t="b">
        <f t="shared" si="3"/>
        <v>1</v>
      </c>
      <c r="F73">
        <v>22012020072</v>
      </c>
      <c r="G73" s="59">
        <v>43852</v>
      </c>
      <c r="K73">
        <v>1023990615</v>
      </c>
      <c r="L73" t="e">
        <f>VLOOKUP(K73,'MATRIZ PRINCIPAL'!A:J,10,0)</f>
        <v>#N/A</v>
      </c>
    </row>
    <row r="74" spans="1:12" x14ac:dyDescent="0.3">
      <c r="A74" s="115">
        <v>1243860015</v>
      </c>
      <c r="B74" t="s">
        <v>4145</v>
      </c>
      <c r="C74" s="121">
        <v>44246</v>
      </c>
      <c r="D74" s="59">
        <f t="shared" si="2"/>
        <v>44246</v>
      </c>
      <c r="E74" t="b">
        <f t="shared" si="3"/>
        <v>1</v>
      </c>
      <c r="F74">
        <v>2611201712</v>
      </c>
      <c r="G74" s="59">
        <v>43065</v>
      </c>
      <c r="K74">
        <v>1023990627</v>
      </c>
      <c r="L74" t="e">
        <f>VLOOKUP(K74,'MATRIZ PRINCIPAL'!A:J,10,0)</f>
        <v>#N/A</v>
      </c>
    </row>
    <row r="75" spans="1:12" x14ac:dyDescent="0.3">
      <c r="A75" s="115">
        <v>1033829949</v>
      </c>
      <c r="B75" t="s">
        <v>4146</v>
      </c>
      <c r="C75" s="121">
        <v>44163</v>
      </c>
      <c r="D75" s="59">
        <f t="shared" si="2"/>
        <v>44163</v>
      </c>
      <c r="E75" t="b">
        <f t="shared" si="3"/>
        <v>1</v>
      </c>
      <c r="F75">
        <v>5866411</v>
      </c>
      <c r="G75" s="59">
        <v>44208</v>
      </c>
      <c r="K75">
        <v>1023990929</v>
      </c>
      <c r="L75" t="e">
        <f>VLOOKUP(K75,'MATRIZ PRINCIPAL'!A:J,10,0)</f>
        <v>#N/A</v>
      </c>
    </row>
    <row r="76" spans="1:12" x14ac:dyDescent="0.3">
      <c r="A76" s="115">
        <v>1023044785</v>
      </c>
      <c r="B76" t="s">
        <v>4147</v>
      </c>
      <c r="C76" s="121">
        <v>43817</v>
      </c>
      <c r="D76" s="59">
        <f t="shared" si="2"/>
        <v>43817</v>
      </c>
      <c r="E76" t="b">
        <f t="shared" si="3"/>
        <v>1</v>
      </c>
      <c r="F76">
        <v>6856169</v>
      </c>
      <c r="G76" s="59">
        <v>44175</v>
      </c>
      <c r="K76">
        <v>1028675913</v>
      </c>
      <c r="L76" t="e">
        <f>VLOOKUP(K76,'MATRIZ PRINCIPAL'!A:J,10,0)</f>
        <v>#N/A</v>
      </c>
    </row>
    <row r="77" spans="1:12" x14ac:dyDescent="0.3">
      <c r="A77" s="115">
        <v>1122539379</v>
      </c>
      <c r="B77" t="s">
        <v>4148</v>
      </c>
      <c r="C77" s="121">
        <v>43968</v>
      </c>
      <c r="D77" s="59">
        <f t="shared" si="2"/>
        <v>43968</v>
      </c>
      <c r="E77" t="b">
        <f t="shared" si="3"/>
        <v>1</v>
      </c>
      <c r="F77">
        <v>1010250157</v>
      </c>
      <c r="G77" s="59">
        <v>43586</v>
      </c>
      <c r="K77">
        <v>1028675921</v>
      </c>
      <c r="L77" t="e">
        <f>VLOOKUP(K77,'MATRIZ PRINCIPAL'!A:J,10,0)</f>
        <v>#N/A</v>
      </c>
    </row>
    <row r="78" spans="1:12" x14ac:dyDescent="0.3">
      <c r="A78" s="115">
        <v>1023046103</v>
      </c>
      <c r="B78" t="s">
        <v>4149</v>
      </c>
      <c r="C78" s="121">
        <v>44193</v>
      </c>
      <c r="D78" s="59">
        <f t="shared" si="2"/>
        <v>44193</v>
      </c>
      <c r="E78" t="b">
        <f t="shared" si="3"/>
        <v>1</v>
      </c>
      <c r="F78">
        <v>1010252066</v>
      </c>
      <c r="G78" s="59">
        <v>44400</v>
      </c>
      <c r="K78">
        <v>1028675965</v>
      </c>
      <c r="L78" t="e">
        <f>VLOOKUP(K78,'MATRIZ PRINCIPAL'!A:J,10,0)</f>
        <v>#N/A</v>
      </c>
    </row>
    <row r="79" spans="1:12" x14ac:dyDescent="0.3">
      <c r="A79" s="115">
        <v>1016747900</v>
      </c>
      <c r="B79" t="s">
        <v>4150</v>
      </c>
      <c r="C79" s="121">
        <v>43713</v>
      </c>
      <c r="D79" s="59">
        <f t="shared" si="2"/>
        <v>43713</v>
      </c>
      <c r="E79" t="b">
        <f t="shared" si="3"/>
        <v>1</v>
      </c>
      <c r="F79">
        <v>1010252069</v>
      </c>
      <c r="G79" s="59">
        <v>44355</v>
      </c>
      <c r="K79">
        <v>1117558241</v>
      </c>
      <c r="L79" t="e">
        <f>VLOOKUP(K79,'MATRIZ PRINCIPAL'!A:J,10,0)</f>
        <v>#N/A</v>
      </c>
    </row>
    <row r="80" spans="1:12" x14ac:dyDescent="0.3">
      <c r="A80" s="115">
        <v>1300000542</v>
      </c>
      <c r="B80" t="s">
        <v>4151</v>
      </c>
      <c r="C80" s="59">
        <v>43846</v>
      </c>
      <c r="D80" s="59">
        <f t="shared" si="2"/>
        <v>43846</v>
      </c>
      <c r="E80" t="b">
        <f t="shared" si="3"/>
        <v>1</v>
      </c>
      <c r="F80">
        <v>1010849316</v>
      </c>
      <c r="G80" s="59">
        <v>44062</v>
      </c>
      <c r="K80">
        <v>1243763196</v>
      </c>
      <c r="L80" t="e">
        <f>VLOOKUP(K80,'MATRIZ PRINCIPAL'!A:J,10,0)</f>
        <v>#N/A</v>
      </c>
    </row>
    <row r="81" spans="1:12" x14ac:dyDescent="0.3">
      <c r="A81" s="115">
        <v>1023043960</v>
      </c>
      <c r="B81" t="s">
        <v>4152</v>
      </c>
      <c r="C81" s="121">
        <v>43684</v>
      </c>
      <c r="D81" s="59">
        <f t="shared" si="2"/>
        <v>43684</v>
      </c>
      <c r="E81" t="b">
        <f t="shared" si="3"/>
        <v>1</v>
      </c>
      <c r="F81">
        <v>1010850706</v>
      </c>
      <c r="G81" s="59">
        <v>44635</v>
      </c>
      <c r="K81">
        <v>1243861102</v>
      </c>
      <c r="L81" t="e">
        <f>VLOOKUP(K81,'MATRIZ PRINCIPAL'!A:J,10,0)</f>
        <v>#N/A</v>
      </c>
    </row>
    <row r="82" spans="1:12" x14ac:dyDescent="0.3">
      <c r="A82" s="115">
        <v>1023988413</v>
      </c>
      <c r="B82" t="s">
        <v>4007</v>
      </c>
      <c r="C82" s="59">
        <v>44330</v>
      </c>
      <c r="D82" s="59">
        <f t="shared" si="2"/>
        <v>44330</v>
      </c>
      <c r="E82" t="b">
        <f t="shared" si="3"/>
        <v>1</v>
      </c>
      <c r="F82">
        <v>1011110767</v>
      </c>
      <c r="G82" s="59">
        <v>43843</v>
      </c>
      <c r="K82">
        <v>1243861239</v>
      </c>
      <c r="L82" t="e">
        <f>VLOOKUP(K82,'MATRIZ PRINCIPAL'!A:J,10,0)</f>
        <v>#N/A</v>
      </c>
    </row>
    <row r="83" spans="1:12" x14ac:dyDescent="0.3">
      <c r="A83" s="115">
        <v>1023047293</v>
      </c>
      <c r="B83" t="s">
        <v>3853</v>
      </c>
      <c r="C83" s="59">
        <v>44474</v>
      </c>
      <c r="D83" s="59">
        <f t="shared" si="2"/>
        <v>44474</v>
      </c>
      <c r="E83" t="b">
        <f t="shared" si="3"/>
        <v>1</v>
      </c>
      <c r="F83">
        <v>1011259607</v>
      </c>
      <c r="G83" s="59">
        <v>44091</v>
      </c>
      <c r="K83">
        <v>1245079953</v>
      </c>
      <c r="L83" t="e">
        <f>VLOOKUP(K83,'MATRIZ PRINCIPAL'!A:J,10,0)</f>
        <v>#N/A</v>
      </c>
    </row>
    <row r="84" spans="1:12" x14ac:dyDescent="0.3">
      <c r="A84" s="115">
        <v>1026309481</v>
      </c>
      <c r="B84" t="s">
        <v>4153</v>
      </c>
      <c r="C84" s="121">
        <v>44196</v>
      </c>
      <c r="D84" s="59">
        <f t="shared" si="2"/>
        <v>44196</v>
      </c>
      <c r="E84" t="b">
        <f t="shared" si="3"/>
        <v>1</v>
      </c>
      <c r="F84">
        <v>1011261221</v>
      </c>
      <c r="G84" s="59">
        <v>44474</v>
      </c>
      <c r="K84">
        <v>2092021054</v>
      </c>
      <c r="L84" t="e">
        <f>VLOOKUP(K84,'MATRIZ PRINCIPAL'!A:J,10,0)</f>
        <v>#N/A</v>
      </c>
    </row>
    <row r="85" spans="1:12" x14ac:dyDescent="0.3">
      <c r="A85" s="115">
        <v>1026309480</v>
      </c>
      <c r="B85" t="s">
        <v>4154</v>
      </c>
      <c r="C85" s="121">
        <v>44196</v>
      </c>
      <c r="D85" s="59">
        <f t="shared" si="2"/>
        <v>44196</v>
      </c>
      <c r="E85" t="b">
        <f t="shared" si="3"/>
        <v>1</v>
      </c>
      <c r="F85">
        <v>1011331108</v>
      </c>
      <c r="G85" s="59">
        <v>44021</v>
      </c>
      <c r="K85">
        <v>705202105</v>
      </c>
      <c r="L85" t="e">
        <f>VLOOKUP(K85,'MATRIZ PRINCIPAL'!A:J,10,0)</f>
        <v>#N/A</v>
      </c>
    </row>
    <row r="86" spans="1:12" x14ac:dyDescent="0.3">
      <c r="A86" s="115">
        <v>1023022652</v>
      </c>
      <c r="B86" t="s">
        <v>4155</v>
      </c>
      <c r="C86" s="59">
        <v>35611</v>
      </c>
      <c r="D86" s="59">
        <f t="shared" si="2"/>
        <v>35611</v>
      </c>
      <c r="E86" t="b">
        <f t="shared" si="3"/>
        <v>1</v>
      </c>
      <c r="F86">
        <v>1012926906</v>
      </c>
      <c r="G86" s="59">
        <v>44070</v>
      </c>
      <c r="K86">
        <v>11022018069</v>
      </c>
      <c r="L86" t="e">
        <f>VLOOKUP(K86,'MATRIZ PRINCIPAL'!A:J,10,0)</f>
        <v>#N/A</v>
      </c>
    </row>
    <row r="87" spans="1:12" x14ac:dyDescent="0.3">
      <c r="A87" s="115">
        <v>1027302696</v>
      </c>
      <c r="B87" t="s">
        <v>4156</v>
      </c>
      <c r="C87" s="59">
        <v>44150</v>
      </c>
      <c r="D87" s="59">
        <f t="shared" si="2"/>
        <v>44150</v>
      </c>
      <c r="E87" t="b">
        <f t="shared" si="3"/>
        <v>1</v>
      </c>
      <c r="F87">
        <v>1013030625</v>
      </c>
      <c r="G87" s="59">
        <v>44575</v>
      </c>
      <c r="K87">
        <v>16012018237</v>
      </c>
      <c r="L87" t="e">
        <f>VLOOKUP(K87,'MATRIZ PRINCIPAL'!A:J,10,0)</f>
        <v>#N/A</v>
      </c>
    </row>
    <row r="88" spans="1:12" x14ac:dyDescent="0.3">
      <c r="A88" s="115">
        <v>1023048255</v>
      </c>
      <c r="B88" t="s">
        <v>4157</v>
      </c>
      <c r="C88" s="59">
        <v>44649</v>
      </c>
      <c r="D88" s="59">
        <f t="shared" si="2"/>
        <v>44649</v>
      </c>
      <c r="E88" t="b">
        <f t="shared" si="3"/>
        <v>1</v>
      </c>
      <c r="F88">
        <v>1013156586</v>
      </c>
      <c r="G88" s="59">
        <v>44055</v>
      </c>
      <c r="K88">
        <v>22012020072</v>
      </c>
      <c r="L88" t="e">
        <f>VLOOKUP(K88,'MATRIZ PRINCIPAL'!A:J,10,0)</f>
        <v>#N/A</v>
      </c>
    </row>
    <row r="89" spans="1:12" x14ac:dyDescent="0.3">
      <c r="A89" s="115">
        <v>1029299640</v>
      </c>
      <c r="B89" t="s">
        <v>4158</v>
      </c>
      <c r="C89" s="59">
        <v>43872</v>
      </c>
      <c r="D89" s="59">
        <f t="shared" si="2"/>
        <v>43872</v>
      </c>
      <c r="E89" t="b">
        <f t="shared" si="3"/>
        <v>1</v>
      </c>
      <c r="F89">
        <v>1013363568</v>
      </c>
      <c r="G89" s="59">
        <v>43017</v>
      </c>
      <c r="K89">
        <v>2611201712</v>
      </c>
      <c r="L89" t="e">
        <f>VLOOKUP(K89,'MATRIZ PRINCIPAL'!A:J,10,0)</f>
        <v>#N/A</v>
      </c>
    </row>
    <row r="90" spans="1:12" x14ac:dyDescent="0.3">
      <c r="A90" s="115">
        <v>1140939471</v>
      </c>
      <c r="B90" t="s">
        <v>4159</v>
      </c>
      <c r="C90" s="121">
        <v>44084</v>
      </c>
      <c r="D90" s="59">
        <f t="shared" si="2"/>
        <v>44084</v>
      </c>
      <c r="E90" t="b">
        <f t="shared" si="3"/>
        <v>1</v>
      </c>
      <c r="F90">
        <v>1013697728</v>
      </c>
      <c r="G90" s="59">
        <v>44257</v>
      </c>
      <c r="K90">
        <v>5866411</v>
      </c>
      <c r="L90" t="e">
        <f>VLOOKUP(K90,'MATRIZ PRINCIPAL'!A:J,10,0)</f>
        <v>#N/A</v>
      </c>
    </row>
    <row r="91" spans="1:12" x14ac:dyDescent="0.3">
      <c r="A91" s="115">
        <v>1243759568</v>
      </c>
      <c r="B91" t="s">
        <v>4020</v>
      </c>
      <c r="C91" s="121">
        <v>44218</v>
      </c>
      <c r="D91" s="59">
        <f t="shared" si="2"/>
        <v>44218</v>
      </c>
      <c r="E91" t="b">
        <f t="shared" si="3"/>
        <v>1</v>
      </c>
      <c r="F91">
        <v>1014485581</v>
      </c>
      <c r="G91" s="59">
        <v>43745</v>
      </c>
      <c r="K91">
        <v>6856169</v>
      </c>
      <c r="L91" t="e">
        <f>VLOOKUP(K91,'MATRIZ PRINCIPAL'!A:J,10,0)</f>
        <v>#N/A</v>
      </c>
    </row>
    <row r="92" spans="1:12" x14ac:dyDescent="0.3">
      <c r="A92" s="115">
        <v>1206227830</v>
      </c>
      <c r="B92" t="s">
        <v>3821</v>
      </c>
      <c r="C92" s="121">
        <v>44593</v>
      </c>
      <c r="D92" s="59">
        <f t="shared" si="2"/>
        <v>44593</v>
      </c>
      <c r="E92" t="b">
        <f t="shared" si="3"/>
        <v>1</v>
      </c>
      <c r="F92">
        <v>1015197913</v>
      </c>
      <c r="G92" s="59">
        <v>44213</v>
      </c>
      <c r="K92">
        <v>1010250157</v>
      </c>
      <c r="L92" t="e">
        <f>VLOOKUP(K92,'MATRIZ PRINCIPAL'!A:J,10,0)</f>
        <v>#N/A</v>
      </c>
    </row>
    <row r="93" spans="1:12" x14ac:dyDescent="0.3">
      <c r="A93" s="115">
        <v>1023378468</v>
      </c>
      <c r="B93" t="s">
        <v>4160</v>
      </c>
      <c r="C93" s="59">
        <v>39449</v>
      </c>
      <c r="D93" s="59">
        <f t="shared" si="2"/>
        <v>39449</v>
      </c>
      <c r="E93" t="b">
        <f t="shared" si="3"/>
        <v>1</v>
      </c>
      <c r="F93">
        <v>1016743297</v>
      </c>
      <c r="G93" s="59">
        <v>42955</v>
      </c>
      <c r="K93">
        <v>1010252066</v>
      </c>
      <c r="L93" t="e">
        <f>VLOOKUP(K93,'MATRIZ PRINCIPAL'!A:J,10,0)</f>
        <v>#N/A</v>
      </c>
    </row>
    <row r="94" spans="1:12" x14ac:dyDescent="0.3">
      <c r="A94" s="115">
        <v>1110469379</v>
      </c>
      <c r="B94" t="s">
        <v>4161</v>
      </c>
      <c r="C94" s="121">
        <v>32203</v>
      </c>
      <c r="D94" s="59">
        <f t="shared" si="2"/>
        <v>32203</v>
      </c>
      <c r="E94" t="b">
        <f t="shared" si="3"/>
        <v>1</v>
      </c>
      <c r="F94">
        <v>1016744027</v>
      </c>
      <c r="G94" s="59">
        <v>43083</v>
      </c>
      <c r="K94">
        <v>1010850706</v>
      </c>
      <c r="L94" t="e">
        <f>VLOOKUP(K94,'MATRIZ PRINCIPAL'!A:J,10,0)</f>
        <v>#N/A</v>
      </c>
    </row>
    <row r="95" spans="1:12" x14ac:dyDescent="0.3">
      <c r="A95" s="115">
        <v>1243861239</v>
      </c>
      <c r="B95" t="s">
        <v>4162</v>
      </c>
      <c r="C95" s="59">
        <v>44796</v>
      </c>
      <c r="D95" s="59">
        <f t="shared" si="2"/>
        <v>44796</v>
      </c>
      <c r="E95" t="b">
        <f t="shared" si="3"/>
        <v>1</v>
      </c>
      <c r="F95">
        <v>1016746746</v>
      </c>
      <c r="G95" s="59">
        <v>43525</v>
      </c>
      <c r="K95">
        <v>1011110767</v>
      </c>
      <c r="L95" t="e">
        <f>VLOOKUP(K95,'MATRIZ PRINCIPAL'!A:J,10,0)</f>
        <v>#N/A</v>
      </c>
    </row>
    <row r="96" spans="1:12" x14ac:dyDescent="0.3">
      <c r="A96" s="115">
        <v>1023990542</v>
      </c>
      <c r="B96" t="s">
        <v>4163</v>
      </c>
      <c r="C96" s="59">
        <v>44632</v>
      </c>
      <c r="D96" s="59">
        <f t="shared" si="2"/>
        <v>44632</v>
      </c>
      <c r="E96" t="b">
        <f t="shared" si="3"/>
        <v>1</v>
      </c>
      <c r="F96">
        <v>1016747900</v>
      </c>
      <c r="G96" s="59">
        <v>43713</v>
      </c>
      <c r="K96">
        <v>1011331108</v>
      </c>
      <c r="L96" t="e">
        <f>VLOOKUP(K96,'MATRIZ PRINCIPAL'!A:J,10,0)</f>
        <v>#N/A</v>
      </c>
    </row>
    <row r="97" spans="1:12" x14ac:dyDescent="0.3">
      <c r="A97" s="115">
        <v>1243860608</v>
      </c>
      <c r="B97" t="s">
        <v>4164</v>
      </c>
      <c r="C97" s="121">
        <v>44424</v>
      </c>
      <c r="D97" s="59">
        <f t="shared" si="2"/>
        <v>44424</v>
      </c>
      <c r="E97" t="b">
        <f t="shared" si="3"/>
        <v>1</v>
      </c>
      <c r="F97">
        <v>1016748415</v>
      </c>
      <c r="G97" s="59">
        <v>43794</v>
      </c>
      <c r="K97">
        <v>1013363568</v>
      </c>
      <c r="L97" t="e">
        <f>VLOOKUP(K97,'MATRIZ PRINCIPAL'!A:J,10,0)</f>
        <v>#N/A</v>
      </c>
    </row>
    <row r="98" spans="1:12" x14ac:dyDescent="0.3">
      <c r="A98" s="115">
        <v>1049663473</v>
      </c>
      <c r="B98" s="115" t="s">
        <v>4165</v>
      </c>
      <c r="C98" s="59">
        <v>44366</v>
      </c>
      <c r="D98" s="59">
        <f t="shared" si="2"/>
        <v>44366</v>
      </c>
      <c r="E98" t="b">
        <f t="shared" si="3"/>
        <v>1</v>
      </c>
      <c r="F98">
        <v>1016749017</v>
      </c>
      <c r="G98" s="59">
        <v>43895</v>
      </c>
      <c r="K98">
        <v>1013697728</v>
      </c>
      <c r="L98" t="e">
        <f>VLOOKUP(K98,'MATRIZ PRINCIPAL'!A:J,10,0)</f>
        <v>#N/A</v>
      </c>
    </row>
    <row r="99" spans="1:12" x14ac:dyDescent="0.3">
      <c r="A99" s="115">
        <v>1026309444</v>
      </c>
      <c r="B99" t="s">
        <v>4166</v>
      </c>
      <c r="C99" s="121">
        <v>44188</v>
      </c>
      <c r="D99" s="59">
        <f t="shared" si="2"/>
        <v>44188</v>
      </c>
      <c r="E99" t="b">
        <f t="shared" si="3"/>
        <v>1</v>
      </c>
      <c r="F99">
        <v>1016749744</v>
      </c>
      <c r="G99" s="59">
        <v>43962</v>
      </c>
      <c r="K99">
        <v>1014485581</v>
      </c>
      <c r="L99" t="e">
        <f>VLOOKUP(K99,'MATRIZ PRINCIPAL'!A:J,10,0)</f>
        <v>#N/A</v>
      </c>
    </row>
    <row r="100" spans="1:12" x14ac:dyDescent="0.3">
      <c r="A100" s="115">
        <v>1026309443</v>
      </c>
      <c r="B100" t="s">
        <v>4167</v>
      </c>
      <c r="C100" s="121">
        <v>44188</v>
      </c>
      <c r="D100" s="59">
        <f t="shared" si="2"/>
        <v>44188</v>
      </c>
      <c r="E100" t="b">
        <f t="shared" si="3"/>
        <v>1</v>
      </c>
      <c r="F100">
        <v>1016750794</v>
      </c>
      <c r="G100" s="59">
        <v>44137</v>
      </c>
      <c r="K100">
        <v>1015197913</v>
      </c>
      <c r="L100" t="e">
        <f>VLOOKUP(K100,'MATRIZ PRINCIPAL'!A:J,10,0)</f>
        <v>#N/A</v>
      </c>
    </row>
    <row r="101" spans="1:12" x14ac:dyDescent="0.3">
      <c r="A101" s="115">
        <v>1023048955</v>
      </c>
      <c r="B101" t="s">
        <v>4168</v>
      </c>
      <c r="C101" s="59">
        <v>44776</v>
      </c>
      <c r="D101" s="59">
        <f t="shared" si="2"/>
        <v>44776</v>
      </c>
      <c r="E101" t="b">
        <f t="shared" si="3"/>
        <v>1</v>
      </c>
      <c r="F101">
        <v>1016750852</v>
      </c>
      <c r="G101" s="59">
        <v>44144</v>
      </c>
      <c r="K101">
        <v>1016743297</v>
      </c>
      <c r="L101" t="e">
        <f>VLOOKUP(K101,'MATRIZ PRINCIPAL'!A:J,10,0)</f>
        <v>#N/A</v>
      </c>
    </row>
    <row r="102" spans="1:12" x14ac:dyDescent="0.3">
      <c r="A102" s="115">
        <v>1023048337</v>
      </c>
      <c r="B102" t="s">
        <v>4169</v>
      </c>
      <c r="C102" s="121">
        <v>44666</v>
      </c>
      <c r="D102" s="59">
        <f t="shared" si="2"/>
        <v>44666</v>
      </c>
      <c r="E102" t="b">
        <f t="shared" si="3"/>
        <v>1</v>
      </c>
      <c r="F102">
        <v>1016751226</v>
      </c>
      <c r="G102" s="59">
        <v>44209</v>
      </c>
      <c r="K102">
        <v>1016744027</v>
      </c>
      <c r="L102" t="e">
        <f>VLOOKUP(K102,'MATRIZ PRINCIPAL'!A:J,10,0)</f>
        <v>#N/A</v>
      </c>
    </row>
    <row r="103" spans="1:12" x14ac:dyDescent="0.3">
      <c r="A103" s="115">
        <v>1023422698</v>
      </c>
      <c r="B103" t="s">
        <v>4170</v>
      </c>
      <c r="C103" s="121">
        <v>44712</v>
      </c>
      <c r="D103" s="59">
        <f t="shared" si="2"/>
        <v>44712</v>
      </c>
      <c r="E103" t="b">
        <f t="shared" si="3"/>
        <v>1</v>
      </c>
      <c r="F103">
        <v>1016751329</v>
      </c>
      <c r="G103" s="59">
        <v>44224</v>
      </c>
      <c r="K103">
        <v>1016746746</v>
      </c>
      <c r="L103" t="e">
        <f>VLOOKUP(K103,'MATRIZ PRINCIPAL'!A:J,10,0)</f>
        <v>#N/A</v>
      </c>
    </row>
    <row r="104" spans="1:12" x14ac:dyDescent="0.3">
      <c r="A104" s="115">
        <v>1074161366</v>
      </c>
      <c r="B104" t="s">
        <v>4171</v>
      </c>
      <c r="C104" s="121">
        <v>44702</v>
      </c>
      <c r="D104" s="59">
        <f t="shared" si="2"/>
        <v>44702</v>
      </c>
      <c r="E104" t="b">
        <f t="shared" si="3"/>
        <v>1</v>
      </c>
      <c r="F104">
        <v>1016751403</v>
      </c>
      <c r="G104" s="59">
        <v>44238</v>
      </c>
      <c r="K104">
        <v>1016748415</v>
      </c>
      <c r="L104" t="e">
        <f>VLOOKUP(K104,'MATRIZ PRINCIPAL'!A:J,10,0)</f>
        <v>#N/A</v>
      </c>
    </row>
    <row r="105" spans="1:12" x14ac:dyDescent="0.3">
      <c r="A105" s="115">
        <v>1023048697</v>
      </c>
      <c r="B105" t="s">
        <v>4172</v>
      </c>
      <c r="C105" s="59">
        <v>44724</v>
      </c>
      <c r="D105" s="59">
        <f t="shared" si="2"/>
        <v>44724</v>
      </c>
      <c r="E105" t="b">
        <f t="shared" si="3"/>
        <v>1</v>
      </c>
      <c r="F105">
        <v>1016752177</v>
      </c>
      <c r="G105" s="59">
        <v>44376</v>
      </c>
      <c r="K105">
        <v>1016749744</v>
      </c>
      <c r="L105" t="e">
        <f>VLOOKUP(K105,'MATRIZ PRINCIPAL'!A:J,10,0)</f>
        <v>#N/A</v>
      </c>
    </row>
    <row r="106" spans="1:12" x14ac:dyDescent="0.3">
      <c r="A106">
        <v>1021319533</v>
      </c>
      <c r="B106" t="s">
        <v>4173</v>
      </c>
      <c r="C106" s="122">
        <v>44615</v>
      </c>
      <c r="D106" s="59">
        <f t="shared" si="2"/>
        <v>44615</v>
      </c>
      <c r="E106" t="b">
        <f t="shared" si="3"/>
        <v>1</v>
      </c>
      <c r="F106">
        <v>1016752365</v>
      </c>
      <c r="G106" s="59">
        <v>44400</v>
      </c>
      <c r="K106">
        <v>1016751226</v>
      </c>
      <c r="L106" t="e">
        <f>VLOOKUP(K106,'MATRIZ PRINCIPAL'!A:J,10,0)</f>
        <v>#N/A</v>
      </c>
    </row>
    <row r="107" spans="1:12" x14ac:dyDescent="0.3">
      <c r="A107" s="115">
        <v>1032514103</v>
      </c>
      <c r="B107" t="s">
        <v>4174</v>
      </c>
      <c r="C107" s="59">
        <v>44466</v>
      </c>
      <c r="D107" s="59">
        <f t="shared" si="2"/>
        <v>44466</v>
      </c>
      <c r="E107" t="b">
        <f t="shared" si="3"/>
        <v>1</v>
      </c>
      <c r="F107">
        <v>1016752849</v>
      </c>
      <c r="G107" s="59">
        <v>44459</v>
      </c>
      <c r="K107">
        <v>1016751329</v>
      </c>
      <c r="L107" t="e">
        <f>VLOOKUP(K107,'MATRIZ PRINCIPAL'!A:J,10,0)</f>
        <v>#N/A</v>
      </c>
    </row>
    <row r="108" spans="1:12" x14ac:dyDescent="0.3">
      <c r="A108" s="115">
        <v>1121975670</v>
      </c>
      <c r="B108" t="s">
        <v>4175</v>
      </c>
      <c r="C108" s="121">
        <v>44153</v>
      </c>
      <c r="D108" s="59">
        <f t="shared" si="2"/>
        <v>44153</v>
      </c>
      <c r="E108" t="b">
        <f t="shared" si="3"/>
        <v>1</v>
      </c>
      <c r="F108">
        <v>1016753171</v>
      </c>
      <c r="G108" s="59">
        <v>44530</v>
      </c>
      <c r="K108">
        <v>1016751379</v>
      </c>
      <c r="L108" t="e">
        <f>VLOOKUP(K108,'MATRIZ PRINCIPAL'!A:J,10,0)</f>
        <v>#N/A</v>
      </c>
    </row>
    <row r="109" spans="1:12" x14ac:dyDescent="0.3">
      <c r="A109" s="115">
        <v>1140938208</v>
      </c>
      <c r="B109" t="s">
        <v>4176</v>
      </c>
      <c r="C109" s="121">
        <v>43922</v>
      </c>
      <c r="D109" s="59">
        <f t="shared" si="2"/>
        <v>43922</v>
      </c>
      <c r="E109" t="b">
        <f t="shared" si="3"/>
        <v>1</v>
      </c>
      <c r="F109">
        <v>1016753638</v>
      </c>
      <c r="G109" s="59">
        <v>44619</v>
      </c>
      <c r="K109">
        <v>1016751403</v>
      </c>
      <c r="L109" t="e">
        <f>VLOOKUP(K109,'MATRIZ PRINCIPAL'!A:J,10,0)</f>
        <v>#N/A</v>
      </c>
    </row>
    <row r="110" spans="1:12" x14ac:dyDescent="0.3">
      <c r="A110" s="115">
        <v>1023045131</v>
      </c>
      <c r="B110" t="s">
        <v>4177</v>
      </c>
      <c r="C110" s="121">
        <v>43846</v>
      </c>
      <c r="D110" s="59">
        <f t="shared" si="2"/>
        <v>43846</v>
      </c>
      <c r="E110" t="b">
        <f t="shared" si="3"/>
        <v>1</v>
      </c>
      <c r="F110">
        <v>1016921602</v>
      </c>
      <c r="G110" s="59">
        <v>43895</v>
      </c>
      <c r="K110">
        <v>1016752177</v>
      </c>
      <c r="L110" t="e">
        <f>VLOOKUP(K110,'MATRIZ PRINCIPAL'!A:J,10,0)</f>
        <v>#N/A</v>
      </c>
    </row>
    <row r="111" spans="1:12" x14ac:dyDescent="0.3">
      <c r="A111" s="115">
        <v>1023045915</v>
      </c>
      <c r="B111" t="s">
        <v>4178</v>
      </c>
      <c r="C111" s="59">
        <v>44144</v>
      </c>
      <c r="D111" s="59">
        <f t="shared" si="2"/>
        <v>44144</v>
      </c>
      <c r="E111" t="b">
        <f t="shared" si="3"/>
        <v>1</v>
      </c>
      <c r="F111">
        <v>1016968973</v>
      </c>
      <c r="G111" s="59">
        <v>44002</v>
      </c>
      <c r="K111">
        <v>1016752365</v>
      </c>
      <c r="L111" t="e">
        <f>VLOOKUP(K111,'MATRIZ PRINCIPAL'!A:J,10,0)</f>
        <v>#N/A</v>
      </c>
    </row>
    <row r="112" spans="1:12" x14ac:dyDescent="0.3">
      <c r="A112" s="115">
        <v>1023046429</v>
      </c>
      <c r="B112" t="s">
        <v>4179</v>
      </c>
      <c r="C112" s="121">
        <v>44252</v>
      </c>
      <c r="D112" s="59">
        <f t="shared" si="2"/>
        <v>44252</v>
      </c>
      <c r="E112" t="b">
        <f t="shared" si="3"/>
        <v>1</v>
      </c>
      <c r="F112">
        <v>1016969726</v>
      </c>
      <c r="G112" s="59">
        <v>44104</v>
      </c>
      <c r="K112">
        <v>1016753171</v>
      </c>
      <c r="L112" t="e">
        <f>VLOOKUP(K112,'MATRIZ PRINCIPAL'!A:J,10,0)</f>
        <v>#N/A</v>
      </c>
    </row>
    <row r="113" spans="1:12" x14ac:dyDescent="0.3">
      <c r="A113" s="115">
        <v>1010252069</v>
      </c>
      <c r="B113" t="s">
        <v>4180</v>
      </c>
      <c r="C113" s="121">
        <v>44355</v>
      </c>
      <c r="D113" s="59">
        <f t="shared" si="2"/>
        <v>44355</v>
      </c>
      <c r="E113" t="b">
        <f t="shared" si="3"/>
        <v>1</v>
      </c>
      <c r="F113">
        <v>1018519455</v>
      </c>
      <c r="G113" s="59">
        <v>44235</v>
      </c>
      <c r="K113">
        <v>1019160101</v>
      </c>
      <c r="L113" t="e">
        <f>VLOOKUP(K113,'MATRIZ PRINCIPAL'!A:J,10,0)</f>
        <v>#N/A</v>
      </c>
    </row>
    <row r="114" spans="1:12" x14ac:dyDescent="0.3">
      <c r="A114" s="115">
        <v>1243858756</v>
      </c>
      <c r="B114" t="s">
        <v>4181</v>
      </c>
      <c r="C114" s="121">
        <v>43992</v>
      </c>
      <c r="D114" s="59">
        <f t="shared" si="2"/>
        <v>43992</v>
      </c>
      <c r="E114" t="b">
        <f t="shared" si="3"/>
        <v>1</v>
      </c>
      <c r="F114">
        <v>1018519864</v>
      </c>
      <c r="G114" s="59">
        <v>44419</v>
      </c>
      <c r="K114">
        <v>1021696648</v>
      </c>
      <c r="L114" t="e">
        <f>VLOOKUP(K114,'MATRIZ PRINCIPAL'!A:J,10,0)</f>
        <v>#N/A</v>
      </c>
    </row>
    <row r="115" spans="1:12" x14ac:dyDescent="0.3">
      <c r="A115" s="115">
        <v>1243859520</v>
      </c>
      <c r="B115" t="s">
        <v>4182</v>
      </c>
      <c r="C115" s="121">
        <v>44082</v>
      </c>
      <c r="D115" s="59">
        <f t="shared" si="2"/>
        <v>44082</v>
      </c>
      <c r="E115" t="b">
        <f t="shared" si="3"/>
        <v>1</v>
      </c>
      <c r="F115">
        <v>1019160101</v>
      </c>
      <c r="G115" s="59">
        <v>44339</v>
      </c>
      <c r="K115">
        <v>1023041247</v>
      </c>
      <c r="L115" t="e">
        <f>VLOOKUP(K115,'MATRIZ PRINCIPAL'!A:J,10,0)</f>
        <v>#N/A</v>
      </c>
    </row>
    <row r="116" spans="1:12" x14ac:dyDescent="0.3">
      <c r="A116" s="115">
        <v>1010250157</v>
      </c>
      <c r="B116" t="s">
        <v>4183</v>
      </c>
      <c r="C116" s="59">
        <v>43586</v>
      </c>
      <c r="D116" s="59">
        <f t="shared" si="2"/>
        <v>43586</v>
      </c>
      <c r="E116" t="b">
        <f t="shared" si="3"/>
        <v>1</v>
      </c>
      <c r="F116">
        <v>1021319533</v>
      </c>
      <c r="G116" s="59">
        <v>44615</v>
      </c>
      <c r="K116">
        <v>1023042724</v>
      </c>
      <c r="L116" t="e">
        <f>VLOOKUP(K116,'MATRIZ PRINCIPAL'!A:J,10,0)</f>
        <v>#N/A</v>
      </c>
    </row>
    <row r="117" spans="1:12" x14ac:dyDescent="0.3">
      <c r="A117" s="115">
        <v>1023047348</v>
      </c>
      <c r="B117" t="s">
        <v>3859</v>
      </c>
      <c r="C117" s="121">
        <v>44456</v>
      </c>
      <c r="D117" s="59">
        <f t="shared" si="2"/>
        <v>44456</v>
      </c>
      <c r="E117" t="b">
        <f t="shared" si="3"/>
        <v>1</v>
      </c>
      <c r="F117">
        <v>1021515724</v>
      </c>
      <c r="G117" s="59">
        <v>44672</v>
      </c>
      <c r="K117">
        <v>1023043988</v>
      </c>
      <c r="L117" t="e">
        <f>VLOOKUP(K117,'MATRIZ PRINCIPAL'!A:J,10,0)</f>
        <v>#N/A</v>
      </c>
    </row>
    <row r="118" spans="1:12" x14ac:dyDescent="0.3">
      <c r="A118" s="115">
        <v>1026310144</v>
      </c>
      <c r="B118" t="s">
        <v>3851</v>
      </c>
      <c r="C118" s="121">
        <v>44464</v>
      </c>
      <c r="D118" s="59">
        <f t="shared" si="2"/>
        <v>44464</v>
      </c>
      <c r="E118" t="b">
        <f t="shared" si="3"/>
        <v>1</v>
      </c>
      <c r="F118">
        <v>1021694945</v>
      </c>
      <c r="G118" s="59">
        <v>43890</v>
      </c>
      <c r="K118">
        <v>1023044204</v>
      </c>
      <c r="L118" t="e">
        <f>VLOOKUP(K118,'MATRIZ PRINCIPAL'!A:J,10,0)</f>
        <v>#N/A</v>
      </c>
    </row>
    <row r="119" spans="1:12" x14ac:dyDescent="0.3">
      <c r="A119" s="115">
        <v>1150190022</v>
      </c>
      <c r="B119" t="s">
        <v>4184</v>
      </c>
      <c r="C119" s="121">
        <v>44200</v>
      </c>
      <c r="D119" s="59">
        <f t="shared" si="2"/>
        <v>44200</v>
      </c>
      <c r="E119" t="b">
        <f t="shared" si="3"/>
        <v>1</v>
      </c>
      <c r="F119">
        <v>1021695137</v>
      </c>
      <c r="G119" s="59">
        <v>43953</v>
      </c>
      <c r="K119">
        <v>1023045054</v>
      </c>
      <c r="L119" t="e">
        <f>VLOOKUP(K119,'MATRIZ PRINCIPAL'!A:J,10,0)</f>
        <v>#N/A</v>
      </c>
    </row>
    <row r="120" spans="1:12" x14ac:dyDescent="0.3">
      <c r="A120" s="115">
        <v>1023046408</v>
      </c>
      <c r="B120" t="s">
        <v>4185</v>
      </c>
      <c r="C120" s="121">
        <v>44203</v>
      </c>
      <c r="D120" s="59">
        <f t="shared" si="2"/>
        <v>44203</v>
      </c>
      <c r="E120" t="b">
        <f t="shared" si="3"/>
        <v>1</v>
      </c>
      <c r="F120">
        <v>1021696648</v>
      </c>
      <c r="G120" s="59">
        <v>44372</v>
      </c>
      <c r="K120">
        <v>1023045428</v>
      </c>
      <c r="L120" t="e">
        <f>VLOOKUP(K120,'MATRIZ PRINCIPAL'!A:J,10,0)</f>
        <v>#N/A</v>
      </c>
    </row>
    <row r="121" spans="1:12" x14ac:dyDescent="0.3">
      <c r="A121" s="115">
        <v>1026603423</v>
      </c>
      <c r="B121" t="s">
        <v>3997</v>
      </c>
      <c r="C121" s="121">
        <v>44343</v>
      </c>
      <c r="D121" s="59">
        <f t="shared" si="2"/>
        <v>44343</v>
      </c>
      <c r="E121" t="b">
        <f t="shared" si="3"/>
        <v>1</v>
      </c>
      <c r="F121">
        <v>1021696822</v>
      </c>
      <c r="G121" s="59">
        <v>44527</v>
      </c>
      <c r="K121">
        <v>1023045681</v>
      </c>
      <c r="L121" t="e">
        <f>VLOOKUP(K121,'MATRIZ PRINCIPAL'!A:J,10,0)</f>
        <v>#N/A</v>
      </c>
    </row>
    <row r="122" spans="1:12" x14ac:dyDescent="0.3">
      <c r="A122" s="115">
        <v>1023045870</v>
      </c>
      <c r="B122" t="s">
        <v>4186</v>
      </c>
      <c r="C122" s="121">
        <v>44132</v>
      </c>
      <c r="D122" s="59">
        <f t="shared" si="2"/>
        <v>44132</v>
      </c>
      <c r="E122" t="b">
        <f t="shared" si="3"/>
        <v>1</v>
      </c>
      <c r="F122">
        <v>1021696970</v>
      </c>
      <c r="G122" s="59">
        <v>44642</v>
      </c>
      <c r="K122">
        <v>1023045825</v>
      </c>
      <c r="L122" t="e">
        <f>VLOOKUP(K122,'MATRIZ PRINCIPAL'!A:J,10,0)</f>
        <v>#N/A</v>
      </c>
    </row>
    <row r="123" spans="1:12" x14ac:dyDescent="0.3">
      <c r="A123" s="115">
        <v>1023047163</v>
      </c>
      <c r="B123" t="s">
        <v>3976</v>
      </c>
      <c r="C123" s="121">
        <v>44432</v>
      </c>
      <c r="D123" s="59">
        <f t="shared" si="2"/>
        <v>44432</v>
      </c>
      <c r="E123" t="b">
        <f t="shared" si="3"/>
        <v>1</v>
      </c>
      <c r="F123">
        <v>1022451621</v>
      </c>
      <c r="G123" s="59">
        <v>44591</v>
      </c>
      <c r="K123">
        <v>1023046119</v>
      </c>
      <c r="L123" t="e">
        <f>VLOOKUP(K123,'MATRIZ PRINCIPAL'!A:J,10,0)</f>
        <v>#N/A</v>
      </c>
    </row>
    <row r="124" spans="1:12" x14ac:dyDescent="0.3">
      <c r="A124" s="115">
        <v>1021696648</v>
      </c>
      <c r="B124" t="s">
        <v>4187</v>
      </c>
      <c r="C124" s="59">
        <v>44372</v>
      </c>
      <c r="D124" s="59">
        <f t="shared" si="2"/>
        <v>44372</v>
      </c>
      <c r="E124" t="b">
        <f t="shared" si="3"/>
        <v>1</v>
      </c>
      <c r="F124">
        <v>1023041247</v>
      </c>
      <c r="G124" s="59">
        <v>43255</v>
      </c>
      <c r="K124">
        <v>1023046494</v>
      </c>
      <c r="L124" t="e">
        <f>VLOOKUP(K124,'MATRIZ PRINCIPAL'!A:J,10,0)</f>
        <v>#N/A</v>
      </c>
    </row>
    <row r="125" spans="1:12" x14ac:dyDescent="0.3">
      <c r="A125" s="115">
        <v>1016753638</v>
      </c>
      <c r="B125" t="s">
        <v>4188</v>
      </c>
      <c r="C125" s="121">
        <v>44619</v>
      </c>
      <c r="D125" s="59">
        <f t="shared" si="2"/>
        <v>44619</v>
      </c>
      <c r="E125" t="b">
        <f t="shared" si="3"/>
        <v>1</v>
      </c>
      <c r="F125">
        <v>1023041908</v>
      </c>
      <c r="G125" s="59">
        <v>43366</v>
      </c>
      <c r="K125">
        <v>1023046582</v>
      </c>
      <c r="L125" t="e">
        <f>VLOOKUP(K125,'MATRIZ PRINCIPAL'!A:J,10,0)</f>
        <v>#N/A</v>
      </c>
    </row>
    <row r="126" spans="1:12" x14ac:dyDescent="0.3">
      <c r="A126" s="115">
        <v>1243861036</v>
      </c>
      <c r="B126" t="s">
        <v>4189</v>
      </c>
      <c r="C126" s="121">
        <v>44651</v>
      </c>
      <c r="D126" s="59">
        <f t="shared" si="2"/>
        <v>44651</v>
      </c>
      <c r="E126" t="b">
        <f t="shared" si="3"/>
        <v>1</v>
      </c>
      <c r="F126">
        <v>1023042724</v>
      </c>
      <c r="G126" s="59">
        <v>43499</v>
      </c>
      <c r="K126">
        <v>1023046801</v>
      </c>
      <c r="L126" t="e">
        <f>VLOOKUP(K126,'MATRIZ PRINCIPAL'!A:J,10,0)</f>
        <v>#N/A</v>
      </c>
    </row>
    <row r="127" spans="1:12" x14ac:dyDescent="0.3">
      <c r="A127" s="115">
        <v>1023047998</v>
      </c>
      <c r="B127" t="s">
        <v>4190</v>
      </c>
      <c r="C127" s="59">
        <v>44617</v>
      </c>
      <c r="D127" s="59">
        <f t="shared" si="2"/>
        <v>44617</v>
      </c>
      <c r="E127" t="b">
        <f t="shared" si="3"/>
        <v>1</v>
      </c>
      <c r="F127">
        <v>1023043525</v>
      </c>
      <c r="G127" s="59">
        <v>43617</v>
      </c>
      <c r="K127">
        <v>1023046980</v>
      </c>
      <c r="L127" t="e">
        <f>VLOOKUP(K127,'MATRIZ PRINCIPAL'!A:J,10,0)</f>
        <v>#N/A</v>
      </c>
    </row>
    <row r="128" spans="1:12" x14ac:dyDescent="0.3">
      <c r="A128" s="115">
        <v>1023047672</v>
      </c>
      <c r="B128" t="s">
        <v>3840</v>
      </c>
      <c r="C128" s="121">
        <v>44559</v>
      </c>
      <c r="D128" s="59">
        <f t="shared" si="2"/>
        <v>44559</v>
      </c>
      <c r="E128" t="b">
        <f t="shared" si="3"/>
        <v>1</v>
      </c>
      <c r="F128">
        <v>1023043960</v>
      </c>
      <c r="G128" s="59">
        <v>43684</v>
      </c>
      <c r="K128">
        <v>1023047456</v>
      </c>
      <c r="L128" t="e">
        <f>VLOOKUP(K128,'MATRIZ PRINCIPAL'!A:J,10,0)</f>
        <v>#N/A</v>
      </c>
    </row>
    <row r="129" spans="1:12" x14ac:dyDescent="0.3">
      <c r="A129" s="115">
        <v>1022451621</v>
      </c>
      <c r="B129" t="s">
        <v>4191</v>
      </c>
      <c r="C129" s="121">
        <v>44591</v>
      </c>
      <c r="D129" s="59">
        <f t="shared" si="2"/>
        <v>44591</v>
      </c>
      <c r="E129" t="b">
        <f t="shared" si="3"/>
        <v>1</v>
      </c>
      <c r="F129">
        <v>1023043961</v>
      </c>
      <c r="G129" s="59">
        <v>43684</v>
      </c>
      <c r="K129">
        <v>1023048476</v>
      </c>
      <c r="L129" t="e">
        <f>VLOOKUP(K129,'MATRIZ PRINCIPAL'!A:J,10,0)</f>
        <v>#N/A</v>
      </c>
    </row>
    <row r="130" spans="1:12" x14ac:dyDescent="0.3">
      <c r="A130" s="115">
        <v>1023047935</v>
      </c>
      <c r="B130" t="s">
        <v>3820</v>
      </c>
      <c r="C130" s="121">
        <v>44574</v>
      </c>
      <c r="D130" s="59">
        <f t="shared" si="2"/>
        <v>44574</v>
      </c>
      <c r="E130" t="b">
        <f t="shared" si="3"/>
        <v>1</v>
      </c>
      <c r="F130">
        <v>1023043988</v>
      </c>
      <c r="G130" s="59">
        <v>43690</v>
      </c>
      <c r="K130">
        <v>1023980011</v>
      </c>
      <c r="L130" t="e">
        <f>VLOOKUP(K130,'MATRIZ PRINCIPAL'!A:J,10,0)</f>
        <v>#N/A</v>
      </c>
    </row>
    <row r="131" spans="1:12" x14ac:dyDescent="0.3">
      <c r="A131" s="115">
        <v>1011261221</v>
      </c>
      <c r="B131" t="s">
        <v>3852</v>
      </c>
      <c r="C131" s="121">
        <v>44474</v>
      </c>
      <c r="D131" s="59">
        <f t="shared" ref="D131:D194" si="4">VLOOKUP(A131,F:G,2,0)</f>
        <v>44474</v>
      </c>
      <c r="E131" t="b">
        <f t="shared" ref="E131:E194" si="5">D131=C131</f>
        <v>1</v>
      </c>
      <c r="F131">
        <v>1023044204</v>
      </c>
      <c r="G131" s="59">
        <v>43715</v>
      </c>
      <c r="K131">
        <v>1023981728</v>
      </c>
      <c r="L131" t="e">
        <f>VLOOKUP(K131,'MATRIZ PRINCIPAL'!A:J,10,0)</f>
        <v>#N/A</v>
      </c>
    </row>
    <row r="132" spans="1:12" x14ac:dyDescent="0.3">
      <c r="A132" s="115">
        <v>1023047101</v>
      </c>
      <c r="B132" t="s">
        <v>3975</v>
      </c>
      <c r="C132" s="121">
        <v>44435</v>
      </c>
      <c r="D132" s="59">
        <f t="shared" si="4"/>
        <v>44435</v>
      </c>
      <c r="E132" t="b">
        <f t="shared" si="5"/>
        <v>1</v>
      </c>
      <c r="F132">
        <v>1023044785</v>
      </c>
      <c r="G132" s="59">
        <v>43817</v>
      </c>
      <c r="K132">
        <v>1023983816</v>
      </c>
      <c r="L132" t="e">
        <f>VLOOKUP(K132,'MATRIZ PRINCIPAL'!A:J,10,0)</f>
        <v>#N/A</v>
      </c>
    </row>
    <row r="133" spans="1:12" x14ac:dyDescent="0.3">
      <c r="A133" s="115">
        <v>1023046416</v>
      </c>
      <c r="B133" t="s">
        <v>4013</v>
      </c>
      <c r="C133" s="121">
        <v>44273</v>
      </c>
      <c r="D133" s="59">
        <f t="shared" si="4"/>
        <v>44273</v>
      </c>
      <c r="E133" t="b">
        <f t="shared" si="5"/>
        <v>1</v>
      </c>
      <c r="F133">
        <v>1023044822</v>
      </c>
      <c r="G133" s="59">
        <v>43763</v>
      </c>
      <c r="K133">
        <v>1023985389</v>
      </c>
      <c r="L133" t="e">
        <f>VLOOKUP(K133,'MATRIZ PRINCIPAL'!A:J,10,0)</f>
        <v>#N/A</v>
      </c>
    </row>
    <row r="134" spans="1:12" x14ac:dyDescent="0.3">
      <c r="A134" s="115">
        <v>1023046885</v>
      </c>
      <c r="B134" t="s">
        <v>3991</v>
      </c>
      <c r="C134" s="121">
        <v>44384</v>
      </c>
      <c r="D134" s="59">
        <f t="shared" si="4"/>
        <v>44384</v>
      </c>
      <c r="E134" t="b">
        <f t="shared" si="5"/>
        <v>1</v>
      </c>
      <c r="F134">
        <v>1023045008</v>
      </c>
      <c r="G134" s="59">
        <v>43771</v>
      </c>
      <c r="K134">
        <v>1023985500</v>
      </c>
      <c r="L134" t="e">
        <f>VLOOKUP(K134,'MATRIZ PRINCIPAL'!A:J,10,0)</f>
        <v>#N/A</v>
      </c>
    </row>
    <row r="135" spans="1:12" x14ac:dyDescent="0.3">
      <c r="A135" s="115">
        <v>1023043961</v>
      </c>
      <c r="B135" t="s">
        <v>4192</v>
      </c>
      <c r="C135" s="121">
        <v>43684</v>
      </c>
      <c r="D135" s="59">
        <f t="shared" si="4"/>
        <v>43684</v>
      </c>
      <c r="E135" t="b">
        <f t="shared" si="5"/>
        <v>1</v>
      </c>
      <c r="F135">
        <v>1023045054</v>
      </c>
      <c r="G135" s="59">
        <v>43839</v>
      </c>
      <c r="K135">
        <v>1023985952</v>
      </c>
      <c r="L135" t="e">
        <f>VLOOKUP(K135,'MATRIZ PRINCIPAL'!A:J,10,0)</f>
        <v>#N/A</v>
      </c>
    </row>
    <row r="136" spans="1:12" x14ac:dyDescent="0.3">
      <c r="A136" s="115">
        <v>1243859333</v>
      </c>
      <c r="B136" t="s">
        <v>4193</v>
      </c>
      <c r="C136" s="121">
        <v>44073</v>
      </c>
      <c r="D136" s="59">
        <f t="shared" si="4"/>
        <v>44073</v>
      </c>
      <c r="E136" t="b">
        <f t="shared" si="5"/>
        <v>1</v>
      </c>
      <c r="F136">
        <v>1023045131</v>
      </c>
      <c r="G136" s="59">
        <v>43846</v>
      </c>
      <c r="K136">
        <v>1023985961</v>
      </c>
      <c r="L136" t="e">
        <f>VLOOKUP(K136,'MATRIZ PRINCIPAL'!A:J,10,0)</f>
        <v>#N/A</v>
      </c>
    </row>
    <row r="137" spans="1:12" x14ac:dyDescent="0.3">
      <c r="A137" s="115">
        <v>1122541025</v>
      </c>
      <c r="B137" t="s">
        <v>4194</v>
      </c>
      <c r="C137" s="59">
        <v>44293</v>
      </c>
      <c r="D137" s="59">
        <f t="shared" si="4"/>
        <v>44293</v>
      </c>
      <c r="E137" t="b">
        <f t="shared" si="5"/>
        <v>1</v>
      </c>
      <c r="F137">
        <v>1023045269</v>
      </c>
      <c r="G137" s="59">
        <v>43872</v>
      </c>
      <c r="K137">
        <v>1023985987</v>
      </c>
      <c r="L137" t="e">
        <f>VLOOKUP(K137,'MATRIZ PRINCIPAL'!A:J,10,0)</f>
        <v>#N/A</v>
      </c>
    </row>
    <row r="138" spans="1:12" x14ac:dyDescent="0.3">
      <c r="A138" s="115">
        <v>1116557589</v>
      </c>
      <c r="B138" t="s">
        <v>4006</v>
      </c>
      <c r="C138" s="121">
        <v>44325</v>
      </c>
      <c r="D138" s="59">
        <f t="shared" si="4"/>
        <v>44325</v>
      </c>
      <c r="E138" t="b">
        <f t="shared" si="5"/>
        <v>1</v>
      </c>
      <c r="F138">
        <v>1023045428</v>
      </c>
      <c r="G138" s="59">
        <v>44055</v>
      </c>
      <c r="K138">
        <v>1023987196</v>
      </c>
      <c r="L138" t="e">
        <f>VLOOKUP(K138,'MATRIZ PRINCIPAL'!A:J,10,0)</f>
        <v>#N/A</v>
      </c>
    </row>
    <row r="139" spans="1:12" x14ac:dyDescent="0.3">
      <c r="A139" s="115">
        <v>1023046833</v>
      </c>
      <c r="B139" t="s">
        <v>4002</v>
      </c>
      <c r="C139" s="121">
        <v>44345</v>
      </c>
      <c r="D139" s="59">
        <f t="shared" si="4"/>
        <v>44345</v>
      </c>
      <c r="E139" t="b">
        <f t="shared" si="5"/>
        <v>1</v>
      </c>
      <c r="F139">
        <v>1023045458</v>
      </c>
      <c r="G139" s="59">
        <v>44068</v>
      </c>
      <c r="K139">
        <v>1023988198</v>
      </c>
      <c r="L139" t="e">
        <f>VLOOKUP(K139,'MATRIZ PRINCIPAL'!A:J,10,0)</f>
        <v>#N/A</v>
      </c>
    </row>
    <row r="140" spans="1:12" x14ac:dyDescent="0.3">
      <c r="A140" s="115">
        <v>1082161099</v>
      </c>
      <c r="B140" t="s">
        <v>4195</v>
      </c>
      <c r="C140" s="59">
        <v>44000</v>
      </c>
      <c r="D140" s="59">
        <f t="shared" si="4"/>
        <v>44000</v>
      </c>
      <c r="E140" t="b">
        <f t="shared" si="5"/>
        <v>1</v>
      </c>
      <c r="F140">
        <v>1023045681</v>
      </c>
      <c r="G140" s="59">
        <v>44128</v>
      </c>
      <c r="K140">
        <v>1023988244</v>
      </c>
      <c r="L140" t="e">
        <f>VLOOKUP(K140,'MATRIZ PRINCIPAL'!A:J,10,0)</f>
        <v>#N/A</v>
      </c>
    </row>
    <row r="141" spans="1:12" x14ac:dyDescent="0.3">
      <c r="A141" s="115">
        <v>1023046763</v>
      </c>
      <c r="B141" t="s">
        <v>4196</v>
      </c>
      <c r="C141" s="121">
        <v>44270</v>
      </c>
      <c r="D141" s="59">
        <f t="shared" si="4"/>
        <v>44270</v>
      </c>
      <c r="E141" t="b">
        <f t="shared" si="5"/>
        <v>1</v>
      </c>
      <c r="F141">
        <v>1023045733</v>
      </c>
      <c r="G141" s="59">
        <v>44130</v>
      </c>
      <c r="K141">
        <v>1023989585</v>
      </c>
      <c r="L141" t="e">
        <f>VLOOKUP(K141,'MATRIZ PRINCIPAL'!A:J,10,0)</f>
        <v>#N/A</v>
      </c>
    </row>
    <row r="142" spans="1:12" x14ac:dyDescent="0.3">
      <c r="A142" s="115">
        <v>1021696970</v>
      </c>
      <c r="B142" t="s">
        <v>4197</v>
      </c>
      <c r="C142" s="59">
        <v>44642</v>
      </c>
      <c r="D142" s="59">
        <f t="shared" si="4"/>
        <v>44642</v>
      </c>
      <c r="E142" t="b">
        <f t="shared" si="5"/>
        <v>1</v>
      </c>
      <c r="F142">
        <v>1023045790</v>
      </c>
      <c r="G142" s="59">
        <v>44152</v>
      </c>
      <c r="K142">
        <v>1023989592</v>
      </c>
      <c r="L142" t="e">
        <f>VLOOKUP(K142,'MATRIZ PRINCIPAL'!A:J,10,0)</f>
        <v>#N/A</v>
      </c>
    </row>
    <row r="143" spans="1:12" x14ac:dyDescent="0.3">
      <c r="A143">
        <v>1033830288</v>
      </c>
      <c r="B143" t="s">
        <v>4198</v>
      </c>
      <c r="C143" s="59">
        <v>44400</v>
      </c>
      <c r="D143" s="59">
        <f t="shared" si="4"/>
        <v>44400</v>
      </c>
      <c r="E143" t="b">
        <f t="shared" si="5"/>
        <v>1</v>
      </c>
      <c r="F143">
        <v>1023045825</v>
      </c>
      <c r="G143" s="59">
        <v>44150</v>
      </c>
      <c r="K143">
        <v>1023989627</v>
      </c>
      <c r="L143" t="e">
        <f>VLOOKUP(K143,'MATRIZ PRINCIPAL'!A:J,10,0)</f>
        <v>#N/A</v>
      </c>
    </row>
    <row r="144" spans="1:12" x14ac:dyDescent="0.3">
      <c r="A144" s="115">
        <v>1028675820</v>
      </c>
      <c r="B144" t="s">
        <v>4199</v>
      </c>
      <c r="C144" s="59">
        <v>44718</v>
      </c>
      <c r="D144" s="59">
        <f t="shared" si="4"/>
        <v>44718</v>
      </c>
      <c r="E144" t="b">
        <f t="shared" si="5"/>
        <v>1</v>
      </c>
      <c r="F144">
        <v>1023045860</v>
      </c>
      <c r="G144" s="59">
        <v>44159</v>
      </c>
      <c r="K144">
        <v>1023990542</v>
      </c>
      <c r="L144" t="e">
        <f>VLOOKUP(K144,'MATRIZ PRINCIPAL'!A:J,10,0)</f>
        <v>#N/A</v>
      </c>
    </row>
    <row r="145" spans="1:12" x14ac:dyDescent="0.3">
      <c r="A145" s="115">
        <v>1023047812</v>
      </c>
      <c r="B145" t="s">
        <v>3900</v>
      </c>
      <c r="C145" s="59">
        <v>44578</v>
      </c>
      <c r="D145" s="59">
        <f t="shared" si="4"/>
        <v>44578</v>
      </c>
      <c r="E145" t="b">
        <f t="shared" si="5"/>
        <v>1</v>
      </c>
      <c r="F145">
        <v>1023045870</v>
      </c>
      <c r="G145" s="59">
        <v>44132</v>
      </c>
      <c r="K145">
        <v>1024611711</v>
      </c>
      <c r="L145" t="e">
        <f>VLOOKUP(K145,'MATRIZ PRINCIPAL'!A:J,10,0)</f>
        <v>#N/A</v>
      </c>
    </row>
    <row r="146" spans="1:12" x14ac:dyDescent="0.3">
      <c r="A146" s="115">
        <v>1021515724</v>
      </c>
      <c r="B146" t="s">
        <v>4200</v>
      </c>
      <c r="C146" s="121">
        <v>44672</v>
      </c>
      <c r="D146" s="59">
        <f t="shared" si="4"/>
        <v>44672</v>
      </c>
      <c r="E146" t="b">
        <f t="shared" si="5"/>
        <v>1</v>
      </c>
      <c r="F146">
        <v>1023045906</v>
      </c>
      <c r="G146" s="59">
        <v>44154</v>
      </c>
      <c r="K146">
        <v>1024612013</v>
      </c>
      <c r="L146" t="e">
        <f>VLOOKUP(K146,'MATRIZ PRINCIPAL'!A:J,10,0)</f>
        <v>#N/A</v>
      </c>
    </row>
    <row r="147" spans="1:12" x14ac:dyDescent="0.3">
      <c r="A147" s="115">
        <v>1243762294</v>
      </c>
      <c r="B147" t="s">
        <v>3896</v>
      </c>
      <c r="C147" s="59">
        <v>44594</v>
      </c>
      <c r="D147" s="59">
        <f t="shared" si="4"/>
        <v>44594</v>
      </c>
      <c r="E147" t="b">
        <f t="shared" si="5"/>
        <v>1</v>
      </c>
      <c r="F147">
        <v>1023045915</v>
      </c>
      <c r="G147" s="59">
        <v>44144</v>
      </c>
      <c r="K147">
        <v>1026309516</v>
      </c>
      <c r="L147" t="e">
        <f>VLOOKUP(K147,'MATRIZ PRINCIPAL'!A:J,10,0)</f>
        <v>#N/A</v>
      </c>
    </row>
    <row r="148" spans="1:12" x14ac:dyDescent="0.3">
      <c r="A148" s="115">
        <v>1023047162</v>
      </c>
      <c r="B148" t="s">
        <v>4201</v>
      </c>
      <c r="C148" s="59">
        <v>44435</v>
      </c>
      <c r="D148" s="59">
        <f t="shared" si="4"/>
        <v>44435</v>
      </c>
      <c r="E148" t="b">
        <f t="shared" si="5"/>
        <v>1</v>
      </c>
      <c r="F148">
        <v>1023045953</v>
      </c>
      <c r="G148" s="59">
        <v>44160</v>
      </c>
      <c r="K148">
        <v>1028672942</v>
      </c>
      <c r="L148" t="e">
        <f>VLOOKUP(K148,'MATRIZ PRINCIPAL'!A:J,10,0)</f>
        <v>#N/A</v>
      </c>
    </row>
    <row r="149" spans="1:12" x14ac:dyDescent="0.3">
      <c r="A149" s="115">
        <v>1243860582</v>
      </c>
      <c r="B149" t="s">
        <v>4202</v>
      </c>
      <c r="C149" s="59">
        <v>44431</v>
      </c>
      <c r="D149" s="59">
        <f t="shared" si="4"/>
        <v>44431</v>
      </c>
      <c r="E149" t="b">
        <f t="shared" si="5"/>
        <v>1</v>
      </c>
      <c r="F149">
        <v>1023046020</v>
      </c>
      <c r="G149" s="59">
        <v>44174</v>
      </c>
      <c r="K149">
        <v>1028673609</v>
      </c>
      <c r="L149" t="e">
        <f>VLOOKUP(K149,'MATRIZ PRINCIPAL'!A:J,10,0)</f>
        <v>#N/A</v>
      </c>
    </row>
    <row r="150" spans="1:12" x14ac:dyDescent="0.3">
      <c r="A150" s="115">
        <v>1023045860</v>
      </c>
      <c r="B150" t="s">
        <v>4203</v>
      </c>
      <c r="C150" s="59">
        <v>44159</v>
      </c>
      <c r="D150" s="59">
        <f t="shared" si="4"/>
        <v>44159</v>
      </c>
      <c r="E150" t="b">
        <f t="shared" si="5"/>
        <v>1</v>
      </c>
      <c r="F150">
        <v>1023046103</v>
      </c>
      <c r="G150" s="59">
        <v>44193</v>
      </c>
      <c r="K150">
        <v>1028673639</v>
      </c>
      <c r="L150" t="e">
        <f>VLOOKUP(K150,'MATRIZ PRINCIPAL'!A:J,10,0)</f>
        <v>#N/A</v>
      </c>
    </row>
    <row r="151" spans="1:12" x14ac:dyDescent="0.3">
      <c r="A151">
        <v>1023045953</v>
      </c>
      <c r="B151" t="s">
        <v>4204</v>
      </c>
      <c r="C151" s="59">
        <v>44160</v>
      </c>
      <c r="D151" s="59">
        <f t="shared" si="4"/>
        <v>44160</v>
      </c>
      <c r="E151" t="b">
        <f t="shared" si="5"/>
        <v>1</v>
      </c>
      <c r="F151">
        <v>1023046119</v>
      </c>
      <c r="G151" s="59">
        <v>44173</v>
      </c>
      <c r="K151">
        <v>1028673762</v>
      </c>
      <c r="L151" t="e">
        <f>VLOOKUP(K151,'MATRIZ PRINCIPAL'!A:J,10,0)</f>
        <v>#N/A</v>
      </c>
    </row>
    <row r="152" spans="1:12" x14ac:dyDescent="0.3">
      <c r="A152" s="115">
        <v>1022944806</v>
      </c>
      <c r="B152" t="s">
        <v>4205</v>
      </c>
      <c r="C152" s="59">
        <v>38965</v>
      </c>
      <c r="D152" s="59">
        <f t="shared" si="4"/>
        <v>38965</v>
      </c>
      <c r="E152" t="b">
        <f t="shared" si="5"/>
        <v>1</v>
      </c>
      <c r="F152">
        <v>1023046195</v>
      </c>
      <c r="G152" s="59">
        <v>44235</v>
      </c>
      <c r="K152">
        <v>1028673976</v>
      </c>
      <c r="L152" t="e">
        <f>VLOOKUP(K152,'MATRIZ PRINCIPAL'!A:J,10,0)</f>
        <v>#N/A</v>
      </c>
    </row>
    <row r="153" spans="1:12" x14ac:dyDescent="0.3">
      <c r="A153" s="115">
        <v>1245079953</v>
      </c>
      <c r="B153" t="s">
        <v>4206</v>
      </c>
      <c r="C153" s="59">
        <v>44777</v>
      </c>
      <c r="D153" s="59">
        <f t="shared" si="4"/>
        <v>44777</v>
      </c>
      <c r="E153" t="b">
        <f t="shared" si="5"/>
        <v>1</v>
      </c>
      <c r="F153">
        <v>1023046253</v>
      </c>
      <c r="G153" s="59">
        <v>44236</v>
      </c>
      <c r="K153">
        <v>1028674952</v>
      </c>
      <c r="L153" t="e">
        <f>VLOOKUP(K153,'MATRIZ PRINCIPAL'!A:J,10,0)</f>
        <v>#N/A</v>
      </c>
    </row>
    <row r="154" spans="1:12" x14ac:dyDescent="0.3">
      <c r="A154">
        <v>1023046743</v>
      </c>
      <c r="B154" t="s">
        <v>4207</v>
      </c>
      <c r="C154" s="59">
        <v>44301</v>
      </c>
      <c r="D154" s="59">
        <f t="shared" si="4"/>
        <v>44301</v>
      </c>
      <c r="E154" t="b">
        <f t="shared" si="5"/>
        <v>1</v>
      </c>
      <c r="F154">
        <v>1023046277</v>
      </c>
      <c r="G154" s="59">
        <v>44247</v>
      </c>
      <c r="K154">
        <v>1028675301</v>
      </c>
      <c r="L154" t="e">
        <f>VLOOKUP(K154,'MATRIZ PRINCIPAL'!A:J,10,0)</f>
        <v>#N/A</v>
      </c>
    </row>
    <row r="155" spans="1:12" x14ac:dyDescent="0.3">
      <c r="A155" s="115">
        <v>1023046832</v>
      </c>
      <c r="B155" t="s">
        <v>4208</v>
      </c>
      <c r="C155" s="59">
        <v>44371</v>
      </c>
      <c r="D155" s="59">
        <f t="shared" si="4"/>
        <v>44371</v>
      </c>
      <c r="E155" t="b">
        <f t="shared" si="5"/>
        <v>1</v>
      </c>
      <c r="F155">
        <v>1023046291</v>
      </c>
      <c r="G155" s="59">
        <v>44221</v>
      </c>
      <c r="K155">
        <v>1028675409</v>
      </c>
      <c r="L155" t="e">
        <f>VLOOKUP(K155,'MATRIZ PRINCIPAL'!A:J,10,0)</f>
        <v>#N/A</v>
      </c>
    </row>
    <row r="156" spans="1:12" x14ac:dyDescent="0.3">
      <c r="A156" s="115">
        <v>1016968973</v>
      </c>
      <c r="B156" t="s">
        <v>4209</v>
      </c>
      <c r="C156" s="59">
        <v>44002</v>
      </c>
      <c r="D156" s="59">
        <f t="shared" si="4"/>
        <v>44002</v>
      </c>
      <c r="E156" t="b">
        <f t="shared" si="5"/>
        <v>1</v>
      </c>
      <c r="F156">
        <v>1023046352</v>
      </c>
      <c r="G156" s="59">
        <v>44241</v>
      </c>
      <c r="K156">
        <v>1028675486</v>
      </c>
      <c r="L156" t="e">
        <f>VLOOKUP(K156,'MATRIZ PRINCIPAL'!A:J,10,0)</f>
        <v>#N/A</v>
      </c>
    </row>
    <row r="157" spans="1:12" x14ac:dyDescent="0.3">
      <c r="A157" s="115">
        <v>5866411</v>
      </c>
      <c r="B157" t="s">
        <v>4210</v>
      </c>
      <c r="C157" s="59">
        <v>44208</v>
      </c>
      <c r="D157" s="59">
        <f t="shared" si="4"/>
        <v>44208</v>
      </c>
      <c r="E157" t="b">
        <f t="shared" si="5"/>
        <v>1</v>
      </c>
      <c r="F157">
        <v>1023046387</v>
      </c>
      <c r="G157" s="59">
        <v>44683</v>
      </c>
      <c r="K157">
        <v>1028675591</v>
      </c>
      <c r="L157" t="e">
        <f>VLOOKUP(K157,'MATRIZ PRINCIPAL'!A:J,10,0)</f>
        <v>#N/A</v>
      </c>
    </row>
    <row r="158" spans="1:12" x14ac:dyDescent="0.3">
      <c r="A158" s="115">
        <v>1011259607</v>
      </c>
      <c r="B158" t="s">
        <v>4211</v>
      </c>
      <c r="C158" s="59">
        <v>44091</v>
      </c>
      <c r="D158" s="59">
        <f t="shared" si="4"/>
        <v>44091</v>
      </c>
      <c r="E158" t="b">
        <f t="shared" si="5"/>
        <v>1</v>
      </c>
      <c r="F158">
        <v>1023046401</v>
      </c>
      <c r="G158" s="59">
        <v>44256</v>
      </c>
      <c r="K158">
        <v>1028675603</v>
      </c>
      <c r="L158" t="e">
        <f>VLOOKUP(K158,'MATRIZ PRINCIPAL'!A:J,10,0)</f>
        <v>#N/A</v>
      </c>
    </row>
    <row r="159" spans="1:12" x14ac:dyDescent="0.3">
      <c r="A159" s="115">
        <v>1023046704</v>
      </c>
      <c r="B159" t="s">
        <v>4212</v>
      </c>
      <c r="C159" s="59">
        <v>44348</v>
      </c>
      <c r="D159" s="59">
        <f t="shared" si="4"/>
        <v>44348</v>
      </c>
      <c r="E159" t="b">
        <f t="shared" si="5"/>
        <v>1</v>
      </c>
      <c r="F159">
        <v>1023046408</v>
      </c>
      <c r="G159" s="59">
        <v>44203</v>
      </c>
      <c r="K159">
        <v>1028675792</v>
      </c>
      <c r="L159" t="e">
        <f>VLOOKUP(K159,'MATRIZ PRINCIPAL'!A:J,10,0)</f>
        <v>#N/A</v>
      </c>
    </row>
    <row r="160" spans="1:12" x14ac:dyDescent="0.3">
      <c r="A160" s="115">
        <v>1023047680</v>
      </c>
      <c r="B160" t="s">
        <v>4213</v>
      </c>
      <c r="C160" s="59">
        <v>44548</v>
      </c>
      <c r="D160" s="59">
        <f t="shared" si="4"/>
        <v>44548</v>
      </c>
      <c r="E160" t="b">
        <f t="shared" si="5"/>
        <v>1</v>
      </c>
      <c r="F160">
        <v>1023046416</v>
      </c>
      <c r="G160" s="59">
        <v>44273</v>
      </c>
      <c r="K160">
        <v>1028675793</v>
      </c>
      <c r="L160" t="e">
        <f>VLOOKUP(K160,'MATRIZ PRINCIPAL'!A:J,10,0)</f>
        <v>#N/A</v>
      </c>
    </row>
    <row r="161" spans="1:12" x14ac:dyDescent="0.3">
      <c r="A161" s="115">
        <v>1023045733</v>
      </c>
      <c r="B161" t="s">
        <v>4214</v>
      </c>
      <c r="C161" s="59">
        <v>44130</v>
      </c>
      <c r="D161" s="59">
        <f t="shared" si="4"/>
        <v>44130</v>
      </c>
      <c r="E161" t="b">
        <f t="shared" si="5"/>
        <v>1</v>
      </c>
      <c r="F161">
        <v>1023046429</v>
      </c>
      <c r="G161" s="59">
        <v>44252</v>
      </c>
      <c r="K161">
        <v>1028793142</v>
      </c>
      <c r="L161" t="e">
        <f>VLOOKUP(K161,'MATRIZ PRINCIPAL'!A:J,10,0)</f>
        <v>#N/A</v>
      </c>
    </row>
    <row r="162" spans="1:12" x14ac:dyDescent="0.3">
      <c r="A162" s="115">
        <v>1051681940</v>
      </c>
      <c r="B162" t="s">
        <v>4215</v>
      </c>
      <c r="C162" s="59">
        <v>44684</v>
      </c>
      <c r="D162" s="59">
        <f t="shared" si="4"/>
        <v>44684</v>
      </c>
      <c r="E162" t="b">
        <f t="shared" si="5"/>
        <v>1</v>
      </c>
      <c r="F162">
        <v>1023046490</v>
      </c>
      <c r="G162" s="59">
        <v>44278</v>
      </c>
      <c r="K162">
        <v>1031187124</v>
      </c>
      <c r="L162" t="e">
        <f>VLOOKUP(K162,'MATRIZ PRINCIPAL'!A:J,10,0)</f>
        <v>#N/A</v>
      </c>
    </row>
    <row r="163" spans="1:12" x14ac:dyDescent="0.3">
      <c r="A163" s="115">
        <v>1018519455</v>
      </c>
      <c r="B163" t="s">
        <v>4216</v>
      </c>
      <c r="C163" s="59">
        <v>44235</v>
      </c>
      <c r="D163" s="59">
        <f t="shared" si="4"/>
        <v>44235</v>
      </c>
      <c r="E163" t="b">
        <f t="shared" si="5"/>
        <v>1</v>
      </c>
      <c r="F163">
        <v>1023046494</v>
      </c>
      <c r="G163" s="59">
        <v>44244</v>
      </c>
      <c r="K163">
        <v>1031187823</v>
      </c>
      <c r="L163" t="e">
        <f>VLOOKUP(K163,'MATRIZ PRINCIPAL'!A:J,10,0)</f>
        <v>#N/A</v>
      </c>
    </row>
    <row r="164" spans="1:12" x14ac:dyDescent="0.3">
      <c r="A164" s="115">
        <v>1023043525</v>
      </c>
      <c r="B164" t="s">
        <v>4217</v>
      </c>
      <c r="C164" s="59">
        <v>43617</v>
      </c>
      <c r="D164" s="59">
        <f t="shared" si="4"/>
        <v>43617</v>
      </c>
      <c r="E164" t="b">
        <f t="shared" si="5"/>
        <v>1</v>
      </c>
      <c r="F164">
        <v>1023046500</v>
      </c>
      <c r="G164" s="59">
        <v>44280</v>
      </c>
      <c r="K164">
        <v>1031188322</v>
      </c>
      <c r="L164" t="e">
        <f>VLOOKUP(K164,'MATRIZ PRINCIPAL'!A:J,10,0)</f>
        <v>#N/A</v>
      </c>
    </row>
    <row r="165" spans="1:12" x14ac:dyDescent="0.3">
      <c r="A165" s="115">
        <v>1016750794</v>
      </c>
      <c r="B165" t="s">
        <v>4218</v>
      </c>
      <c r="C165" s="59">
        <v>44137</v>
      </c>
      <c r="D165" s="59">
        <f t="shared" si="4"/>
        <v>44137</v>
      </c>
      <c r="E165" t="b">
        <f t="shared" si="5"/>
        <v>1</v>
      </c>
      <c r="F165">
        <v>1023046582</v>
      </c>
      <c r="G165" s="59">
        <v>44303</v>
      </c>
      <c r="K165">
        <v>1039226511</v>
      </c>
      <c r="L165" t="e">
        <f>VLOOKUP(K165,'MATRIZ PRINCIPAL'!A:J,10,0)</f>
        <v>#N/A</v>
      </c>
    </row>
    <row r="166" spans="1:12" x14ac:dyDescent="0.3">
      <c r="A166" s="115">
        <v>1141371569</v>
      </c>
      <c r="B166" t="s">
        <v>4219</v>
      </c>
      <c r="C166" s="59">
        <v>43976</v>
      </c>
      <c r="D166" s="59">
        <f t="shared" si="4"/>
        <v>43976</v>
      </c>
      <c r="E166" t="b">
        <f t="shared" si="5"/>
        <v>1</v>
      </c>
      <c r="F166">
        <v>1023046673</v>
      </c>
      <c r="G166" s="59">
        <v>44338</v>
      </c>
      <c r="K166">
        <v>1048945559</v>
      </c>
      <c r="L166" t="e">
        <f>VLOOKUP(K166,'MATRIZ PRINCIPAL'!A:J,10,0)</f>
        <v>#N/A</v>
      </c>
    </row>
    <row r="167" spans="1:12" x14ac:dyDescent="0.3">
      <c r="A167" s="115">
        <v>1033825232</v>
      </c>
      <c r="B167" t="s">
        <v>4220</v>
      </c>
      <c r="C167" s="59">
        <v>43447</v>
      </c>
      <c r="D167" s="59">
        <f t="shared" si="4"/>
        <v>43447</v>
      </c>
      <c r="E167" t="b">
        <f t="shared" si="5"/>
        <v>1</v>
      </c>
      <c r="F167">
        <v>1023046704</v>
      </c>
      <c r="G167" s="59">
        <v>44348</v>
      </c>
      <c r="K167">
        <v>1051364630</v>
      </c>
      <c r="L167" t="e">
        <f>VLOOKUP(K167,'MATRIZ PRINCIPAL'!A:J,10,0)</f>
        <v>#N/A</v>
      </c>
    </row>
    <row r="168" spans="1:12" x14ac:dyDescent="0.3">
      <c r="A168" s="115">
        <v>1243860817</v>
      </c>
      <c r="B168" t="s">
        <v>4221</v>
      </c>
      <c r="C168" s="59">
        <v>44536</v>
      </c>
      <c r="D168" s="59">
        <f t="shared" si="4"/>
        <v>44536</v>
      </c>
      <c r="E168" t="b">
        <f t="shared" si="5"/>
        <v>1</v>
      </c>
      <c r="F168">
        <v>1023046743</v>
      </c>
      <c r="G168" s="59">
        <v>44301</v>
      </c>
      <c r="K168">
        <v>1051681940</v>
      </c>
      <c r="L168" t="e">
        <f>VLOOKUP(K168,'MATRIZ PRINCIPAL'!A:J,10,0)</f>
        <v>#N/A</v>
      </c>
    </row>
    <row r="169" spans="1:12" x14ac:dyDescent="0.3">
      <c r="A169" s="115">
        <v>1243859489</v>
      </c>
      <c r="B169" t="s">
        <v>4222</v>
      </c>
      <c r="C169" s="59">
        <v>44095</v>
      </c>
      <c r="D169" s="59">
        <f t="shared" si="4"/>
        <v>44095</v>
      </c>
      <c r="E169" t="b">
        <f t="shared" si="5"/>
        <v>1</v>
      </c>
      <c r="F169">
        <v>1023046763</v>
      </c>
      <c r="G169" s="59">
        <v>44270</v>
      </c>
      <c r="K169">
        <v>1069651138</v>
      </c>
      <c r="L169" t="e">
        <f>VLOOKUP(K169,'MATRIZ PRINCIPAL'!A:J,10,0)</f>
        <v>#N/A</v>
      </c>
    </row>
    <row r="170" spans="1:12" x14ac:dyDescent="0.3">
      <c r="A170" s="115">
        <v>1010849316</v>
      </c>
      <c r="B170" t="s">
        <v>4223</v>
      </c>
      <c r="C170" s="59">
        <v>44062</v>
      </c>
      <c r="D170" s="59">
        <f t="shared" si="4"/>
        <v>44062</v>
      </c>
      <c r="E170" t="b">
        <f t="shared" si="5"/>
        <v>1</v>
      </c>
      <c r="F170">
        <v>1023046801</v>
      </c>
      <c r="G170" s="59">
        <v>44309</v>
      </c>
      <c r="K170">
        <v>1073386805</v>
      </c>
      <c r="L170" t="e">
        <f>VLOOKUP(K170,'MATRIZ PRINCIPAL'!A:J,10,0)</f>
        <v>#N/A</v>
      </c>
    </row>
    <row r="171" spans="1:12" x14ac:dyDescent="0.3">
      <c r="A171" s="115">
        <v>1023046500</v>
      </c>
      <c r="B171" t="s">
        <v>4224</v>
      </c>
      <c r="C171" s="59">
        <v>44280</v>
      </c>
      <c r="D171" s="59">
        <f t="shared" si="4"/>
        <v>44280</v>
      </c>
      <c r="E171" t="b">
        <f t="shared" si="5"/>
        <v>1</v>
      </c>
      <c r="F171">
        <v>1023046832</v>
      </c>
      <c r="G171" s="59">
        <v>44371</v>
      </c>
      <c r="K171">
        <v>1074536315</v>
      </c>
      <c r="L171" t="e">
        <f>VLOOKUP(K171,'MATRIZ PRINCIPAL'!A:J,10,0)</f>
        <v>#N/A</v>
      </c>
    </row>
    <row r="172" spans="1:12" x14ac:dyDescent="0.3">
      <c r="A172" s="115">
        <v>1071551363</v>
      </c>
      <c r="B172" t="s">
        <v>4225</v>
      </c>
      <c r="C172" s="59">
        <v>43899</v>
      </c>
      <c r="D172" s="59">
        <f t="shared" si="4"/>
        <v>43899</v>
      </c>
      <c r="E172" t="b">
        <f t="shared" si="5"/>
        <v>1</v>
      </c>
      <c r="F172">
        <v>1023046833</v>
      </c>
      <c r="G172" s="59">
        <v>44345</v>
      </c>
      <c r="K172">
        <v>1074824501</v>
      </c>
      <c r="L172" t="e">
        <f>VLOOKUP(K172,'MATRIZ PRINCIPAL'!A:J,10,0)</f>
        <v>#N/A</v>
      </c>
    </row>
    <row r="173" spans="1:12" x14ac:dyDescent="0.3">
      <c r="A173" s="115">
        <v>1026604281</v>
      </c>
      <c r="B173" t="s">
        <v>4226</v>
      </c>
      <c r="C173" s="121">
        <v>44450</v>
      </c>
      <c r="D173" s="59">
        <f t="shared" si="4"/>
        <v>44450</v>
      </c>
      <c r="E173" t="b">
        <f t="shared" si="5"/>
        <v>1</v>
      </c>
      <c r="F173">
        <v>1023046885</v>
      </c>
      <c r="G173" s="59">
        <v>44384</v>
      </c>
      <c r="K173">
        <v>1087214750</v>
      </c>
      <c r="L173" t="e">
        <f>VLOOKUP(K173,'MATRIZ PRINCIPAL'!A:J,10,0)</f>
        <v>#N/A</v>
      </c>
    </row>
    <row r="174" spans="1:12" x14ac:dyDescent="0.3">
      <c r="A174" s="115">
        <v>1243858393</v>
      </c>
      <c r="B174" t="s">
        <v>4227</v>
      </c>
      <c r="C174" s="59">
        <v>43931</v>
      </c>
      <c r="D174" s="59">
        <f t="shared" si="4"/>
        <v>43931</v>
      </c>
      <c r="E174" t="b">
        <f t="shared" si="5"/>
        <v>1</v>
      </c>
      <c r="F174">
        <v>1023046980</v>
      </c>
      <c r="G174" s="59">
        <v>44391</v>
      </c>
      <c r="K174">
        <v>1087218446</v>
      </c>
      <c r="L174" t="e">
        <f>VLOOKUP(K174,'MATRIZ PRINCIPAL'!A:J,10,0)</f>
        <v>#N/A</v>
      </c>
    </row>
    <row r="175" spans="1:12" x14ac:dyDescent="0.3">
      <c r="A175" s="115">
        <v>1069307141</v>
      </c>
      <c r="B175" t="s">
        <v>4228</v>
      </c>
      <c r="C175" s="59">
        <v>43908</v>
      </c>
      <c r="D175" s="59">
        <f t="shared" si="4"/>
        <v>43908</v>
      </c>
      <c r="E175" t="b">
        <f t="shared" si="5"/>
        <v>1</v>
      </c>
      <c r="F175">
        <v>1023046982</v>
      </c>
      <c r="G175" s="59">
        <v>44401</v>
      </c>
      <c r="K175">
        <v>1107538160</v>
      </c>
      <c r="L175" t="e">
        <f>VLOOKUP(K175,'MATRIZ PRINCIPAL'!A:J,10,0)</f>
        <v>#N/A</v>
      </c>
    </row>
    <row r="176" spans="1:12" x14ac:dyDescent="0.3">
      <c r="A176" s="115">
        <v>1020730043</v>
      </c>
      <c r="B176" t="s">
        <v>4229</v>
      </c>
      <c r="C176" s="59">
        <v>35817</v>
      </c>
      <c r="D176" s="59">
        <f t="shared" si="4"/>
        <v>35817</v>
      </c>
      <c r="E176" t="b">
        <f t="shared" si="5"/>
        <v>1</v>
      </c>
      <c r="F176">
        <v>1023047101</v>
      </c>
      <c r="G176" s="59">
        <v>44435</v>
      </c>
      <c r="K176">
        <v>1109423243</v>
      </c>
      <c r="L176" t="e">
        <f>VLOOKUP(K176,'MATRIZ PRINCIPAL'!A:J,10,0)</f>
        <v>#N/A</v>
      </c>
    </row>
    <row r="177" spans="1:12" x14ac:dyDescent="0.3">
      <c r="A177" s="115">
        <v>1023048858</v>
      </c>
      <c r="B177" t="s">
        <v>4230</v>
      </c>
      <c r="C177" s="59">
        <v>44746</v>
      </c>
      <c r="D177" s="59">
        <f t="shared" si="4"/>
        <v>44746</v>
      </c>
      <c r="E177" t="b">
        <f t="shared" si="5"/>
        <v>1</v>
      </c>
      <c r="F177">
        <v>1023047162</v>
      </c>
      <c r="G177" s="59">
        <v>44435</v>
      </c>
      <c r="K177">
        <v>1110181348</v>
      </c>
      <c r="L177" t="e">
        <f>VLOOKUP(K177,'MATRIZ PRINCIPAL'!A:J,10,0)</f>
        <v>#N/A</v>
      </c>
    </row>
    <row r="178" spans="1:12" x14ac:dyDescent="0.3">
      <c r="A178" s="115">
        <v>1000777307</v>
      </c>
      <c r="B178" s="115" t="s">
        <v>4231</v>
      </c>
      <c r="C178" s="59">
        <v>37369</v>
      </c>
      <c r="D178" s="59">
        <f t="shared" si="4"/>
        <v>37369</v>
      </c>
      <c r="E178" t="b">
        <f t="shared" si="5"/>
        <v>1</v>
      </c>
      <c r="F178">
        <v>1023047163</v>
      </c>
      <c r="G178" s="59">
        <v>44432</v>
      </c>
      <c r="K178">
        <v>1116084636</v>
      </c>
      <c r="L178" t="e">
        <f>VLOOKUP(K178,'MATRIZ PRINCIPAL'!A:J,10,0)</f>
        <v>#N/A</v>
      </c>
    </row>
    <row r="179" spans="1:12" x14ac:dyDescent="0.3">
      <c r="A179" s="115">
        <v>1023005928</v>
      </c>
      <c r="B179" t="s">
        <v>4232</v>
      </c>
      <c r="C179" s="59">
        <v>34903</v>
      </c>
      <c r="D179" s="59">
        <f t="shared" si="4"/>
        <v>34903</v>
      </c>
      <c r="E179" t="b">
        <f t="shared" si="5"/>
        <v>1</v>
      </c>
      <c r="F179">
        <v>1023047218</v>
      </c>
      <c r="G179" s="59">
        <v>44462</v>
      </c>
      <c r="K179">
        <v>1122541025</v>
      </c>
      <c r="L179" t="e">
        <f>VLOOKUP(K179,'MATRIZ PRINCIPAL'!A:J,10,0)</f>
        <v>#N/A</v>
      </c>
    </row>
    <row r="180" spans="1:12" x14ac:dyDescent="0.3">
      <c r="A180" s="115">
        <v>1023048499</v>
      </c>
      <c r="B180" t="s">
        <v>4233</v>
      </c>
      <c r="C180" s="59">
        <v>44692</v>
      </c>
      <c r="D180" s="59">
        <f t="shared" si="4"/>
        <v>44692</v>
      </c>
      <c r="E180" t="b">
        <f t="shared" si="5"/>
        <v>1</v>
      </c>
      <c r="F180">
        <v>1023047293</v>
      </c>
      <c r="G180" s="59">
        <v>44474</v>
      </c>
      <c r="K180">
        <v>1123212095</v>
      </c>
      <c r="L180" t="e">
        <f>VLOOKUP(K180,'MATRIZ PRINCIPAL'!A:J,10,0)</f>
        <v>#N/A</v>
      </c>
    </row>
    <row r="181" spans="1:12" x14ac:dyDescent="0.3">
      <c r="A181" s="115">
        <v>1023990627</v>
      </c>
      <c r="B181" t="s">
        <v>4234</v>
      </c>
      <c r="C181" s="59">
        <v>44744</v>
      </c>
      <c r="D181" s="59">
        <f t="shared" si="4"/>
        <v>44744</v>
      </c>
      <c r="E181" t="b">
        <f t="shared" si="5"/>
        <v>1</v>
      </c>
      <c r="F181">
        <v>1023047344</v>
      </c>
      <c r="G181" s="59">
        <v>44430</v>
      </c>
      <c r="K181">
        <v>1136912511</v>
      </c>
      <c r="L181" t="e">
        <f>VLOOKUP(K181,'MATRIZ PRINCIPAL'!A:J,10,0)</f>
        <v>#N/A</v>
      </c>
    </row>
    <row r="182" spans="1:12" x14ac:dyDescent="0.3">
      <c r="A182" s="115">
        <v>1000931826</v>
      </c>
      <c r="B182" t="s">
        <v>4235</v>
      </c>
      <c r="C182" s="59">
        <v>37138</v>
      </c>
      <c r="D182" s="59">
        <f t="shared" si="4"/>
        <v>37138</v>
      </c>
      <c r="E182" t="b">
        <f t="shared" si="5"/>
        <v>1</v>
      </c>
      <c r="F182">
        <v>1023047348</v>
      </c>
      <c r="G182" s="59">
        <v>44456</v>
      </c>
      <c r="K182">
        <v>1140937378</v>
      </c>
      <c r="L182" t="e">
        <f>VLOOKUP(K182,'MATRIZ PRINCIPAL'!A:J,10,0)</f>
        <v>#N/A</v>
      </c>
    </row>
    <row r="183" spans="1:12" x14ac:dyDescent="0.3">
      <c r="A183" s="115">
        <v>1010231306</v>
      </c>
      <c r="B183" t="s">
        <v>4236</v>
      </c>
      <c r="C183" s="59">
        <v>35409</v>
      </c>
      <c r="D183" s="59">
        <f t="shared" si="4"/>
        <v>35409</v>
      </c>
      <c r="E183" t="b">
        <f t="shared" si="5"/>
        <v>1</v>
      </c>
      <c r="F183">
        <v>1023047429</v>
      </c>
      <c r="G183" s="59">
        <v>44486</v>
      </c>
      <c r="K183">
        <v>1140939459</v>
      </c>
      <c r="L183" t="e">
        <f>VLOOKUP(K183,'MATRIZ PRINCIPAL'!A:J,10,0)</f>
        <v>#N/A</v>
      </c>
    </row>
    <row r="184" spans="1:12" x14ac:dyDescent="0.3">
      <c r="A184" s="115">
        <v>1023990310</v>
      </c>
      <c r="B184" t="s">
        <v>4237</v>
      </c>
      <c r="C184" s="59">
        <v>44736</v>
      </c>
      <c r="D184" s="59">
        <f t="shared" si="4"/>
        <v>44736</v>
      </c>
      <c r="E184" t="b">
        <f t="shared" si="5"/>
        <v>1</v>
      </c>
      <c r="F184">
        <v>1023047456</v>
      </c>
      <c r="G184" s="59">
        <v>44400</v>
      </c>
      <c r="K184">
        <v>1145429965</v>
      </c>
      <c r="L184" t="e">
        <f>VLOOKUP(K184,'MATRIZ PRINCIPAL'!A:J,10,0)</f>
        <v>#N/A</v>
      </c>
    </row>
    <row r="185" spans="1:12" x14ac:dyDescent="0.3">
      <c r="A185" s="115">
        <v>1023048984</v>
      </c>
      <c r="B185" t="s">
        <v>4238</v>
      </c>
      <c r="C185" s="59">
        <v>44777</v>
      </c>
      <c r="D185" s="59">
        <f t="shared" si="4"/>
        <v>44777</v>
      </c>
      <c r="E185" t="b">
        <f t="shared" si="5"/>
        <v>1</v>
      </c>
      <c r="F185">
        <v>1023047489</v>
      </c>
      <c r="G185" s="59">
        <v>44497</v>
      </c>
      <c r="K185">
        <v>1146148428</v>
      </c>
      <c r="L185" t="e">
        <f>VLOOKUP(K185,'MATRIZ PRINCIPAL'!A:J,10,0)</f>
        <v>#N/A</v>
      </c>
    </row>
    <row r="186" spans="1:12" x14ac:dyDescent="0.3">
      <c r="A186" s="115">
        <v>1023048101</v>
      </c>
      <c r="B186" t="s">
        <v>4239</v>
      </c>
      <c r="C186" s="59">
        <v>44647</v>
      </c>
      <c r="D186" s="59">
        <f t="shared" si="4"/>
        <v>44647</v>
      </c>
      <c r="E186" t="b">
        <f t="shared" si="5"/>
        <v>1</v>
      </c>
      <c r="F186">
        <v>1023047672</v>
      </c>
      <c r="G186" s="59">
        <v>44559</v>
      </c>
      <c r="K186">
        <v>1157968975</v>
      </c>
      <c r="L186" t="e">
        <f>VLOOKUP(K186,'MATRIZ PRINCIPAL'!A:J,10,0)</f>
        <v>#N/A</v>
      </c>
    </row>
    <row r="187" spans="1:12" x14ac:dyDescent="0.3">
      <c r="A187" s="115">
        <v>1021694945</v>
      </c>
      <c r="B187" t="s">
        <v>4240</v>
      </c>
      <c r="C187" s="59">
        <v>43890</v>
      </c>
      <c r="D187" s="59">
        <f t="shared" si="4"/>
        <v>43890</v>
      </c>
      <c r="E187" t="b">
        <f t="shared" si="5"/>
        <v>1</v>
      </c>
      <c r="F187">
        <v>1023047680</v>
      </c>
      <c r="G187" s="59">
        <v>44548</v>
      </c>
      <c r="K187">
        <v>1206225376</v>
      </c>
      <c r="L187" t="e">
        <f>VLOOKUP(K187,'MATRIZ PRINCIPAL'!A:J,10,0)</f>
        <v>#N/A</v>
      </c>
    </row>
    <row r="188" spans="1:12" x14ac:dyDescent="0.3">
      <c r="A188" s="115">
        <v>1013030791</v>
      </c>
      <c r="B188" t="s">
        <v>4241</v>
      </c>
      <c r="C188" s="121">
        <v>44740</v>
      </c>
      <c r="D188" s="59">
        <f t="shared" si="4"/>
        <v>44740</v>
      </c>
      <c r="E188" t="b">
        <f t="shared" si="5"/>
        <v>1</v>
      </c>
      <c r="F188">
        <v>1023047812</v>
      </c>
      <c r="G188" s="59">
        <v>44578</v>
      </c>
      <c r="K188">
        <v>1206226627</v>
      </c>
      <c r="L188" t="e">
        <f>VLOOKUP(K188,'MATRIZ PRINCIPAL'!A:J,10,0)</f>
        <v>#N/A</v>
      </c>
    </row>
    <row r="189" spans="1:12" x14ac:dyDescent="0.3">
      <c r="A189" s="115">
        <v>1023045790</v>
      </c>
      <c r="B189" t="s">
        <v>4242</v>
      </c>
      <c r="C189" s="59">
        <v>44152</v>
      </c>
      <c r="D189" s="59">
        <f t="shared" si="4"/>
        <v>44152</v>
      </c>
      <c r="E189" t="b">
        <f t="shared" si="5"/>
        <v>1</v>
      </c>
      <c r="F189">
        <v>1023047935</v>
      </c>
      <c r="G189" s="59">
        <v>44574</v>
      </c>
      <c r="K189">
        <v>1222218723</v>
      </c>
      <c r="L189" t="e">
        <f>VLOOKUP(K189,'MATRIZ PRINCIPAL'!A:J,10,0)</f>
        <v>#N/A</v>
      </c>
    </row>
    <row r="190" spans="1:12" x14ac:dyDescent="0.3">
      <c r="A190" s="115">
        <v>1023047429</v>
      </c>
      <c r="B190" t="s">
        <v>4243</v>
      </c>
      <c r="C190" s="59">
        <v>44486</v>
      </c>
      <c r="D190" s="59">
        <f t="shared" si="4"/>
        <v>44486</v>
      </c>
      <c r="E190" t="b">
        <f t="shared" si="5"/>
        <v>1</v>
      </c>
      <c r="F190">
        <v>1023047998</v>
      </c>
      <c r="G190" s="59">
        <v>44617</v>
      </c>
      <c r="K190">
        <v>1222222647</v>
      </c>
      <c r="L190" t="e">
        <f>VLOOKUP(K190,'MATRIZ PRINCIPAL'!A:J,10,0)</f>
        <v>#N/A</v>
      </c>
    </row>
    <row r="191" spans="1:12" x14ac:dyDescent="0.3">
      <c r="A191" s="115">
        <v>1031188618</v>
      </c>
      <c r="B191" t="s">
        <v>4244</v>
      </c>
      <c r="C191" s="59">
        <v>44726</v>
      </c>
      <c r="D191" s="59">
        <f t="shared" si="4"/>
        <v>44726</v>
      </c>
      <c r="E191" t="b">
        <f t="shared" si="5"/>
        <v>1</v>
      </c>
      <c r="F191">
        <v>1023048027</v>
      </c>
      <c r="G191" s="59">
        <v>44591</v>
      </c>
      <c r="K191">
        <v>1222223375</v>
      </c>
      <c r="L191" t="e">
        <f>VLOOKUP(K191,'MATRIZ PRINCIPAL'!A:J,10,0)</f>
        <v>#N/A</v>
      </c>
    </row>
    <row r="192" spans="1:12" x14ac:dyDescent="0.3">
      <c r="A192" s="115">
        <v>1023047344</v>
      </c>
      <c r="B192" t="s">
        <v>4245</v>
      </c>
      <c r="C192" s="59">
        <v>44430</v>
      </c>
      <c r="D192" s="59">
        <f t="shared" si="4"/>
        <v>44430</v>
      </c>
      <c r="E192" t="b">
        <f t="shared" si="5"/>
        <v>1</v>
      </c>
      <c r="F192">
        <v>1023048101</v>
      </c>
      <c r="G192" s="59">
        <v>44647</v>
      </c>
      <c r="K192">
        <v>1233514448</v>
      </c>
      <c r="L192" t="e">
        <f>VLOOKUP(K192,'MATRIZ PRINCIPAL'!A:J,10,0)</f>
        <v>#N/A</v>
      </c>
    </row>
    <row r="193" spans="1:12" x14ac:dyDescent="0.3">
      <c r="A193" s="115">
        <v>1023045906</v>
      </c>
      <c r="B193" t="s">
        <v>4246</v>
      </c>
      <c r="C193" s="59">
        <v>44154</v>
      </c>
      <c r="D193" s="59">
        <f t="shared" si="4"/>
        <v>44154</v>
      </c>
      <c r="E193" t="b">
        <f t="shared" si="5"/>
        <v>1</v>
      </c>
      <c r="F193">
        <v>1023048142</v>
      </c>
      <c r="G193" s="59">
        <v>44652</v>
      </c>
      <c r="K193">
        <v>1233514915</v>
      </c>
      <c r="L193" t="e">
        <f>VLOOKUP(K193,'MATRIZ PRINCIPAL'!A:J,10,0)</f>
        <v>#N/A</v>
      </c>
    </row>
    <row r="194" spans="1:12" x14ac:dyDescent="0.3">
      <c r="A194" s="115">
        <v>1023046982</v>
      </c>
      <c r="B194" t="s">
        <v>4247</v>
      </c>
      <c r="C194" s="59">
        <v>44401</v>
      </c>
      <c r="D194" s="59">
        <f t="shared" si="4"/>
        <v>44401</v>
      </c>
      <c r="E194" t="b">
        <f t="shared" si="5"/>
        <v>1</v>
      </c>
      <c r="F194">
        <v>1023048150</v>
      </c>
      <c r="G194" s="59">
        <v>44636</v>
      </c>
      <c r="K194">
        <v>1233924826</v>
      </c>
      <c r="L194" t="e">
        <f>VLOOKUP(K194,'MATRIZ PRINCIPAL'!A:J,10,0)</f>
        <v>#N/A</v>
      </c>
    </row>
    <row r="195" spans="1:12" x14ac:dyDescent="0.3">
      <c r="A195" s="115">
        <v>1092349873</v>
      </c>
      <c r="B195" t="s">
        <v>4248</v>
      </c>
      <c r="C195" s="59">
        <v>39097</v>
      </c>
      <c r="D195" s="59">
        <f t="shared" ref="D195:D258" si="6">VLOOKUP(A195,F:G,2,0)</f>
        <v>39097</v>
      </c>
      <c r="E195" t="b">
        <f t="shared" ref="E195:E258" si="7">D195=C195</f>
        <v>1</v>
      </c>
      <c r="F195">
        <v>1023048255</v>
      </c>
      <c r="G195" s="59">
        <v>44649</v>
      </c>
      <c r="K195">
        <v>1235051447</v>
      </c>
      <c r="L195" t="e">
        <f>VLOOKUP(K195,'MATRIZ PRINCIPAL'!A:J,10,0)</f>
        <v>#N/A</v>
      </c>
    </row>
    <row r="196" spans="1:12" x14ac:dyDescent="0.3">
      <c r="A196" s="115">
        <v>1133154221</v>
      </c>
      <c r="B196" t="s">
        <v>4249</v>
      </c>
      <c r="C196" s="59">
        <v>32042</v>
      </c>
      <c r="D196" s="59">
        <f t="shared" si="6"/>
        <v>32042</v>
      </c>
      <c r="E196" t="b">
        <f t="shared" si="7"/>
        <v>1</v>
      </c>
      <c r="F196">
        <v>1023048337</v>
      </c>
      <c r="G196" s="59">
        <v>44666</v>
      </c>
      <c r="K196">
        <v>1243760535</v>
      </c>
      <c r="L196" t="e">
        <f>VLOOKUP(K196,'MATRIZ PRINCIPAL'!A:J,10,0)</f>
        <v>#N/A</v>
      </c>
    </row>
    <row r="197" spans="1:12" x14ac:dyDescent="0.3">
      <c r="A197" s="115">
        <v>1024576052</v>
      </c>
      <c r="B197" t="s">
        <v>4250</v>
      </c>
      <c r="C197" s="59">
        <v>35280</v>
      </c>
      <c r="D197" s="59">
        <f t="shared" si="6"/>
        <v>35280</v>
      </c>
      <c r="E197" t="b">
        <f t="shared" si="7"/>
        <v>1</v>
      </c>
      <c r="F197">
        <v>1023048396</v>
      </c>
      <c r="G197" s="59">
        <v>44682</v>
      </c>
      <c r="K197">
        <v>1243761335</v>
      </c>
      <c r="L197" t="e">
        <f>VLOOKUP(K197,'MATRIZ PRINCIPAL'!A:J,10,0)</f>
        <v>#N/A</v>
      </c>
    </row>
    <row r="198" spans="1:12" x14ac:dyDescent="0.3">
      <c r="A198" s="115">
        <v>1023048150</v>
      </c>
      <c r="B198" t="s">
        <v>4251</v>
      </c>
      <c r="C198" s="59">
        <v>44636</v>
      </c>
      <c r="D198" s="59">
        <f t="shared" si="6"/>
        <v>44636</v>
      </c>
      <c r="E198" t="b">
        <f t="shared" si="7"/>
        <v>1</v>
      </c>
      <c r="F198">
        <v>1023048403</v>
      </c>
      <c r="G198" s="59">
        <v>44674</v>
      </c>
      <c r="K198">
        <v>1243762304</v>
      </c>
      <c r="L198" t="e">
        <f>VLOOKUP(K198,'MATRIZ PRINCIPAL'!A:J,10,0)</f>
        <v>#N/A</v>
      </c>
    </row>
    <row r="199" spans="1:12" x14ac:dyDescent="0.3">
      <c r="A199" s="115">
        <v>1023048559</v>
      </c>
      <c r="B199" t="s">
        <v>4252</v>
      </c>
      <c r="C199" s="59">
        <v>44717</v>
      </c>
      <c r="D199" s="59">
        <f t="shared" si="6"/>
        <v>44717</v>
      </c>
      <c r="E199" t="b">
        <f t="shared" si="7"/>
        <v>1</v>
      </c>
      <c r="F199">
        <v>1023048476</v>
      </c>
      <c r="G199" s="59">
        <v>44668</v>
      </c>
      <c r="K199">
        <v>1243763085</v>
      </c>
      <c r="L199" t="e">
        <f>VLOOKUP(K199,'MATRIZ PRINCIPAL'!A:J,10,0)</f>
        <v>#N/A</v>
      </c>
    </row>
    <row r="200" spans="1:12" x14ac:dyDescent="0.3">
      <c r="A200" s="115">
        <v>1023045008</v>
      </c>
      <c r="B200" t="s">
        <v>4253</v>
      </c>
      <c r="C200" s="59">
        <v>43771</v>
      </c>
      <c r="D200" s="59">
        <f t="shared" si="6"/>
        <v>43771</v>
      </c>
      <c r="E200" t="b">
        <f t="shared" si="7"/>
        <v>1</v>
      </c>
      <c r="F200">
        <v>1023981728</v>
      </c>
      <c r="G200" s="59">
        <v>43165</v>
      </c>
      <c r="K200">
        <v>1243858043</v>
      </c>
      <c r="L200" t="e">
        <f>VLOOKUP(K200,'MATRIZ PRINCIPAL'!A:J,10,0)</f>
        <v>#N/A</v>
      </c>
    </row>
    <row r="201" spans="1:12" x14ac:dyDescent="0.3">
      <c r="A201" s="115">
        <v>1028673609</v>
      </c>
      <c r="B201" t="s">
        <v>4254</v>
      </c>
      <c r="C201" s="59">
        <v>43399</v>
      </c>
      <c r="D201" s="59">
        <f t="shared" si="6"/>
        <v>43399</v>
      </c>
      <c r="E201" t="b">
        <f t="shared" si="7"/>
        <v>1</v>
      </c>
      <c r="F201">
        <v>1023983816</v>
      </c>
      <c r="G201" s="59">
        <v>43455</v>
      </c>
      <c r="K201">
        <v>1243859369</v>
      </c>
      <c r="L201" t="e">
        <f>VLOOKUP(K201,'MATRIZ PRINCIPAL'!A:J,10,0)</f>
        <v>#N/A</v>
      </c>
    </row>
    <row r="202" spans="1:12" x14ac:dyDescent="0.3">
      <c r="A202" s="115">
        <v>1206226100</v>
      </c>
      <c r="B202" t="s">
        <v>4255</v>
      </c>
      <c r="C202" s="59">
        <v>44011</v>
      </c>
      <c r="D202" s="59">
        <f t="shared" si="6"/>
        <v>44011</v>
      </c>
      <c r="E202" t="b">
        <f t="shared" si="7"/>
        <v>1</v>
      </c>
      <c r="F202">
        <v>1023985389</v>
      </c>
      <c r="G202" s="59">
        <v>43657</v>
      </c>
      <c r="K202">
        <v>1243859556</v>
      </c>
      <c r="L202" t="e">
        <f>VLOOKUP(K202,'MATRIZ PRINCIPAL'!A:J,10,0)</f>
        <v>#N/A</v>
      </c>
    </row>
    <row r="203" spans="1:12" x14ac:dyDescent="0.3">
      <c r="A203" s="115">
        <v>1022935813</v>
      </c>
      <c r="B203" t="s">
        <v>4256</v>
      </c>
      <c r="C203" s="59">
        <v>38562</v>
      </c>
      <c r="D203" s="59">
        <f t="shared" si="6"/>
        <v>38562</v>
      </c>
      <c r="E203" t="b">
        <f t="shared" si="7"/>
        <v>1</v>
      </c>
      <c r="F203">
        <v>1023985500</v>
      </c>
      <c r="G203" s="59">
        <v>43648</v>
      </c>
      <c r="K203">
        <v>1243859568</v>
      </c>
      <c r="L203" t="e">
        <f>VLOOKUP(K203,'MATRIZ PRINCIPAL'!A:J,10,0)</f>
        <v>#N/A</v>
      </c>
    </row>
    <row r="204" spans="1:12" x14ac:dyDescent="0.3">
      <c r="A204" s="115">
        <v>1243859893</v>
      </c>
      <c r="B204" t="s">
        <v>4257</v>
      </c>
      <c r="C204" s="59">
        <v>44184</v>
      </c>
      <c r="D204" s="59">
        <f t="shared" si="6"/>
        <v>44184</v>
      </c>
      <c r="E204" t="b">
        <f t="shared" si="7"/>
        <v>1</v>
      </c>
      <c r="F204">
        <v>1023985952</v>
      </c>
      <c r="G204" s="59">
        <v>43714</v>
      </c>
      <c r="K204">
        <v>1243859848</v>
      </c>
      <c r="L204" t="e">
        <f>VLOOKUP(K204,'MATRIZ PRINCIPAL'!A:J,10,0)</f>
        <v>#N/A</v>
      </c>
    </row>
    <row r="205" spans="1:12" x14ac:dyDescent="0.3">
      <c r="A205" s="115">
        <v>1011110767</v>
      </c>
      <c r="B205" t="s">
        <v>4258</v>
      </c>
      <c r="C205" s="59">
        <v>43843</v>
      </c>
      <c r="D205" s="59">
        <f t="shared" si="6"/>
        <v>43843</v>
      </c>
      <c r="E205" t="b">
        <f t="shared" si="7"/>
        <v>1</v>
      </c>
      <c r="F205">
        <v>1023985961</v>
      </c>
      <c r="G205" s="59">
        <v>43417</v>
      </c>
      <c r="K205">
        <v>1243859893</v>
      </c>
      <c r="L205" t="e">
        <f>VLOOKUP(K205,'MATRIZ PRINCIPAL'!A:J,10,0)</f>
        <v>#N/A</v>
      </c>
    </row>
    <row r="206" spans="1:12" x14ac:dyDescent="0.3">
      <c r="A206" s="115">
        <v>1235051447</v>
      </c>
      <c r="B206" t="s">
        <v>4259</v>
      </c>
      <c r="C206" s="59">
        <v>44272</v>
      </c>
      <c r="D206" s="59">
        <f t="shared" si="6"/>
        <v>44272</v>
      </c>
      <c r="E206" t="b">
        <f t="shared" si="7"/>
        <v>1</v>
      </c>
      <c r="F206">
        <v>1023985987</v>
      </c>
      <c r="G206" s="59">
        <v>43757</v>
      </c>
      <c r="K206">
        <v>1243860096</v>
      </c>
      <c r="L206" t="e">
        <f>VLOOKUP(K206,'MATRIZ PRINCIPAL'!A:J,10,0)</f>
        <v>#N/A</v>
      </c>
    </row>
    <row r="207" spans="1:12" x14ac:dyDescent="0.3">
      <c r="A207" s="115">
        <v>1023985389</v>
      </c>
      <c r="B207" t="s">
        <v>4260</v>
      </c>
      <c r="C207" s="59">
        <v>43657</v>
      </c>
      <c r="D207" s="59">
        <f t="shared" si="6"/>
        <v>43657</v>
      </c>
      <c r="E207" t="b">
        <f t="shared" si="7"/>
        <v>1</v>
      </c>
      <c r="F207">
        <v>1023987196</v>
      </c>
      <c r="G207" s="59">
        <v>43877</v>
      </c>
      <c r="K207">
        <v>1243860477</v>
      </c>
      <c r="L207" t="e">
        <f>VLOOKUP(K207,'MATRIZ PRINCIPAL'!A:J,10,0)</f>
        <v>#N/A</v>
      </c>
    </row>
    <row r="208" spans="1:12" x14ac:dyDescent="0.3">
      <c r="A208" s="115">
        <v>1023990615</v>
      </c>
      <c r="B208" t="s">
        <v>4261</v>
      </c>
      <c r="C208" s="59">
        <v>44735</v>
      </c>
      <c r="D208" s="59">
        <f t="shared" si="6"/>
        <v>44735</v>
      </c>
      <c r="E208" t="b">
        <f t="shared" si="7"/>
        <v>1</v>
      </c>
      <c r="F208">
        <v>1023988198</v>
      </c>
      <c r="G208" s="59">
        <v>44263</v>
      </c>
      <c r="K208">
        <v>1243860479</v>
      </c>
      <c r="L208" t="e">
        <f>VLOOKUP(K208,'MATRIZ PRINCIPAL'!A:J,10,0)</f>
        <v>#N/A</v>
      </c>
    </row>
    <row r="209" spans="1:12" x14ac:dyDescent="0.3">
      <c r="A209" s="115">
        <v>1023989348</v>
      </c>
      <c r="B209" t="s">
        <v>4262</v>
      </c>
      <c r="C209" s="59">
        <v>44543</v>
      </c>
      <c r="D209" s="59" t="e">
        <f t="shared" si="6"/>
        <v>#N/A</v>
      </c>
      <c r="E209" t="e">
        <f t="shared" si="7"/>
        <v>#N/A</v>
      </c>
      <c r="F209">
        <v>1023988244</v>
      </c>
      <c r="G209" s="59">
        <v>44280</v>
      </c>
      <c r="K209">
        <v>1243860881</v>
      </c>
      <c r="L209" t="e">
        <f>VLOOKUP(K209,'MATRIZ PRINCIPAL'!A:J,10,0)</f>
        <v>#N/A</v>
      </c>
    </row>
    <row r="210" spans="1:12" x14ac:dyDescent="0.3">
      <c r="A210" s="115">
        <v>1016748415</v>
      </c>
      <c r="B210" t="s">
        <v>4263</v>
      </c>
      <c r="C210" s="59">
        <v>43794</v>
      </c>
      <c r="D210" s="59">
        <f t="shared" si="6"/>
        <v>43794</v>
      </c>
      <c r="E210" t="b">
        <f t="shared" si="7"/>
        <v>1</v>
      </c>
      <c r="F210">
        <v>1023988413</v>
      </c>
      <c r="G210" s="59">
        <v>44330</v>
      </c>
      <c r="K210">
        <v>1243860929</v>
      </c>
      <c r="L210" t="e">
        <f>VLOOKUP(K210,'MATRIZ PRINCIPAL'!A:J,10,0)</f>
        <v>#N/A</v>
      </c>
    </row>
    <row r="211" spans="1:12" x14ac:dyDescent="0.3">
      <c r="A211" s="115">
        <v>1023981728</v>
      </c>
      <c r="B211" t="s">
        <v>4264</v>
      </c>
      <c r="C211" s="59">
        <v>43165</v>
      </c>
      <c r="D211" s="59">
        <f t="shared" si="6"/>
        <v>43165</v>
      </c>
      <c r="E211" t="b">
        <f t="shared" si="7"/>
        <v>1</v>
      </c>
      <c r="F211">
        <v>1023989585</v>
      </c>
      <c r="G211" s="59">
        <v>44519</v>
      </c>
      <c r="K211">
        <v>1243861023</v>
      </c>
      <c r="L211" t="e">
        <f>VLOOKUP(K211,'MATRIZ PRINCIPAL'!A:J,10,0)</f>
        <v>#N/A</v>
      </c>
    </row>
    <row r="212" spans="1:12" x14ac:dyDescent="0.3">
      <c r="A212" s="115">
        <v>1028675913</v>
      </c>
      <c r="B212" t="s">
        <v>4265</v>
      </c>
      <c r="C212" s="59">
        <v>44771</v>
      </c>
      <c r="D212" s="59">
        <f t="shared" si="6"/>
        <v>44771</v>
      </c>
      <c r="E212" t="b">
        <f t="shared" si="7"/>
        <v>1</v>
      </c>
      <c r="F212">
        <v>1023989592</v>
      </c>
      <c r="G212" s="59">
        <v>44595</v>
      </c>
      <c r="K212">
        <v>1245078145</v>
      </c>
      <c r="L212" t="e">
        <f>VLOOKUP(K212,'MATRIZ PRINCIPAL'!A:J,10,0)</f>
        <v>#N/A</v>
      </c>
    </row>
    <row r="213" spans="1:12" x14ac:dyDescent="0.3">
      <c r="A213" s="115" t="s">
        <v>4400</v>
      </c>
      <c r="B213" t="s">
        <v>4266</v>
      </c>
      <c r="C213" s="59">
        <v>43057</v>
      </c>
      <c r="D213" s="59">
        <f t="shared" si="6"/>
        <v>43054</v>
      </c>
      <c r="E213" t="b">
        <f t="shared" si="7"/>
        <v>0</v>
      </c>
      <c r="F213">
        <v>1023989627</v>
      </c>
      <c r="G213" s="59">
        <v>44549</v>
      </c>
      <c r="K213">
        <v>1245079112</v>
      </c>
      <c r="L213" t="e">
        <f>VLOOKUP(K213,'MATRIZ PRINCIPAL'!A:J,10,0)</f>
        <v>#N/A</v>
      </c>
    </row>
    <row r="214" spans="1:12" x14ac:dyDescent="0.3">
      <c r="A214" s="115">
        <v>1074536315</v>
      </c>
      <c r="B214" t="s">
        <v>4267</v>
      </c>
      <c r="C214" s="59">
        <v>44068</v>
      </c>
      <c r="D214" s="59">
        <f t="shared" si="6"/>
        <v>44068</v>
      </c>
      <c r="E214" t="b">
        <f t="shared" si="7"/>
        <v>1</v>
      </c>
      <c r="F214">
        <v>1023990542</v>
      </c>
      <c r="G214" s="59">
        <v>44632</v>
      </c>
      <c r="K214" t="s">
        <v>4062</v>
      </c>
      <c r="L214" t="e">
        <f>VLOOKUP(K214,'MATRIZ PRINCIPAL'!A:J,10,0)</f>
        <v>#N/A</v>
      </c>
    </row>
    <row r="215" spans="1:12" x14ac:dyDescent="0.3">
      <c r="A215" s="115">
        <v>1243860929</v>
      </c>
      <c r="B215" t="s">
        <v>4268</v>
      </c>
      <c r="C215" s="59">
        <v>44595</v>
      </c>
      <c r="D215" s="59">
        <f t="shared" si="6"/>
        <v>44595</v>
      </c>
      <c r="E215" t="b">
        <f t="shared" si="7"/>
        <v>1</v>
      </c>
      <c r="F215">
        <v>1024611711</v>
      </c>
      <c r="G215" s="59">
        <v>44390</v>
      </c>
      <c r="K215" t="s">
        <v>4060</v>
      </c>
      <c r="L215" t="e">
        <f>VLOOKUP(K215,'MATRIZ PRINCIPAL'!A:J,10,0)</f>
        <v>#N/A</v>
      </c>
    </row>
    <row r="216" spans="1:12" x14ac:dyDescent="0.3">
      <c r="A216" s="115">
        <v>1074824501</v>
      </c>
      <c r="B216" t="s">
        <v>4269</v>
      </c>
      <c r="C216" s="59">
        <v>43083</v>
      </c>
      <c r="D216" s="59">
        <f t="shared" si="6"/>
        <v>43083</v>
      </c>
      <c r="E216" t="b">
        <f t="shared" si="7"/>
        <v>1</v>
      </c>
      <c r="F216">
        <v>1024612013</v>
      </c>
      <c r="G216" s="59">
        <v>44493</v>
      </c>
      <c r="K216" t="s">
        <v>4064</v>
      </c>
      <c r="L216" t="e">
        <f>VLOOKUP(K216,'MATRIZ PRINCIPAL'!A:J,10,0)</f>
        <v>#N/A</v>
      </c>
    </row>
    <row r="217" spans="1:12" x14ac:dyDescent="0.3">
      <c r="A217" s="115">
        <v>1023046119</v>
      </c>
      <c r="B217" t="s">
        <v>4270</v>
      </c>
      <c r="C217" s="59">
        <v>44173</v>
      </c>
      <c r="D217" s="59">
        <f t="shared" si="6"/>
        <v>44173</v>
      </c>
      <c r="E217" t="b">
        <f t="shared" si="7"/>
        <v>1</v>
      </c>
      <c r="F217">
        <v>1026309443</v>
      </c>
      <c r="G217" s="59">
        <v>44188</v>
      </c>
    </row>
    <row r="218" spans="1:12" x14ac:dyDescent="0.3">
      <c r="A218" s="115">
        <v>1019160101</v>
      </c>
      <c r="B218" t="s">
        <v>4271</v>
      </c>
      <c r="C218" s="59">
        <v>44339</v>
      </c>
      <c r="D218" s="59">
        <f t="shared" si="6"/>
        <v>44339</v>
      </c>
      <c r="E218" t="b">
        <f t="shared" si="7"/>
        <v>1</v>
      </c>
      <c r="F218">
        <v>1026309444</v>
      </c>
      <c r="G218" s="59">
        <v>44188</v>
      </c>
      <c r="K218">
        <v>1000777307</v>
      </c>
      <c r="L218" t="e">
        <f>VLOOKUP(K218,'MATRIZ PRINCIPAL'!A:J,10,0)</f>
        <v>#N/A</v>
      </c>
    </row>
    <row r="219" spans="1:12" x14ac:dyDescent="0.3">
      <c r="A219" s="115">
        <v>1243860881</v>
      </c>
      <c r="B219" t="s">
        <v>4272</v>
      </c>
      <c r="C219" s="59">
        <v>44568</v>
      </c>
      <c r="D219" s="59">
        <f t="shared" si="6"/>
        <v>44568</v>
      </c>
      <c r="E219" t="b">
        <f t="shared" si="7"/>
        <v>1</v>
      </c>
      <c r="F219">
        <v>1026309480</v>
      </c>
      <c r="G219" s="59">
        <v>44196</v>
      </c>
      <c r="K219">
        <v>1000931826</v>
      </c>
      <c r="L219" t="e">
        <f>VLOOKUP(K219,'MATRIZ PRINCIPAL'!A:J,10,0)</f>
        <v>#N/A</v>
      </c>
    </row>
    <row r="220" spans="1:12" x14ac:dyDescent="0.3">
      <c r="A220" s="115">
        <v>1023983816</v>
      </c>
      <c r="B220" t="s">
        <v>4273</v>
      </c>
      <c r="C220" s="59">
        <v>43455</v>
      </c>
      <c r="D220" s="59">
        <f t="shared" si="6"/>
        <v>43455</v>
      </c>
      <c r="E220" t="b">
        <f t="shared" si="7"/>
        <v>1</v>
      </c>
      <c r="F220">
        <v>1026309481</v>
      </c>
      <c r="G220" s="59">
        <v>44196</v>
      </c>
      <c r="K220">
        <v>1010231306</v>
      </c>
      <c r="L220" t="e">
        <f>VLOOKUP(K220,'MATRIZ PRINCIPAL'!A:J,10,0)</f>
        <v>#N/A</v>
      </c>
    </row>
    <row r="221" spans="1:12" x14ac:dyDescent="0.3">
      <c r="A221" s="115">
        <v>1028675409</v>
      </c>
      <c r="B221" t="s">
        <v>4274</v>
      </c>
      <c r="C221" s="59">
        <v>44298</v>
      </c>
      <c r="D221" s="59">
        <f t="shared" si="6"/>
        <v>44298</v>
      </c>
      <c r="E221" t="b">
        <f t="shared" si="7"/>
        <v>1</v>
      </c>
      <c r="F221">
        <v>1026309516</v>
      </c>
      <c r="G221" s="59">
        <v>44206</v>
      </c>
      <c r="K221">
        <v>1020730043</v>
      </c>
      <c r="L221" t="e">
        <f>VLOOKUP(K221,'MATRIZ PRINCIPAL'!A:J,10,0)</f>
        <v>#N/A</v>
      </c>
    </row>
    <row r="222" spans="1:12" x14ac:dyDescent="0.3">
      <c r="A222" s="115">
        <v>16012018237</v>
      </c>
      <c r="B222" t="s">
        <v>4275</v>
      </c>
      <c r="C222" s="59">
        <v>43116</v>
      </c>
      <c r="D222" s="59">
        <f t="shared" si="6"/>
        <v>43116</v>
      </c>
      <c r="E222" t="b">
        <f t="shared" si="7"/>
        <v>1</v>
      </c>
      <c r="F222">
        <v>1026309758</v>
      </c>
      <c r="G222" s="59">
        <v>44320</v>
      </c>
      <c r="K222">
        <v>1023022652</v>
      </c>
      <c r="L222" t="e">
        <f>VLOOKUP(K222,'MATRIZ PRINCIPAL'!A:J,10,0)</f>
        <v>#N/A</v>
      </c>
    </row>
    <row r="223" spans="1:12" x14ac:dyDescent="0.3">
      <c r="A223" s="115">
        <v>1039226511</v>
      </c>
      <c r="B223" t="s">
        <v>4276</v>
      </c>
      <c r="C223" s="59">
        <v>43979</v>
      </c>
      <c r="D223" s="59">
        <f t="shared" si="6"/>
        <v>43979</v>
      </c>
      <c r="E223" t="b">
        <f t="shared" si="7"/>
        <v>1</v>
      </c>
      <c r="F223">
        <v>1026310144</v>
      </c>
      <c r="G223" s="59">
        <v>44464</v>
      </c>
      <c r="K223">
        <v>1024576052</v>
      </c>
      <c r="L223" t="e">
        <f>VLOOKUP(K223,'MATRIZ PRINCIPAL'!A:J,10,0)</f>
        <v>#N/A</v>
      </c>
    </row>
    <row r="224" spans="1:12" x14ac:dyDescent="0.3">
      <c r="A224" s="115">
        <v>1023989627</v>
      </c>
      <c r="B224" t="s">
        <v>4277</v>
      </c>
      <c r="C224" s="59">
        <v>44549</v>
      </c>
      <c r="D224" s="59">
        <f t="shared" si="6"/>
        <v>44549</v>
      </c>
      <c r="E224" t="b">
        <f t="shared" si="7"/>
        <v>1</v>
      </c>
      <c r="F224">
        <v>1026603423</v>
      </c>
      <c r="G224" s="59">
        <v>44343</v>
      </c>
      <c r="K224">
        <v>1033755043</v>
      </c>
      <c r="L224" t="e">
        <f>VLOOKUP(K224,'MATRIZ PRINCIPAL'!A:J,10,0)</f>
        <v>#N/A</v>
      </c>
    </row>
    <row r="225" spans="1:12" x14ac:dyDescent="0.3">
      <c r="A225" s="115">
        <v>1023987196</v>
      </c>
      <c r="B225" t="s">
        <v>4278</v>
      </c>
      <c r="C225" s="59">
        <v>43877</v>
      </c>
      <c r="D225" s="59">
        <f t="shared" si="6"/>
        <v>43877</v>
      </c>
      <c r="E225" t="b">
        <f t="shared" si="7"/>
        <v>1</v>
      </c>
      <c r="F225">
        <v>1026604281</v>
      </c>
      <c r="G225" s="59">
        <v>44450</v>
      </c>
      <c r="K225">
        <v>1092349873</v>
      </c>
      <c r="L225" t="e">
        <f>VLOOKUP(K225,'MATRIZ PRINCIPAL'!A:J,10,0)</f>
        <v>#N/A</v>
      </c>
    </row>
    <row r="226" spans="1:12" x14ac:dyDescent="0.3">
      <c r="A226" s="115">
        <v>1222218723</v>
      </c>
      <c r="B226" t="s">
        <v>4279</v>
      </c>
      <c r="C226" s="59">
        <v>43171</v>
      </c>
      <c r="D226" s="59">
        <f t="shared" si="6"/>
        <v>43171</v>
      </c>
      <c r="E226" t="b">
        <f t="shared" si="7"/>
        <v>1</v>
      </c>
      <c r="F226">
        <v>1027302696</v>
      </c>
      <c r="G226" s="59">
        <v>44150</v>
      </c>
      <c r="K226">
        <v>1003734192</v>
      </c>
      <c r="L226" t="e">
        <f>VLOOKUP(K226,'MATRIZ PRINCIPAL'!A:J,10,0)</f>
        <v>#N/A</v>
      </c>
    </row>
    <row r="227" spans="1:12" x14ac:dyDescent="0.3">
      <c r="A227" s="115">
        <v>1031187124</v>
      </c>
      <c r="B227" t="s">
        <v>4280</v>
      </c>
      <c r="C227" s="59">
        <v>44167</v>
      </c>
      <c r="D227" s="59">
        <f t="shared" si="6"/>
        <v>44169</v>
      </c>
      <c r="E227" t="b">
        <f t="shared" si="7"/>
        <v>0</v>
      </c>
      <c r="F227">
        <v>1027544666</v>
      </c>
      <c r="G227" s="59">
        <v>44616</v>
      </c>
      <c r="K227">
        <v>1006093564</v>
      </c>
      <c r="L227" t="e">
        <f>VLOOKUP(K227,'MATRIZ PRINCIPAL'!A:J,10,0)</f>
        <v>#N/A</v>
      </c>
    </row>
    <row r="228" spans="1:12" x14ac:dyDescent="0.3">
      <c r="A228" s="115">
        <v>1024611711</v>
      </c>
      <c r="B228" t="s">
        <v>4281</v>
      </c>
      <c r="C228" s="59">
        <v>44390</v>
      </c>
      <c r="D228" s="59">
        <f t="shared" si="6"/>
        <v>44390</v>
      </c>
      <c r="E228" t="b">
        <f t="shared" si="7"/>
        <v>1</v>
      </c>
      <c r="F228">
        <v>1028672942</v>
      </c>
      <c r="G228" s="59">
        <v>43065</v>
      </c>
      <c r="K228">
        <v>1006666312</v>
      </c>
      <c r="L228" t="e">
        <f>VLOOKUP(K228,'MATRIZ PRINCIPAL'!A:J,10,0)</f>
        <v>#N/A</v>
      </c>
    </row>
    <row r="229" spans="1:12" x14ac:dyDescent="0.3">
      <c r="A229" s="115">
        <v>1016746746</v>
      </c>
      <c r="B229" t="s">
        <v>4282</v>
      </c>
      <c r="C229" s="59">
        <v>43525</v>
      </c>
      <c r="D229" s="59">
        <f t="shared" si="6"/>
        <v>43525</v>
      </c>
      <c r="E229" t="b">
        <f t="shared" si="7"/>
        <v>1</v>
      </c>
      <c r="F229">
        <v>1028673609</v>
      </c>
      <c r="G229" s="59">
        <v>43399</v>
      </c>
      <c r="K229">
        <v>1007101197</v>
      </c>
      <c r="L229" t="e">
        <f>VLOOKUP(K229,'MATRIZ PRINCIPAL'!A:J,10,0)</f>
        <v>#N/A</v>
      </c>
    </row>
    <row r="230" spans="1:12" x14ac:dyDescent="0.3">
      <c r="A230" s="115">
        <v>705202105</v>
      </c>
      <c r="B230" t="s">
        <v>4283</v>
      </c>
      <c r="C230" s="59">
        <v>44323</v>
      </c>
      <c r="D230" s="59">
        <f t="shared" si="6"/>
        <v>44323</v>
      </c>
      <c r="E230" t="b">
        <f t="shared" si="7"/>
        <v>1</v>
      </c>
      <c r="F230">
        <v>1028673639</v>
      </c>
      <c r="G230" s="59">
        <v>43374</v>
      </c>
      <c r="K230">
        <v>1007739212</v>
      </c>
      <c r="L230" t="e">
        <f>VLOOKUP(K230,'MATRIZ PRINCIPAL'!A:J,10,0)</f>
        <v>#N/A</v>
      </c>
    </row>
    <row r="231" spans="1:12" x14ac:dyDescent="0.3">
      <c r="A231" s="115">
        <v>1026309758</v>
      </c>
      <c r="B231" t="s">
        <v>4284</v>
      </c>
      <c r="C231" s="59">
        <v>44320</v>
      </c>
      <c r="D231" s="59">
        <f t="shared" si="6"/>
        <v>44320</v>
      </c>
      <c r="E231" t="b">
        <f t="shared" si="7"/>
        <v>1</v>
      </c>
      <c r="F231">
        <v>1028673762</v>
      </c>
      <c r="G231" s="59">
        <v>43429</v>
      </c>
      <c r="K231">
        <v>1018462996</v>
      </c>
      <c r="L231" t="e">
        <f>VLOOKUP(K231,'MATRIZ PRINCIPAL'!A:J,10,0)</f>
        <v>#N/A</v>
      </c>
    </row>
    <row r="232" spans="1:12" x14ac:dyDescent="0.3">
      <c r="A232" s="115">
        <v>1051364630</v>
      </c>
      <c r="B232" t="s">
        <v>4285</v>
      </c>
      <c r="C232" s="59">
        <v>44341</v>
      </c>
      <c r="D232" s="59">
        <f t="shared" si="6"/>
        <v>44341</v>
      </c>
      <c r="E232" t="b">
        <f t="shared" si="7"/>
        <v>1</v>
      </c>
      <c r="F232">
        <v>1028673976</v>
      </c>
      <c r="G232" s="59">
        <v>43148</v>
      </c>
      <c r="K232">
        <v>1022940608</v>
      </c>
      <c r="L232" t="e">
        <f>VLOOKUP(K232,'MATRIZ PRINCIPAL'!A:J,10,0)</f>
        <v>#N/A</v>
      </c>
    </row>
    <row r="233" spans="1:12" x14ac:dyDescent="0.3">
      <c r="A233" s="115">
        <v>1028672942</v>
      </c>
      <c r="B233" t="s">
        <v>4286</v>
      </c>
      <c r="C233" s="59">
        <v>43065</v>
      </c>
      <c r="D233" s="59">
        <f t="shared" si="6"/>
        <v>43065</v>
      </c>
      <c r="E233" t="b">
        <f t="shared" si="7"/>
        <v>1</v>
      </c>
      <c r="F233">
        <v>1028674952</v>
      </c>
      <c r="G233" s="59">
        <v>43842</v>
      </c>
      <c r="K233">
        <v>1031172814</v>
      </c>
      <c r="L233" t="e">
        <f>VLOOKUP(K233,'MATRIZ PRINCIPAL'!A:J,10,0)</f>
        <v>#N/A</v>
      </c>
    </row>
    <row r="234" spans="1:12" x14ac:dyDescent="0.3">
      <c r="A234" s="115">
        <v>1026309516</v>
      </c>
      <c r="B234" t="s">
        <v>4287</v>
      </c>
      <c r="C234" s="59">
        <v>44206</v>
      </c>
      <c r="D234" s="59">
        <f t="shared" si="6"/>
        <v>44206</v>
      </c>
      <c r="E234" t="b">
        <f t="shared" si="7"/>
        <v>1</v>
      </c>
      <c r="F234">
        <v>1028675301</v>
      </c>
      <c r="G234" s="59">
        <v>44190</v>
      </c>
      <c r="K234">
        <v>1076019181</v>
      </c>
      <c r="L234" t="e">
        <f>VLOOKUP(K234,'MATRIZ PRINCIPAL'!A:J,10,0)</f>
        <v>#N/A</v>
      </c>
    </row>
    <row r="235" spans="1:12" x14ac:dyDescent="0.3">
      <c r="A235" s="115">
        <v>1069651138</v>
      </c>
      <c r="B235" t="s">
        <v>4288</v>
      </c>
      <c r="C235" s="59">
        <v>43911</v>
      </c>
      <c r="D235" s="59">
        <f t="shared" si="6"/>
        <v>43911</v>
      </c>
      <c r="E235" t="b">
        <f t="shared" si="7"/>
        <v>1</v>
      </c>
      <c r="F235">
        <v>1028675409</v>
      </c>
      <c r="G235" s="59">
        <v>44298</v>
      </c>
      <c r="K235">
        <v>1076320839</v>
      </c>
      <c r="L235" t="e">
        <f>VLOOKUP(K235,'MATRIZ PRINCIPAL'!A:J,10,0)</f>
        <v>#N/A</v>
      </c>
    </row>
    <row r="236" spans="1:12" x14ac:dyDescent="0.3">
      <c r="A236" s="115" t="s">
        <v>4062</v>
      </c>
      <c r="B236" t="s">
        <v>4289</v>
      </c>
      <c r="C236" s="59">
        <v>43114</v>
      </c>
      <c r="D236" s="59">
        <f t="shared" si="6"/>
        <v>43114</v>
      </c>
      <c r="E236" t="b">
        <f t="shared" si="7"/>
        <v>1</v>
      </c>
      <c r="F236">
        <v>1028675486</v>
      </c>
      <c r="G236" s="59">
        <v>44284</v>
      </c>
      <c r="K236" t="s">
        <v>4063</v>
      </c>
      <c r="L236" t="e">
        <f>VLOOKUP(K236,'MATRIZ PRINCIPAL'!A:J,10,0)</f>
        <v>#N/A</v>
      </c>
    </row>
    <row r="237" spans="1:12" x14ac:dyDescent="0.3">
      <c r="A237" s="115">
        <v>1023041247</v>
      </c>
      <c r="B237" t="s">
        <v>4290</v>
      </c>
      <c r="C237" s="59">
        <v>43255</v>
      </c>
      <c r="D237" s="59">
        <f t="shared" si="6"/>
        <v>43255</v>
      </c>
      <c r="E237" t="b">
        <f t="shared" si="7"/>
        <v>1</v>
      </c>
      <c r="F237">
        <v>1028675591</v>
      </c>
      <c r="G237" s="59">
        <v>44392</v>
      </c>
      <c r="K237">
        <v>1022935813</v>
      </c>
      <c r="L237" t="e">
        <f>VLOOKUP(K237,'MATRIZ PRINCIPAL'!A:J,10,0)</f>
        <v>#N/A</v>
      </c>
    </row>
    <row r="238" spans="1:12" x14ac:dyDescent="0.3">
      <c r="A238" s="115">
        <v>1243859568</v>
      </c>
      <c r="B238" t="s">
        <v>4291</v>
      </c>
      <c r="C238" s="59">
        <v>44119</v>
      </c>
      <c r="D238" s="59">
        <f t="shared" si="6"/>
        <v>44119</v>
      </c>
      <c r="E238" t="b">
        <f t="shared" si="7"/>
        <v>1</v>
      </c>
      <c r="F238">
        <v>1028675603</v>
      </c>
      <c r="G238" s="59">
        <v>44398</v>
      </c>
      <c r="K238">
        <v>1022939239</v>
      </c>
      <c r="L238" t="e">
        <f>VLOOKUP(K238,'MATRIZ PRINCIPAL'!A:J,10,0)</f>
        <v>#N/A</v>
      </c>
    </row>
    <row r="239" spans="1:12" x14ac:dyDescent="0.3">
      <c r="A239" s="115">
        <v>1206225376</v>
      </c>
      <c r="B239" t="s">
        <v>4292</v>
      </c>
      <c r="C239" s="59">
        <v>43645</v>
      </c>
      <c r="D239" s="59">
        <f t="shared" si="6"/>
        <v>43645</v>
      </c>
      <c r="E239" t="b">
        <f t="shared" si="7"/>
        <v>1</v>
      </c>
      <c r="F239">
        <v>1028793142</v>
      </c>
      <c r="G239" s="59">
        <v>42917</v>
      </c>
      <c r="K239">
        <v>1023378468</v>
      </c>
      <c r="L239" t="e">
        <f>VLOOKUP(K239,'MATRIZ PRINCIPAL'!A:J,10,0)</f>
        <v>#N/A</v>
      </c>
    </row>
    <row r="240" spans="1:12" x14ac:dyDescent="0.3">
      <c r="A240" s="115">
        <v>1023985952</v>
      </c>
      <c r="B240" t="s">
        <v>4293</v>
      </c>
      <c r="C240" s="59">
        <v>43714</v>
      </c>
      <c r="D240" s="59">
        <f t="shared" si="6"/>
        <v>43714</v>
      </c>
      <c r="E240" t="b">
        <f t="shared" si="7"/>
        <v>1</v>
      </c>
      <c r="F240">
        <v>1029299640</v>
      </c>
      <c r="G240" s="59">
        <v>43872</v>
      </c>
      <c r="K240">
        <v>1023894383</v>
      </c>
      <c r="L240" t="e">
        <f>VLOOKUP(K240,'MATRIZ PRINCIPAL'!A:J,10,0)</f>
        <v>#N/A</v>
      </c>
    </row>
    <row r="241" spans="1:13" x14ac:dyDescent="0.3">
      <c r="A241" s="115">
        <v>1028675591</v>
      </c>
      <c r="B241" t="s">
        <v>4294</v>
      </c>
      <c r="C241" s="59">
        <v>44392</v>
      </c>
      <c r="D241" s="59">
        <f t="shared" si="6"/>
        <v>44392</v>
      </c>
      <c r="E241" t="b">
        <f t="shared" si="7"/>
        <v>1</v>
      </c>
      <c r="F241">
        <v>1031187124</v>
      </c>
      <c r="G241" s="59">
        <v>44169</v>
      </c>
      <c r="K241">
        <v>1045424161</v>
      </c>
      <c r="L241" t="e">
        <f>VLOOKUP(K241,'MATRIZ PRINCIPAL'!A:J,10,0)</f>
        <v>#N/A</v>
      </c>
    </row>
    <row r="242" spans="1:13" x14ac:dyDescent="0.3">
      <c r="A242" s="115">
        <v>1028675301</v>
      </c>
      <c r="B242" t="s">
        <v>4295</v>
      </c>
      <c r="C242" s="59">
        <v>44190</v>
      </c>
      <c r="D242" s="59">
        <f t="shared" si="6"/>
        <v>44190</v>
      </c>
      <c r="E242" t="b">
        <f t="shared" si="7"/>
        <v>1</v>
      </c>
      <c r="F242">
        <v>1031187767</v>
      </c>
      <c r="G242" s="59">
        <v>44397</v>
      </c>
    </row>
    <row r="243" spans="1:13" x14ac:dyDescent="0.3">
      <c r="A243" s="115">
        <v>1028675603</v>
      </c>
      <c r="B243" t="s">
        <v>4296</v>
      </c>
      <c r="C243" s="59">
        <v>44398</v>
      </c>
      <c r="D243" s="59">
        <f t="shared" si="6"/>
        <v>44398</v>
      </c>
      <c r="E243" t="b">
        <f t="shared" si="7"/>
        <v>1</v>
      </c>
      <c r="F243">
        <v>1031187823</v>
      </c>
      <c r="G243" s="59">
        <v>44448</v>
      </c>
      <c r="J243" t="e" vm="1">
        <f ca="1">_xlfn.XLOOKUP(K243,'MATRIZ PRINCIPAL'!A:A,'MATRIZ PRINCIPAL'!P:P,"NO",0)</f>
        <v>#NAME?</v>
      </c>
      <c r="K243">
        <v>1024576052</v>
      </c>
      <c r="L243" t="e">
        <f>VLOOKUP(K241,'MATRIZ PRINCIPAL'!A:J,6,0)</f>
        <v>#N/A</v>
      </c>
      <c r="M243" t="e">
        <f>VLOOKUP(K241,'MATRIZ PRINCIPAL'!A:J,7,0)</f>
        <v>#N/A</v>
      </c>
    </row>
    <row r="244" spans="1:13" x14ac:dyDescent="0.3">
      <c r="A244" s="115">
        <v>1023988198</v>
      </c>
      <c r="B244" t="s">
        <v>4297</v>
      </c>
      <c r="C244" s="59">
        <v>44263</v>
      </c>
      <c r="D244" s="59">
        <f t="shared" si="6"/>
        <v>44263</v>
      </c>
      <c r="E244" t="b">
        <f t="shared" si="7"/>
        <v>1</v>
      </c>
      <c r="F244">
        <v>1031188322</v>
      </c>
      <c r="G244" s="59">
        <v>44596</v>
      </c>
      <c r="J244" t="e" vm="1">
        <f ca="1">_xlfn.XLOOKUP(K244,'MATRIZ PRINCIPAL'!A:A,'MATRIZ PRINCIPAL'!P:P,"NO",0)</f>
        <v>#NAME?</v>
      </c>
      <c r="K244">
        <v>1069651138</v>
      </c>
      <c r="L244" t="e">
        <f>VLOOKUP(K242,'MATRIZ PRINCIPAL'!A:J,6,0)</f>
        <v>#N/A</v>
      </c>
      <c r="M244" t="e">
        <f>VLOOKUP(K242,'MATRIZ PRINCIPAL'!A:J,7,0)</f>
        <v>#N/A</v>
      </c>
    </row>
    <row r="245" spans="1:13" x14ac:dyDescent="0.3">
      <c r="A245" s="115">
        <v>1107538160</v>
      </c>
      <c r="B245" t="s">
        <v>4298</v>
      </c>
      <c r="C245" s="59">
        <v>44204</v>
      </c>
      <c r="D245" s="59">
        <f t="shared" si="6"/>
        <v>44204</v>
      </c>
      <c r="E245" t="b">
        <f t="shared" si="7"/>
        <v>1</v>
      </c>
      <c r="F245">
        <v>1031858155</v>
      </c>
      <c r="G245" s="59">
        <v>44279</v>
      </c>
      <c r="J245" t="e" vm="1">
        <f ca="1">_xlfn.XLOOKUP(K245,'MATRIZ PRINCIPAL'!A:A,'MATRIZ PRINCIPAL'!P:P,"NO",0)</f>
        <v>#NAME?</v>
      </c>
      <c r="K245">
        <v>1016749744</v>
      </c>
      <c r="L245" t="e">
        <f>VLOOKUP(K243,'MATRIZ PRINCIPAL'!A:J,6,0)</f>
        <v>#N/A</v>
      </c>
      <c r="M245" t="e">
        <f>VLOOKUP(K243,'MATRIZ PRINCIPAL'!A:J,7,0)</f>
        <v>#N/A</v>
      </c>
    </row>
    <row r="246" spans="1:13" x14ac:dyDescent="0.3">
      <c r="A246" s="115">
        <v>1016751226</v>
      </c>
      <c r="B246" t="s">
        <v>4299</v>
      </c>
      <c r="C246" s="59">
        <v>44209</v>
      </c>
      <c r="D246" s="59">
        <f t="shared" si="6"/>
        <v>44209</v>
      </c>
      <c r="E246" t="b">
        <f t="shared" si="7"/>
        <v>1</v>
      </c>
      <c r="F246">
        <v>1032513713</v>
      </c>
      <c r="G246" s="59">
        <v>44237</v>
      </c>
      <c r="J246" t="e" vm="1">
        <f ca="1">_xlfn.XLOOKUP(K246,'MATRIZ PRINCIPAL'!A:A,'MATRIZ PRINCIPAL'!P:P,"NO",0)</f>
        <v>#NAME?</v>
      </c>
      <c r="K246">
        <v>1031187124</v>
      </c>
      <c r="L246" t="e">
        <f>VLOOKUP(K244,'MATRIZ PRINCIPAL'!A:J,6,0)</f>
        <v>#N/A</v>
      </c>
      <c r="M246" t="e">
        <f>VLOOKUP(K244,'MATRIZ PRINCIPAL'!A:J,7,0)</f>
        <v>#N/A</v>
      </c>
    </row>
    <row r="247" spans="1:13" x14ac:dyDescent="0.3">
      <c r="A247" s="115">
        <v>1016751403</v>
      </c>
      <c r="B247" t="s">
        <v>4300</v>
      </c>
      <c r="C247" s="59">
        <v>44238</v>
      </c>
      <c r="D247" s="59">
        <f t="shared" si="6"/>
        <v>44238</v>
      </c>
      <c r="E247" t="b">
        <f t="shared" si="7"/>
        <v>1</v>
      </c>
      <c r="F247">
        <v>1032514103</v>
      </c>
      <c r="G247" s="59">
        <v>44466</v>
      </c>
      <c r="J247" t="e" vm="1">
        <f ca="1">_xlfn.XLOOKUP(K247,'MATRIZ PRINCIPAL'!A:A,'MATRIZ PRINCIPAL'!P:P,"NO",0)</f>
        <v>#NAME?</v>
      </c>
      <c r="K247">
        <v>1021696648</v>
      </c>
      <c r="L247" t="e">
        <f>VLOOKUP(K245,'MATRIZ PRINCIPAL'!A:J,6,0)</f>
        <v>#N/A</v>
      </c>
      <c r="M247" t="e">
        <f>VLOOKUP(K245,'MATRIZ PRINCIPAL'!A:J,7,0)</f>
        <v>#N/A</v>
      </c>
    </row>
    <row r="248" spans="1:13" x14ac:dyDescent="0.3">
      <c r="A248" s="115">
        <v>1016753171</v>
      </c>
      <c r="B248" t="s">
        <v>4301</v>
      </c>
      <c r="C248" s="59">
        <v>44530</v>
      </c>
      <c r="D248" s="59">
        <f t="shared" si="6"/>
        <v>44530</v>
      </c>
      <c r="E248" t="b">
        <f t="shared" si="7"/>
        <v>1</v>
      </c>
      <c r="F248">
        <v>1032946299</v>
      </c>
      <c r="G248" s="59">
        <v>44388</v>
      </c>
      <c r="J248" t="e" vm="1">
        <f ca="1">_xlfn.XLOOKUP(K248,'MATRIZ PRINCIPAL'!A:A,'MATRIZ PRINCIPAL'!P:P,"NO",0)</f>
        <v>#NAME?</v>
      </c>
      <c r="K248">
        <v>1013697728</v>
      </c>
      <c r="L248" t="e">
        <f>VLOOKUP(K246,'MATRIZ PRINCIPAL'!A:J,6,0)</f>
        <v>#N/A</v>
      </c>
      <c r="M248" t="e">
        <f>VLOOKUP(K246,'MATRIZ PRINCIPAL'!A:J,7,0)</f>
        <v>#N/A</v>
      </c>
    </row>
    <row r="249" spans="1:13" x14ac:dyDescent="0.3">
      <c r="A249" s="115">
        <v>22012020072</v>
      </c>
      <c r="B249" t="s">
        <v>4302</v>
      </c>
      <c r="C249" s="59">
        <v>43852</v>
      </c>
      <c r="D249" s="59">
        <f t="shared" si="6"/>
        <v>43852</v>
      </c>
      <c r="E249" t="b">
        <f t="shared" si="7"/>
        <v>1</v>
      </c>
      <c r="F249">
        <v>1033822280</v>
      </c>
      <c r="G249" s="59">
        <v>43169</v>
      </c>
      <c r="K249">
        <v>1023988244</v>
      </c>
      <c r="L249" t="e">
        <f>VLOOKUP(K247,'MATRIZ PRINCIPAL'!A:J,6,0)</f>
        <v>#N/A</v>
      </c>
      <c r="M249" t="e">
        <f>VLOOKUP(K247,'MATRIZ PRINCIPAL'!A:J,7,0)</f>
        <v>#N/A</v>
      </c>
    </row>
    <row r="250" spans="1:13" x14ac:dyDescent="0.3">
      <c r="A250" s="115">
        <v>11022018069</v>
      </c>
      <c r="B250" t="s">
        <v>4303</v>
      </c>
      <c r="C250" s="59">
        <v>43142</v>
      </c>
      <c r="D250" s="59">
        <f t="shared" si="6"/>
        <v>43142</v>
      </c>
      <c r="E250" t="b">
        <f t="shared" si="7"/>
        <v>1</v>
      </c>
      <c r="F250">
        <v>1033825232</v>
      </c>
      <c r="G250" s="59">
        <v>43447</v>
      </c>
      <c r="K250">
        <v>1016752177</v>
      </c>
      <c r="L250" t="e">
        <f>VLOOKUP(K248,'MATRIZ PRINCIPAL'!A:J,6,0)</f>
        <v>#N/A</v>
      </c>
      <c r="M250" t="e">
        <f>VLOOKUP(K248,'MATRIZ PRINCIPAL'!A:J,7,0)</f>
        <v>#N/A</v>
      </c>
    </row>
    <row r="251" spans="1:13" x14ac:dyDescent="0.3">
      <c r="A251" s="115" t="s">
        <v>4060</v>
      </c>
      <c r="B251" t="s">
        <v>4304</v>
      </c>
      <c r="C251" s="59">
        <v>43557</v>
      </c>
      <c r="D251" s="59">
        <f t="shared" si="6"/>
        <v>43557</v>
      </c>
      <c r="E251" t="b">
        <f t="shared" si="7"/>
        <v>1</v>
      </c>
      <c r="F251">
        <v>1033829949</v>
      </c>
      <c r="G251" s="59">
        <v>44163</v>
      </c>
      <c r="K251">
        <v>1023378468</v>
      </c>
      <c r="L251" t="e">
        <f>VLOOKUP(K249,'MATRIZ PRINCIPAL'!A:J,6,0)</f>
        <v>#N/A</v>
      </c>
      <c r="M251" t="e">
        <f>VLOOKUP(K249,'MATRIZ PRINCIPAL'!A:J,7,0)</f>
        <v>#N/A</v>
      </c>
    </row>
    <row r="252" spans="1:13" x14ac:dyDescent="0.3">
      <c r="A252" s="115">
        <v>1028673762</v>
      </c>
      <c r="B252" t="s">
        <v>4305</v>
      </c>
      <c r="C252" s="59">
        <v>43429</v>
      </c>
      <c r="D252" s="59">
        <f t="shared" si="6"/>
        <v>43429</v>
      </c>
      <c r="E252" t="b">
        <f t="shared" si="7"/>
        <v>1</v>
      </c>
      <c r="F252">
        <v>1033830288</v>
      </c>
      <c r="G252" s="59">
        <v>44400</v>
      </c>
      <c r="K252">
        <v>1031187823</v>
      </c>
      <c r="L252" t="e">
        <f>VLOOKUP(K250,'MATRIZ PRINCIPAL'!A:J,6,0)</f>
        <v>#N/A</v>
      </c>
      <c r="M252" t="e">
        <f>VLOOKUP(K250,'MATRIZ PRINCIPAL'!A:J,7,0)</f>
        <v>#N/A</v>
      </c>
    </row>
    <row r="253" spans="1:13" x14ac:dyDescent="0.3">
      <c r="A253" s="115">
        <v>1016753593</v>
      </c>
      <c r="B253" t="s">
        <v>4306</v>
      </c>
      <c r="C253" s="59">
        <v>44616</v>
      </c>
      <c r="D253" s="59" t="e">
        <f t="shared" si="6"/>
        <v>#N/A</v>
      </c>
      <c r="E253" t="e">
        <f t="shared" si="7"/>
        <v>#N/A</v>
      </c>
      <c r="F253">
        <v>1039226511</v>
      </c>
      <c r="G253" s="59">
        <v>43979</v>
      </c>
      <c r="K253">
        <v>1016752365</v>
      </c>
      <c r="L253" t="e">
        <f>VLOOKUP(K251,'MATRIZ PRINCIPAL'!A:J,6,0)</f>
        <v>#N/A</v>
      </c>
      <c r="M253" t="e">
        <f>VLOOKUP(K251,'MATRIZ PRINCIPAL'!A:J,7,0)</f>
        <v>#N/A</v>
      </c>
    </row>
    <row r="254" spans="1:13" x14ac:dyDescent="0.3">
      <c r="A254" s="115">
        <v>1123212095</v>
      </c>
      <c r="B254" t="s">
        <v>4307</v>
      </c>
      <c r="C254" s="59">
        <v>44354</v>
      </c>
      <c r="D254" s="59">
        <f t="shared" si="6"/>
        <v>44354</v>
      </c>
      <c r="E254" t="b">
        <f t="shared" si="7"/>
        <v>1</v>
      </c>
      <c r="F254">
        <v>1049663473</v>
      </c>
      <c r="G254" s="59">
        <v>44366</v>
      </c>
      <c r="K254">
        <v>1023894383</v>
      </c>
      <c r="L254" t="e">
        <f>VLOOKUP(K252,'MATRIZ PRINCIPAL'!A:J,6,0)</f>
        <v>#N/A</v>
      </c>
      <c r="M254" t="e">
        <f>VLOOKUP(K252,'MATRIZ PRINCIPAL'!A:J,7,0)</f>
        <v>#N/A</v>
      </c>
    </row>
    <row r="255" spans="1:13" x14ac:dyDescent="0.3">
      <c r="A255" s="115">
        <v>1243762304</v>
      </c>
      <c r="B255" t="s">
        <v>4308</v>
      </c>
      <c r="C255" s="59">
        <v>44594</v>
      </c>
      <c r="D255" s="59">
        <f t="shared" si="6"/>
        <v>44594</v>
      </c>
      <c r="E255" t="b">
        <f t="shared" si="7"/>
        <v>1</v>
      </c>
      <c r="F255">
        <v>1051364630</v>
      </c>
      <c r="G255" s="59">
        <v>44341</v>
      </c>
    </row>
    <row r="256" spans="1:13" x14ac:dyDescent="0.3">
      <c r="A256" s="115">
        <v>1243861102</v>
      </c>
      <c r="B256" t="s">
        <v>4309</v>
      </c>
      <c r="C256" s="59">
        <v>44714</v>
      </c>
      <c r="D256" s="59">
        <f t="shared" si="6"/>
        <v>44714</v>
      </c>
      <c r="E256" t="b">
        <f t="shared" si="7"/>
        <v>1</v>
      </c>
      <c r="F256">
        <v>1069307141</v>
      </c>
      <c r="G256" s="59">
        <v>43908</v>
      </c>
    </row>
    <row r="257" spans="1:7" x14ac:dyDescent="0.3">
      <c r="A257" s="115">
        <v>1076320839</v>
      </c>
      <c r="B257" t="s">
        <v>4310</v>
      </c>
      <c r="C257" s="59">
        <v>34229</v>
      </c>
      <c r="D257" s="59">
        <f t="shared" si="6"/>
        <v>34229</v>
      </c>
      <c r="E257" t="b">
        <f t="shared" si="7"/>
        <v>1</v>
      </c>
      <c r="F257">
        <v>1069651138</v>
      </c>
      <c r="G257" s="59">
        <v>43911</v>
      </c>
    </row>
    <row r="258" spans="1:7" x14ac:dyDescent="0.3">
      <c r="A258" s="115">
        <v>2611201712</v>
      </c>
      <c r="B258" t="s">
        <v>4311</v>
      </c>
      <c r="C258" s="59">
        <v>43065</v>
      </c>
      <c r="D258" s="59">
        <f t="shared" si="6"/>
        <v>43065</v>
      </c>
      <c r="E258" t="b">
        <f t="shared" si="7"/>
        <v>1</v>
      </c>
      <c r="F258">
        <v>1071551363</v>
      </c>
      <c r="G258" s="59">
        <v>43899</v>
      </c>
    </row>
    <row r="259" spans="1:7" x14ac:dyDescent="0.3">
      <c r="A259" s="115">
        <v>1243858043</v>
      </c>
      <c r="B259" t="s">
        <v>4312</v>
      </c>
      <c r="C259" s="59">
        <v>43773</v>
      </c>
      <c r="D259" s="59">
        <f t="shared" ref="D259:D322" si="8">VLOOKUP(A259,F:G,2,0)</f>
        <v>43773</v>
      </c>
      <c r="E259" t="b">
        <f t="shared" ref="E259:E322" si="9">D259=C259</f>
        <v>1</v>
      </c>
      <c r="F259">
        <v>1073386805</v>
      </c>
      <c r="G259" s="59">
        <v>44320</v>
      </c>
    </row>
    <row r="260" spans="1:7" x14ac:dyDescent="0.3">
      <c r="A260" s="115">
        <v>1010850706</v>
      </c>
      <c r="B260" t="s">
        <v>4313</v>
      </c>
      <c r="C260" s="59">
        <v>44635</v>
      </c>
      <c r="D260" s="59">
        <f t="shared" si="8"/>
        <v>44635</v>
      </c>
      <c r="E260" t="b">
        <f t="shared" si="9"/>
        <v>1</v>
      </c>
      <c r="F260">
        <v>1074536315</v>
      </c>
      <c r="G260" s="59">
        <v>44068</v>
      </c>
    </row>
    <row r="261" spans="1:7" x14ac:dyDescent="0.3">
      <c r="A261" s="115">
        <v>1031172814</v>
      </c>
      <c r="B261" t="s">
        <v>4314</v>
      </c>
      <c r="C261" s="59">
        <v>35728</v>
      </c>
      <c r="D261" s="59">
        <f t="shared" si="8"/>
        <v>35728</v>
      </c>
      <c r="E261" t="b">
        <f t="shared" si="9"/>
        <v>1</v>
      </c>
      <c r="F261">
        <v>1074824501</v>
      </c>
      <c r="G261" s="59">
        <v>43083</v>
      </c>
    </row>
    <row r="262" spans="1:7" x14ac:dyDescent="0.3">
      <c r="A262" s="115">
        <v>2092021054</v>
      </c>
      <c r="B262" t="s">
        <v>4315</v>
      </c>
      <c r="C262" s="59">
        <v>44441</v>
      </c>
      <c r="D262" s="59">
        <f t="shared" si="8"/>
        <v>44441</v>
      </c>
      <c r="E262" t="b">
        <f t="shared" si="9"/>
        <v>1</v>
      </c>
      <c r="F262">
        <v>1082161099</v>
      </c>
      <c r="G262" s="59">
        <v>44000</v>
      </c>
    </row>
    <row r="263" spans="1:7" x14ac:dyDescent="0.3">
      <c r="A263" s="115" t="s">
        <v>4063</v>
      </c>
      <c r="B263" t="s">
        <v>4316</v>
      </c>
      <c r="C263" s="59">
        <v>37952</v>
      </c>
      <c r="D263" s="59">
        <f t="shared" si="8"/>
        <v>37952</v>
      </c>
      <c r="E263" t="b">
        <f t="shared" si="9"/>
        <v>1</v>
      </c>
      <c r="F263">
        <v>1087214750</v>
      </c>
      <c r="G263" s="59">
        <v>43385</v>
      </c>
    </row>
    <row r="264" spans="1:7" x14ac:dyDescent="0.3">
      <c r="A264" s="115">
        <v>1146148428</v>
      </c>
      <c r="B264" t="s">
        <v>4317</v>
      </c>
      <c r="C264" s="59">
        <v>44036</v>
      </c>
      <c r="D264" s="59">
        <f t="shared" si="8"/>
        <v>44036</v>
      </c>
      <c r="E264" t="b">
        <f t="shared" si="9"/>
        <v>1</v>
      </c>
      <c r="F264">
        <v>1087218446</v>
      </c>
      <c r="G264" s="59">
        <v>44458</v>
      </c>
    </row>
    <row r="265" spans="1:7" x14ac:dyDescent="0.3">
      <c r="A265" s="115">
        <v>1023043988</v>
      </c>
      <c r="B265" t="s">
        <v>4318</v>
      </c>
      <c r="C265" s="59">
        <v>43690</v>
      </c>
      <c r="D265" s="59">
        <f t="shared" si="8"/>
        <v>43690</v>
      </c>
      <c r="E265" t="b">
        <f t="shared" si="9"/>
        <v>1</v>
      </c>
      <c r="F265">
        <v>1107538160</v>
      </c>
      <c r="G265" s="59">
        <v>44204</v>
      </c>
    </row>
    <row r="266" spans="1:7" x14ac:dyDescent="0.3">
      <c r="A266" s="115">
        <v>1023046582</v>
      </c>
      <c r="B266" t="s">
        <v>4319</v>
      </c>
      <c r="C266" s="59">
        <v>44303</v>
      </c>
      <c r="D266" s="59">
        <f t="shared" si="8"/>
        <v>44303</v>
      </c>
      <c r="E266" t="b">
        <f t="shared" si="9"/>
        <v>1</v>
      </c>
      <c r="F266">
        <v>1109423243</v>
      </c>
      <c r="G266" s="59">
        <v>43631</v>
      </c>
    </row>
    <row r="267" spans="1:7" x14ac:dyDescent="0.3">
      <c r="A267" s="115">
        <v>1023044204</v>
      </c>
      <c r="B267" t="s">
        <v>4320</v>
      </c>
      <c r="C267" s="59">
        <v>43715</v>
      </c>
      <c r="D267" s="59">
        <f t="shared" si="8"/>
        <v>43715</v>
      </c>
      <c r="E267" t="b">
        <f t="shared" si="9"/>
        <v>1</v>
      </c>
      <c r="F267">
        <v>1110181348</v>
      </c>
      <c r="G267" s="59">
        <v>44427</v>
      </c>
    </row>
    <row r="268" spans="1:7" x14ac:dyDescent="0.3">
      <c r="A268" s="115">
        <v>1028793142</v>
      </c>
      <c r="B268" t="s">
        <v>4321</v>
      </c>
      <c r="C268" s="59">
        <v>42917</v>
      </c>
      <c r="D268" s="59">
        <f t="shared" si="8"/>
        <v>42917</v>
      </c>
      <c r="E268" t="b">
        <f t="shared" si="9"/>
        <v>1</v>
      </c>
      <c r="F268">
        <v>1116084636</v>
      </c>
      <c r="G268" s="59">
        <v>44551</v>
      </c>
    </row>
    <row r="269" spans="1:7" x14ac:dyDescent="0.3">
      <c r="A269" s="115" t="s">
        <v>4064</v>
      </c>
      <c r="B269" t="s">
        <v>4322</v>
      </c>
      <c r="C269" s="59">
        <v>42822</v>
      </c>
      <c r="D269" s="59">
        <f t="shared" si="8"/>
        <v>42822</v>
      </c>
      <c r="E269" t="b">
        <f t="shared" si="9"/>
        <v>1</v>
      </c>
      <c r="F269">
        <v>1116557589</v>
      </c>
      <c r="G269" s="59">
        <v>44325</v>
      </c>
    </row>
    <row r="270" spans="1:7" x14ac:dyDescent="0.3">
      <c r="A270" s="115">
        <v>1003734192</v>
      </c>
      <c r="B270" t="s">
        <v>4323</v>
      </c>
      <c r="C270" s="59">
        <v>37079</v>
      </c>
      <c r="D270" s="59">
        <f t="shared" si="8"/>
        <v>37079</v>
      </c>
      <c r="E270" t="b">
        <f t="shared" si="9"/>
        <v>1</v>
      </c>
      <c r="F270">
        <v>1119187596</v>
      </c>
      <c r="G270" s="59">
        <v>44038</v>
      </c>
    </row>
    <row r="271" spans="1:7" x14ac:dyDescent="0.3">
      <c r="A271" s="115">
        <v>1023985500</v>
      </c>
      <c r="B271" t="s">
        <v>4324</v>
      </c>
      <c r="C271" s="59">
        <v>43648</v>
      </c>
      <c r="D271" s="59">
        <f t="shared" si="8"/>
        <v>43648</v>
      </c>
      <c r="E271" t="b">
        <f t="shared" si="9"/>
        <v>1</v>
      </c>
      <c r="F271">
        <v>1121975670</v>
      </c>
      <c r="G271" s="59">
        <v>44153</v>
      </c>
    </row>
    <row r="272" spans="1:7" x14ac:dyDescent="0.3">
      <c r="A272" s="115">
        <v>1028675792</v>
      </c>
      <c r="B272" t="s">
        <v>4325</v>
      </c>
      <c r="C272" s="59">
        <v>44700</v>
      </c>
      <c r="D272" s="59">
        <f t="shared" si="8"/>
        <v>44700</v>
      </c>
      <c r="E272" t="b">
        <f t="shared" si="9"/>
        <v>1</v>
      </c>
      <c r="F272">
        <v>1122539379</v>
      </c>
      <c r="G272" s="59">
        <v>43968</v>
      </c>
    </row>
    <row r="273" spans="1:7" x14ac:dyDescent="0.3">
      <c r="A273" s="115">
        <v>1013363568</v>
      </c>
      <c r="B273" t="s">
        <v>4326</v>
      </c>
      <c r="C273" s="59">
        <v>43017</v>
      </c>
      <c r="D273" s="59">
        <f t="shared" si="8"/>
        <v>43017</v>
      </c>
      <c r="E273" t="b">
        <f t="shared" si="9"/>
        <v>1</v>
      </c>
      <c r="F273">
        <v>1122541025</v>
      </c>
      <c r="G273" s="59">
        <v>44293</v>
      </c>
    </row>
    <row r="274" spans="1:7" x14ac:dyDescent="0.3">
      <c r="A274" s="115">
        <v>1023047456</v>
      </c>
      <c r="B274" t="s">
        <v>4327</v>
      </c>
      <c r="C274" s="59">
        <v>44400</v>
      </c>
      <c r="D274" s="59">
        <f t="shared" si="8"/>
        <v>44400</v>
      </c>
      <c r="E274" t="b">
        <f t="shared" si="9"/>
        <v>1</v>
      </c>
      <c r="F274">
        <v>1123212095</v>
      </c>
      <c r="G274" s="59">
        <v>44354</v>
      </c>
    </row>
    <row r="275" spans="1:7" x14ac:dyDescent="0.3">
      <c r="A275" s="115">
        <v>1023042724</v>
      </c>
      <c r="B275" t="s">
        <v>4328</v>
      </c>
      <c r="C275" s="59">
        <v>43499</v>
      </c>
      <c r="D275" s="59">
        <f t="shared" si="8"/>
        <v>43499</v>
      </c>
      <c r="E275" t="b">
        <f t="shared" si="9"/>
        <v>1</v>
      </c>
      <c r="F275">
        <v>1136912511</v>
      </c>
      <c r="G275" s="59">
        <v>44348</v>
      </c>
    </row>
    <row r="276" spans="1:7" x14ac:dyDescent="0.3">
      <c r="A276" s="115">
        <v>1023985961</v>
      </c>
      <c r="B276" t="s">
        <v>4329</v>
      </c>
      <c r="C276" s="59">
        <v>43417</v>
      </c>
      <c r="D276" s="59">
        <f t="shared" si="8"/>
        <v>43417</v>
      </c>
      <c r="E276" t="b">
        <f t="shared" si="9"/>
        <v>1</v>
      </c>
      <c r="F276">
        <v>1140937152</v>
      </c>
      <c r="G276" s="59">
        <v>43916</v>
      </c>
    </row>
    <row r="277" spans="1:7" x14ac:dyDescent="0.3">
      <c r="A277" s="115">
        <v>1110181348</v>
      </c>
      <c r="B277" t="s">
        <v>4330</v>
      </c>
      <c r="C277" s="59">
        <v>44427</v>
      </c>
      <c r="D277" s="59">
        <f t="shared" si="8"/>
        <v>44427</v>
      </c>
      <c r="E277" t="b">
        <f t="shared" si="9"/>
        <v>1</v>
      </c>
      <c r="F277">
        <v>1140937336</v>
      </c>
      <c r="G277" s="59">
        <v>43946</v>
      </c>
    </row>
    <row r="278" spans="1:7" x14ac:dyDescent="0.3">
      <c r="A278" s="115">
        <v>1028674952</v>
      </c>
      <c r="B278" t="s">
        <v>4331</v>
      </c>
      <c r="C278" s="59">
        <v>44166</v>
      </c>
      <c r="D278" s="59">
        <f t="shared" si="8"/>
        <v>43842</v>
      </c>
      <c r="E278" t="b">
        <f t="shared" si="9"/>
        <v>0</v>
      </c>
      <c r="F278">
        <v>1140937378</v>
      </c>
      <c r="G278" s="59">
        <v>43949</v>
      </c>
    </row>
    <row r="279" spans="1:7" x14ac:dyDescent="0.3">
      <c r="A279" s="115">
        <v>1243760535</v>
      </c>
      <c r="B279" t="s">
        <v>4332</v>
      </c>
      <c r="C279" s="59">
        <v>44369</v>
      </c>
      <c r="D279" s="59">
        <f t="shared" si="8"/>
        <v>44369</v>
      </c>
      <c r="E279" t="b">
        <f t="shared" si="9"/>
        <v>1</v>
      </c>
      <c r="F279">
        <v>1140937833</v>
      </c>
      <c r="G279" s="59">
        <v>43956</v>
      </c>
    </row>
    <row r="280" spans="1:7" x14ac:dyDescent="0.3">
      <c r="A280" s="115">
        <v>1028675486</v>
      </c>
      <c r="B280" t="s">
        <v>4333</v>
      </c>
      <c r="C280" s="59">
        <v>44284</v>
      </c>
      <c r="D280" s="59">
        <f t="shared" si="8"/>
        <v>44284</v>
      </c>
      <c r="E280" t="b">
        <f t="shared" si="9"/>
        <v>1</v>
      </c>
      <c r="F280">
        <v>1140938208</v>
      </c>
      <c r="G280" s="59">
        <v>43922</v>
      </c>
    </row>
    <row r="281" spans="1:7" x14ac:dyDescent="0.3">
      <c r="A281" s="115">
        <v>6856169</v>
      </c>
      <c r="B281" t="s">
        <v>4334</v>
      </c>
      <c r="C281" s="59">
        <v>44175</v>
      </c>
      <c r="D281" s="59">
        <f t="shared" si="8"/>
        <v>44175</v>
      </c>
      <c r="E281" t="b">
        <f t="shared" si="9"/>
        <v>1</v>
      </c>
      <c r="F281">
        <v>1140939399</v>
      </c>
      <c r="G281" s="59">
        <v>44073</v>
      </c>
    </row>
    <row r="282" spans="1:7" x14ac:dyDescent="0.3">
      <c r="A282" s="115">
        <v>1245078145</v>
      </c>
      <c r="B282" t="s">
        <v>4335</v>
      </c>
      <c r="C282" s="59">
        <v>44124</v>
      </c>
      <c r="D282" s="59">
        <f t="shared" si="8"/>
        <v>44124</v>
      </c>
      <c r="E282" t="b">
        <f t="shared" si="9"/>
        <v>1</v>
      </c>
      <c r="F282">
        <v>1140939459</v>
      </c>
      <c r="G282" s="59">
        <v>44066</v>
      </c>
    </row>
    <row r="283" spans="1:7" x14ac:dyDescent="0.3">
      <c r="A283" s="115">
        <v>1016752177</v>
      </c>
      <c r="B283" t="s">
        <v>4336</v>
      </c>
      <c r="C283" s="59">
        <v>44376</v>
      </c>
      <c r="D283" s="59">
        <f t="shared" si="8"/>
        <v>44376</v>
      </c>
      <c r="E283" t="b">
        <f t="shared" si="9"/>
        <v>1</v>
      </c>
      <c r="F283">
        <v>1140939471</v>
      </c>
      <c r="G283" s="59">
        <v>44084</v>
      </c>
    </row>
    <row r="284" spans="1:7" x14ac:dyDescent="0.3">
      <c r="A284" s="115">
        <v>1013697728</v>
      </c>
      <c r="B284" t="s">
        <v>4337</v>
      </c>
      <c r="C284" s="59">
        <v>44257</v>
      </c>
      <c r="D284" s="59">
        <f t="shared" si="8"/>
        <v>44257</v>
      </c>
      <c r="E284" t="b">
        <f t="shared" si="9"/>
        <v>1</v>
      </c>
      <c r="F284">
        <v>1141371569</v>
      </c>
      <c r="G284" s="59">
        <v>43976</v>
      </c>
    </row>
    <row r="285" spans="1:7" x14ac:dyDescent="0.3">
      <c r="A285" s="115">
        <v>1023989585</v>
      </c>
      <c r="B285" t="s">
        <v>4338</v>
      </c>
      <c r="C285" s="59">
        <v>44519</v>
      </c>
      <c r="D285" s="59">
        <f t="shared" si="8"/>
        <v>44519</v>
      </c>
      <c r="E285" t="b">
        <f t="shared" si="9"/>
        <v>1</v>
      </c>
      <c r="F285">
        <v>1145429965</v>
      </c>
      <c r="G285" s="59">
        <v>44233</v>
      </c>
    </row>
    <row r="286" spans="1:7" x14ac:dyDescent="0.3">
      <c r="A286" s="115">
        <v>1023988244</v>
      </c>
      <c r="B286" t="s">
        <v>4339</v>
      </c>
      <c r="C286" s="59">
        <v>44280</v>
      </c>
      <c r="D286" s="59">
        <f t="shared" si="8"/>
        <v>44280</v>
      </c>
      <c r="E286" t="b">
        <f t="shared" si="9"/>
        <v>1</v>
      </c>
      <c r="F286">
        <v>1146148428</v>
      </c>
      <c r="G286" s="59">
        <v>44036</v>
      </c>
    </row>
    <row r="287" spans="1:7" x14ac:dyDescent="0.3">
      <c r="A287" s="115">
        <v>1023045054</v>
      </c>
      <c r="B287" t="s">
        <v>4340</v>
      </c>
      <c r="C287" s="59">
        <v>43839</v>
      </c>
      <c r="D287" s="59">
        <f t="shared" si="8"/>
        <v>43839</v>
      </c>
      <c r="E287" t="b">
        <f t="shared" si="9"/>
        <v>1</v>
      </c>
      <c r="F287">
        <v>1150190022</v>
      </c>
      <c r="G287" s="59">
        <v>44200</v>
      </c>
    </row>
    <row r="288" spans="1:7" x14ac:dyDescent="0.3">
      <c r="A288" s="115">
        <v>1031187823</v>
      </c>
      <c r="B288" t="s">
        <v>4341</v>
      </c>
      <c r="C288" s="59">
        <v>44448</v>
      </c>
      <c r="D288" s="59">
        <f t="shared" si="8"/>
        <v>44448</v>
      </c>
      <c r="E288" t="b">
        <f t="shared" si="9"/>
        <v>1</v>
      </c>
      <c r="F288">
        <v>1206225376</v>
      </c>
      <c r="G288" s="59">
        <v>43645</v>
      </c>
    </row>
    <row r="289" spans="1:7" x14ac:dyDescent="0.3">
      <c r="A289" s="115">
        <v>1109423243</v>
      </c>
      <c r="B289" t="s">
        <v>4342</v>
      </c>
      <c r="C289" s="59">
        <v>43631</v>
      </c>
      <c r="D289" s="59">
        <f t="shared" si="8"/>
        <v>43631</v>
      </c>
      <c r="E289" t="b">
        <f t="shared" si="9"/>
        <v>1</v>
      </c>
      <c r="F289">
        <v>1206226100</v>
      </c>
      <c r="G289" s="59">
        <v>44011</v>
      </c>
    </row>
    <row r="290" spans="1:7" x14ac:dyDescent="0.3">
      <c r="A290" s="115">
        <v>1016752365</v>
      </c>
      <c r="B290" t="s">
        <v>4343</v>
      </c>
      <c r="C290" s="59">
        <v>44400</v>
      </c>
      <c r="D290" s="59">
        <f t="shared" si="8"/>
        <v>44400</v>
      </c>
      <c r="E290" t="b">
        <f t="shared" si="9"/>
        <v>1</v>
      </c>
      <c r="F290">
        <v>1206226627</v>
      </c>
      <c r="G290" s="59">
        <v>44182</v>
      </c>
    </row>
    <row r="291" spans="1:7" x14ac:dyDescent="0.3">
      <c r="A291" s="115">
        <v>1031188322</v>
      </c>
      <c r="B291" t="s">
        <v>4344</v>
      </c>
      <c r="C291" s="59">
        <v>44596</v>
      </c>
      <c r="D291" s="59">
        <f t="shared" si="8"/>
        <v>44596</v>
      </c>
      <c r="E291" t="b">
        <f t="shared" si="9"/>
        <v>1</v>
      </c>
      <c r="F291">
        <v>1206227830</v>
      </c>
      <c r="G291" s="59">
        <v>44593</v>
      </c>
    </row>
    <row r="292" spans="1:7" x14ac:dyDescent="0.3">
      <c r="A292" s="115">
        <v>1136912511</v>
      </c>
      <c r="B292" t="s">
        <v>4345</v>
      </c>
      <c r="C292" s="59">
        <v>44348</v>
      </c>
      <c r="D292" s="59">
        <f t="shared" si="8"/>
        <v>44348</v>
      </c>
      <c r="E292" t="b">
        <f t="shared" si="9"/>
        <v>1</v>
      </c>
      <c r="F292">
        <v>1222218723</v>
      </c>
      <c r="G292" s="59">
        <v>43171</v>
      </c>
    </row>
    <row r="293" spans="1:7" x14ac:dyDescent="0.3">
      <c r="A293" s="115">
        <v>1116084636</v>
      </c>
      <c r="B293" t="s">
        <v>4346</v>
      </c>
      <c r="C293" s="59">
        <v>44551</v>
      </c>
      <c r="D293" s="59">
        <f t="shared" si="8"/>
        <v>44551</v>
      </c>
      <c r="E293" t="b">
        <f t="shared" si="9"/>
        <v>1</v>
      </c>
      <c r="F293">
        <v>1222222647</v>
      </c>
      <c r="G293" s="59">
        <v>43683</v>
      </c>
    </row>
    <row r="294" spans="1:7" x14ac:dyDescent="0.3">
      <c r="A294" s="115">
        <v>1243859848</v>
      </c>
      <c r="B294" t="s">
        <v>4347</v>
      </c>
      <c r="C294" s="59">
        <v>44183</v>
      </c>
      <c r="D294" s="59">
        <f t="shared" si="8"/>
        <v>44183</v>
      </c>
      <c r="E294" t="b">
        <f t="shared" si="9"/>
        <v>1</v>
      </c>
      <c r="F294">
        <v>1222223375</v>
      </c>
      <c r="G294" s="59">
        <v>43808</v>
      </c>
    </row>
    <row r="295" spans="1:7" x14ac:dyDescent="0.3">
      <c r="A295" s="115">
        <v>1243860479</v>
      </c>
      <c r="B295" t="s">
        <v>4348</v>
      </c>
      <c r="C295" s="59">
        <v>44402</v>
      </c>
      <c r="D295" s="59">
        <f t="shared" si="8"/>
        <v>44402</v>
      </c>
      <c r="E295" t="b">
        <f t="shared" si="9"/>
        <v>1</v>
      </c>
      <c r="F295">
        <v>1233514448</v>
      </c>
      <c r="G295" s="59">
        <v>43278</v>
      </c>
    </row>
    <row r="296" spans="1:7" x14ac:dyDescent="0.3">
      <c r="A296" s="115">
        <v>1140937378</v>
      </c>
      <c r="B296" t="s">
        <v>4349</v>
      </c>
      <c r="C296" s="59">
        <v>43949</v>
      </c>
      <c r="D296" s="59">
        <f t="shared" si="8"/>
        <v>43949</v>
      </c>
      <c r="E296" t="b">
        <f t="shared" si="9"/>
        <v>1</v>
      </c>
      <c r="F296">
        <v>1233514915</v>
      </c>
      <c r="G296" s="59">
        <v>43304</v>
      </c>
    </row>
    <row r="297" spans="1:7" x14ac:dyDescent="0.3">
      <c r="A297" s="115">
        <v>1023048810</v>
      </c>
      <c r="B297" t="s">
        <v>4350</v>
      </c>
      <c r="C297" s="59">
        <v>44760</v>
      </c>
      <c r="D297" s="59">
        <f t="shared" si="8"/>
        <v>44760</v>
      </c>
      <c r="E297" t="b">
        <f t="shared" si="9"/>
        <v>1</v>
      </c>
      <c r="F297">
        <v>1233698686</v>
      </c>
      <c r="G297" s="59">
        <v>43667</v>
      </c>
    </row>
    <row r="298" spans="1:7" x14ac:dyDescent="0.3">
      <c r="A298" s="115">
        <v>1023048476</v>
      </c>
      <c r="B298" t="s">
        <v>4351</v>
      </c>
      <c r="C298" s="59">
        <v>44668</v>
      </c>
      <c r="D298" s="59">
        <f t="shared" si="8"/>
        <v>44668</v>
      </c>
      <c r="E298" t="b">
        <f t="shared" si="9"/>
        <v>1</v>
      </c>
      <c r="F298">
        <v>1233924826</v>
      </c>
      <c r="G298" s="59">
        <v>44662</v>
      </c>
    </row>
    <row r="299" spans="1:7" x14ac:dyDescent="0.3">
      <c r="A299" s="115">
        <v>1023045825</v>
      </c>
      <c r="B299" t="s">
        <v>4352</v>
      </c>
      <c r="C299" s="59">
        <v>44150</v>
      </c>
      <c r="D299" s="59">
        <f t="shared" si="8"/>
        <v>44150</v>
      </c>
      <c r="E299" t="b">
        <f t="shared" si="9"/>
        <v>1</v>
      </c>
      <c r="F299">
        <v>1235051447</v>
      </c>
      <c r="G299" s="59">
        <v>44272</v>
      </c>
    </row>
    <row r="300" spans="1:7" x14ac:dyDescent="0.3">
      <c r="A300" s="115">
        <v>1010252066</v>
      </c>
      <c r="B300" t="s">
        <v>4353</v>
      </c>
      <c r="C300" s="59">
        <v>44400</v>
      </c>
      <c r="D300" s="59">
        <f t="shared" si="8"/>
        <v>44400</v>
      </c>
      <c r="E300" t="b">
        <f t="shared" si="9"/>
        <v>1</v>
      </c>
      <c r="F300">
        <v>1240693955</v>
      </c>
      <c r="G300" s="59">
        <v>44216</v>
      </c>
    </row>
    <row r="301" spans="1:7" x14ac:dyDescent="0.3">
      <c r="A301" s="115">
        <v>1243860096</v>
      </c>
      <c r="B301" t="s">
        <v>4354</v>
      </c>
      <c r="C301" s="59">
        <v>44256</v>
      </c>
      <c r="D301" s="59">
        <f t="shared" si="8"/>
        <v>44256</v>
      </c>
      <c r="E301" t="b">
        <f t="shared" si="9"/>
        <v>1</v>
      </c>
      <c r="F301">
        <v>1243759568</v>
      </c>
      <c r="G301" s="59">
        <v>44218</v>
      </c>
    </row>
    <row r="302" spans="1:7" x14ac:dyDescent="0.3">
      <c r="A302" s="115">
        <v>1243859556</v>
      </c>
      <c r="B302" t="s">
        <v>4355</v>
      </c>
      <c r="C302" s="59">
        <v>44100</v>
      </c>
      <c r="D302" s="59">
        <f t="shared" si="8"/>
        <v>44100</v>
      </c>
      <c r="E302" t="b">
        <f t="shared" si="9"/>
        <v>1</v>
      </c>
      <c r="F302">
        <v>1243760535</v>
      </c>
      <c r="G302" s="59">
        <v>44369</v>
      </c>
    </row>
    <row r="303" spans="1:7" x14ac:dyDescent="0.3">
      <c r="A303" s="115">
        <v>1024612013</v>
      </c>
      <c r="B303" t="s">
        <v>4356</v>
      </c>
      <c r="C303" s="59">
        <v>44493</v>
      </c>
      <c r="D303" s="59">
        <f t="shared" si="8"/>
        <v>44493</v>
      </c>
      <c r="E303" t="b">
        <f t="shared" si="9"/>
        <v>1</v>
      </c>
      <c r="F303">
        <v>1243761335</v>
      </c>
      <c r="G303" s="59">
        <v>44450</v>
      </c>
    </row>
    <row r="304" spans="1:7" x14ac:dyDescent="0.3">
      <c r="A304" s="115">
        <v>1243761335</v>
      </c>
      <c r="B304" t="s">
        <v>4357</v>
      </c>
      <c r="C304" s="59">
        <v>44450</v>
      </c>
      <c r="D304" s="59">
        <f t="shared" si="8"/>
        <v>44450</v>
      </c>
      <c r="E304" t="b">
        <f t="shared" si="9"/>
        <v>1</v>
      </c>
      <c r="F304">
        <v>1243762294</v>
      </c>
      <c r="G304" s="59">
        <v>44594</v>
      </c>
    </row>
    <row r="305" spans="1:7" x14ac:dyDescent="0.3">
      <c r="A305" s="115">
        <v>1022939239</v>
      </c>
      <c r="B305" t="s">
        <v>4358</v>
      </c>
      <c r="C305" s="59">
        <v>38706</v>
      </c>
      <c r="D305" s="59">
        <f t="shared" si="8"/>
        <v>38706</v>
      </c>
      <c r="E305" t="b">
        <f t="shared" si="9"/>
        <v>1</v>
      </c>
      <c r="F305">
        <v>1243762304</v>
      </c>
      <c r="G305" s="59">
        <v>44594</v>
      </c>
    </row>
    <row r="306" spans="1:7" x14ac:dyDescent="0.3">
      <c r="A306" s="115">
        <v>1023048929</v>
      </c>
      <c r="B306" t="s">
        <v>4359</v>
      </c>
      <c r="C306" s="59">
        <v>44780</v>
      </c>
      <c r="D306" s="59">
        <f t="shared" si="8"/>
        <v>44780</v>
      </c>
      <c r="E306" t="b">
        <f t="shared" si="9"/>
        <v>1</v>
      </c>
      <c r="F306">
        <v>1243858043</v>
      </c>
      <c r="G306" s="59">
        <v>43773</v>
      </c>
    </row>
    <row r="307" spans="1:7" x14ac:dyDescent="0.3">
      <c r="A307" s="115">
        <v>1023048978</v>
      </c>
      <c r="B307" t="s">
        <v>4360</v>
      </c>
      <c r="C307" s="59">
        <v>44769</v>
      </c>
      <c r="D307" s="59">
        <f t="shared" si="8"/>
        <v>44769</v>
      </c>
      <c r="E307" t="b">
        <f t="shared" si="9"/>
        <v>1</v>
      </c>
      <c r="F307">
        <v>1243858393</v>
      </c>
      <c r="G307" s="59">
        <v>43931</v>
      </c>
    </row>
    <row r="308" spans="1:7" x14ac:dyDescent="0.3">
      <c r="A308" s="115">
        <v>1087218446</v>
      </c>
      <c r="B308" t="s">
        <v>4361</v>
      </c>
      <c r="C308" s="59">
        <v>44458</v>
      </c>
      <c r="D308" s="59">
        <f t="shared" si="8"/>
        <v>44458</v>
      </c>
      <c r="E308" t="b">
        <f t="shared" si="9"/>
        <v>1</v>
      </c>
      <c r="F308">
        <v>1243858572</v>
      </c>
      <c r="G308" s="59">
        <v>43898</v>
      </c>
    </row>
    <row r="309" spans="1:7" x14ac:dyDescent="0.3">
      <c r="A309" s="115">
        <v>1007101197</v>
      </c>
      <c r="B309" t="s">
        <v>4362</v>
      </c>
      <c r="C309" s="59">
        <v>37019</v>
      </c>
      <c r="D309" s="59">
        <f t="shared" si="8"/>
        <v>37019</v>
      </c>
      <c r="E309" t="b">
        <f t="shared" si="9"/>
        <v>1</v>
      </c>
      <c r="F309">
        <v>1243858756</v>
      </c>
      <c r="G309" s="59">
        <v>43992</v>
      </c>
    </row>
    <row r="310" spans="1:7" x14ac:dyDescent="0.3">
      <c r="A310" s="115">
        <v>1145429965</v>
      </c>
      <c r="B310" t="s">
        <v>4363</v>
      </c>
      <c r="C310" s="59">
        <v>44233</v>
      </c>
      <c r="D310" s="59">
        <f t="shared" si="8"/>
        <v>44233</v>
      </c>
      <c r="E310" t="b">
        <f t="shared" si="9"/>
        <v>1</v>
      </c>
      <c r="F310">
        <v>1243859093</v>
      </c>
      <c r="G310" s="59">
        <v>44011</v>
      </c>
    </row>
    <row r="311" spans="1:7" x14ac:dyDescent="0.3">
      <c r="A311" s="115">
        <v>1028675965</v>
      </c>
      <c r="B311" t="s">
        <v>4364</v>
      </c>
      <c r="C311" s="59">
        <v>44798</v>
      </c>
      <c r="D311" s="59">
        <f t="shared" si="8"/>
        <v>44798</v>
      </c>
      <c r="E311" t="b">
        <f t="shared" si="9"/>
        <v>1</v>
      </c>
      <c r="F311">
        <v>1243859248</v>
      </c>
      <c r="G311" s="59">
        <v>44042</v>
      </c>
    </row>
    <row r="312" spans="1:7" x14ac:dyDescent="0.3">
      <c r="A312" s="115">
        <v>1028675921</v>
      </c>
      <c r="B312" t="s">
        <v>4365</v>
      </c>
      <c r="C312" s="59">
        <v>44777</v>
      </c>
      <c r="D312" s="59">
        <f t="shared" si="8"/>
        <v>44777</v>
      </c>
      <c r="E312" t="b">
        <f t="shared" si="9"/>
        <v>1</v>
      </c>
      <c r="F312">
        <v>1243859299</v>
      </c>
      <c r="G312" s="59">
        <v>44043</v>
      </c>
    </row>
    <row r="313" spans="1:7" x14ac:dyDescent="0.3">
      <c r="A313" s="115">
        <v>1028675793</v>
      </c>
      <c r="B313" t="s">
        <v>4366</v>
      </c>
      <c r="C313" s="59">
        <v>44705</v>
      </c>
      <c r="D313" s="59">
        <f t="shared" si="8"/>
        <v>44705</v>
      </c>
      <c r="E313" t="b">
        <f t="shared" si="9"/>
        <v>1</v>
      </c>
      <c r="F313">
        <v>1243859333</v>
      </c>
      <c r="G313" s="59">
        <v>44073</v>
      </c>
    </row>
    <row r="314" spans="1:7" x14ac:dyDescent="0.3">
      <c r="A314" s="115">
        <v>1028673976</v>
      </c>
      <c r="B314" t="s">
        <v>4367</v>
      </c>
      <c r="C314" s="59">
        <v>43513</v>
      </c>
      <c r="D314" s="59">
        <f t="shared" si="8"/>
        <v>43148</v>
      </c>
      <c r="E314" t="b">
        <f t="shared" si="9"/>
        <v>0</v>
      </c>
      <c r="F314">
        <v>1243859369</v>
      </c>
      <c r="G314" s="59">
        <v>44077</v>
      </c>
    </row>
    <row r="315" spans="1:7" x14ac:dyDescent="0.3">
      <c r="A315" s="115">
        <v>1023989592</v>
      </c>
      <c r="B315" t="s">
        <v>4368</v>
      </c>
      <c r="C315" s="59">
        <v>44595</v>
      </c>
      <c r="D315" s="59">
        <f t="shared" si="8"/>
        <v>44595</v>
      </c>
      <c r="E315" t="b">
        <f t="shared" si="9"/>
        <v>1</v>
      </c>
      <c r="F315">
        <v>1243859420</v>
      </c>
      <c r="G315" s="59">
        <v>44067</v>
      </c>
    </row>
    <row r="316" spans="1:7" x14ac:dyDescent="0.3">
      <c r="A316" s="115">
        <v>1023045428</v>
      </c>
      <c r="B316" t="s">
        <v>4369</v>
      </c>
      <c r="C316" s="59">
        <v>44055</v>
      </c>
      <c r="D316" s="59">
        <f t="shared" si="8"/>
        <v>44055</v>
      </c>
      <c r="E316" t="b">
        <f t="shared" si="9"/>
        <v>1</v>
      </c>
      <c r="F316">
        <v>1243859489</v>
      </c>
      <c r="G316" s="59">
        <v>44095</v>
      </c>
    </row>
    <row r="317" spans="1:7" x14ac:dyDescent="0.3">
      <c r="A317" s="115">
        <v>1243859369</v>
      </c>
      <c r="B317" t="s">
        <v>4370</v>
      </c>
      <c r="C317" s="59">
        <v>44077</v>
      </c>
      <c r="D317" s="59">
        <f t="shared" si="8"/>
        <v>44077</v>
      </c>
      <c r="E317" t="b">
        <f t="shared" si="9"/>
        <v>1</v>
      </c>
      <c r="F317">
        <v>1243859520</v>
      </c>
      <c r="G317" s="59">
        <v>44082</v>
      </c>
    </row>
    <row r="318" spans="1:7" x14ac:dyDescent="0.3">
      <c r="A318" s="115">
        <v>1016751329</v>
      </c>
      <c r="B318" t="s">
        <v>4371</v>
      </c>
      <c r="C318" s="59">
        <v>44224</v>
      </c>
      <c r="D318" s="59">
        <f t="shared" si="8"/>
        <v>44224</v>
      </c>
      <c r="E318" t="b">
        <f t="shared" si="9"/>
        <v>1</v>
      </c>
      <c r="F318">
        <v>1243859556</v>
      </c>
      <c r="G318" s="59">
        <v>44100</v>
      </c>
    </row>
    <row r="319" spans="1:7" x14ac:dyDescent="0.3">
      <c r="A319" s="115">
        <v>1023985987</v>
      </c>
      <c r="B319" t="s">
        <v>4372</v>
      </c>
      <c r="C319" s="59">
        <v>43757</v>
      </c>
      <c r="D319" s="59">
        <f t="shared" si="8"/>
        <v>43757</v>
      </c>
      <c r="E319" t="b">
        <f t="shared" si="9"/>
        <v>1</v>
      </c>
      <c r="F319">
        <v>1243859568</v>
      </c>
      <c r="G319" s="59">
        <v>44119</v>
      </c>
    </row>
    <row r="320" spans="1:7" x14ac:dyDescent="0.3">
      <c r="A320" s="115">
        <v>1222222647</v>
      </c>
      <c r="B320" t="s">
        <v>4373</v>
      </c>
      <c r="C320" s="59">
        <v>43683</v>
      </c>
      <c r="D320" s="59">
        <f t="shared" si="8"/>
        <v>43683</v>
      </c>
      <c r="E320" t="b">
        <f t="shared" si="9"/>
        <v>1</v>
      </c>
      <c r="F320">
        <v>1243859848</v>
      </c>
      <c r="G320" s="59">
        <v>44183</v>
      </c>
    </row>
    <row r="321" spans="1:7" x14ac:dyDescent="0.3">
      <c r="A321" s="115">
        <v>1087214750</v>
      </c>
      <c r="B321" t="s">
        <v>4374</v>
      </c>
      <c r="C321" s="59">
        <v>43385</v>
      </c>
      <c r="D321" s="59">
        <f t="shared" si="8"/>
        <v>43385</v>
      </c>
      <c r="E321" t="b">
        <f t="shared" si="9"/>
        <v>1</v>
      </c>
      <c r="F321">
        <v>1243859893</v>
      </c>
      <c r="G321" s="59">
        <v>44184</v>
      </c>
    </row>
    <row r="322" spans="1:7" x14ac:dyDescent="0.3">
      <c r="A322" s="115">
        <v>1140939459</v>
      </c>
      <c r="B322" t="s">
        <v>4375</v>
      </c>
      <c r="C322" s="59">
        <v>44066</v>
      </c>
      <c r="D322" s="59">
        <f t="shared" si="8"/>
        <v>44066</v>
      </c>
      <c r="E322" t="b">
        <f t="shared" si="9"/>
        <v>1</v>
      </c>
      <c r="F322">
        <v>1243859943</v>
      </c>
      <c r="G322" s="59">
        <v>44224</v>
      </c>
    </row>
    <row r="323" spans="1:7" x14ac:dyDescent="0.3">
      <c r="A323" s="115">
        <v>1023894383</v>
      </c>
      <c r="B323" t="s">
        <v>4376</v>
      </c>
      <c r="C323" s="59">
        <v>38464</v>
      </c>
      <c r="D323" s="59">
        <f t="shared" ref="D323:D347" si="10">VLOOKUP(A323,F:G,2,0)</f>
        <v>38464</v>
      </c>
      <c r="E323" t="b">
        <f t="shared" ref="E323:E347" si="11">D323=C323</f>
        <v>1</v>
      </c>
      <c r="F323">
        <v>1243860015</v>
      </c>
      <c r="G323" s="59">
        <v>44246</v>
      </c>
    </row>
    <row r="324" spans="1:7" x14ac:dyDescent="0.3">
      <c r="A324" s="115">
        <v>1076019181</v>
      </c>
      <c r="B324" t="s">
        <v>4377</v>
      </c>
      <c r="C324" s="59">
        <v>35251</v>
      </c>
      <c r="D324" s="59">
        <f t="shared" si="10"/>
        <v>35251</v>
      </c>
      <c r="E324" t="b">
        <f t="shared" si="11"/>
        <v>1</v>
      </c>
      <c r="F324">
        <v>1243860045</v>
      </c>
      <c r="G324" s="59">
        <v>44112</v>
      </c>
    </row>
    <row r="325" spans="1:7" x14ac:dyDescent="0.3">
      <c r="A325" s="115">
        <v>1023048734</v>
      </c>
      <c r="B325" t="s">
        <v>4378</v>
      </c>
      <c r="C325" s="59">
        <v>44752</v>
      </c>
      <c r="D325" s="59">
        <f t="shared" si="10"/>
        <v>44752</v>
      </c>
      <c r="E325" t="b">
        <f t="shared" si="11"/>
        <v>1</v>
      </c>
      <c r="F325">
        <v>1243860096</v>
      </c>
      <c r="G325" s="59">
        <v>44256</v>
      </c>
    </row>
    <row r="326" spans="1:7" x14ac:dyDescent="0.3">
      <c r="A326" s="115">
        <v>1023048879</v>
      </c>
      <c r="B326" t="s">
        <v>4379</v>
      </c>
      <c r="C326" s="59">
        <v>44768</v>
      </c>
      <c r="D326" s="59">
        <f t="shared" si="10"/>
        <v>44768</v>
      </c>
      <c r="E326" t="b">
        <f t="shared" si="11"/>
        <v>1</v>
      </c>
      <c r="F326">
        <v>1243860477</v>
      </c>
      <c r="G326" s="59">
        <v>44393</v>
      </c>
    </row>
    <row r="327" spans="1:7" x14ac:dyDescent="0.3">
      <c r="A327" s="115">
        <v>1016749744</v>
      </c>
      <c r="B327" t="s">
        <v>4380</v>
      </c>
      <c r="C327" s="59">
        <v>43962</v>
      </c>
      <c r="D327" s="59">
        <f t="shared" si="10"/>
        <v>43962</v>
      </c>
      <c r="E327" t="b">
        <f t="shared" si="11"/>
        <v>1</v>
      </c>
      <c r="F327">
        <v>1243860479</v>
      </c>
      <c r="G327" s="59">
        <v>44402</v>
      </c>
    </row>
    <row r="328" spans="1:7" x14ac:dyDescent="0.3">
      <c r="A328" s="115">
        <v>1023990155</v>
      </c>
      <c r="B328" t="s">
        <v>4381</v>
      </c>
      <c r="C328" s="59">
        <v>44712</v>
      </c>
      <c r="D328" s="59">
        <f t="shared" si="10"/>
        <v>44712</v>
      </c>
      <c r="E328" t="b">
        <f t="shared" si="11"/>
        <v>1</v>
      </c>
      <c r="F328">
        <v>1243860582</v>
      </c>
      <c r="G328" s="59">
        <v>44431</v>
      </c>
    </row>
    <row r="329" spans="1:7" x14ac:dyDescent="0.3">
      <c r="A329" s="115">
        <v>1016744027</v>
      </c>
      <c r="B329" t="s">
        <v>4382</v>
      </c>
      <c r="C329" s="59">
        <v>43083</v>
      </c>
      <c r="D329" s="59">
        <f t="shared" si="10"/>
        <v>43083</v>
      </c>
      <c r="E329" t="b">
        <f t="shared" si="11"/>
        <v>1</v>
      </c>
      <c r="F329">
        <v>1243860608</v>
      </c>
      <c r="G329" s="59">
        <v>44424</v>
      </c>
    </row>
    <row r="330" spans="1:7" x14ac:dyDescent="0.3">
      <c r="A330" s="115">
        <v>1016743297</v>
      </c>
      <c r="B330" t="s">
        <v>4383</v>
      </c>
      <c r="C330" s="59">
        <v>42955</v>
      </c>
      <c r="D330" s="59">
        <f t="shared" si="10"/>
        <v>42955</v>
      </c>
      <c r="E330" t="b">
        <f t="shared" si="11"/>
        <v>1</v>
      </c>
      <c r="F330">
        <v>1243860756</v>
      </c>
      <c r="G330" s="59">
        <v>44521</v>
      </c>
    </row>
    <row r="331" spans="1:7" x14ac:dyDescent="0.3">
      <c r="A331" s="115">
        <v>1233514448</v>
      </c>
      <c r="B331" t="s">
        <v>4384</v>
      </c>
      <c r="C331" s="59">
        <v>43278</v>
      </c>
      <c r="D331" s="59">
        <f t="shared" si="10"/>
        <v>43278</v>
      </c>
      <c r="E331" t="b">
        <f t="shared" si="11"/>
        <v>1</v>
      </c>
      <c r="F331">
        <v>1243860817</v>
      </c>
      <c r="G331" s="59">
        <v>44536</v>
      </c>
    </row>
    <row r="332" spans="1:7" x14ac:dyDescent="0.3">
      <c r="A332" s="115">
        <v>1021696822</v>
      </c>
      <c r="B332" t="s">
        <v>3839</v>
      </c>
      <c r="C332" s="59">
        <v>44527</v>
      </c>
      <c r="D332" s="59">
        <f t="shared" si="10"/>
        <v>44527</v>
      </c>
      <c r="E332" t="b">
        <f t="shared" si="11"/>
        <v>1</v>
      </c>
      <c r="F332">
        <v>1243860849</v>
      </c>
      <c r="G332" s="59">
        <v>44557</v>
      </c>
    </row>
    <row r="333" spans="1:7" x14ac:dyDescent="0.3">
      <c r="A333" s="115">
        <v>1023046980</v>
      </c>
      <c r="B333" t="s">
        <v>4385</v>
      </c>
      <c r="C333" s="59">
        <v>44391</v>
      </c>
      <c r="D333" s="59">
        <f t="shared" si="10"/>
        <v>44391</v>
      </c>
      <c r="E333" t="b">
        <f t="shared" si="11"/>
        <v>1</v>
      </c>
      <c r="F333">
        <v>1243860881</v>
      </c>
      <c r="G333" s="59">
        <v>44568</v>
      </c>
    </row>
    <row r="334" spans="1:7" x14ac:dyDescent="0.3">
      <c r="A334" s="115">
        <v>1206226627</v>
      </c>
      <c r="B334" t="s">
        <v>4386</v>
      </c>
      <c r="C334" s="59">
        <v>44182</v>
      </c>
      <c r="D334" s="59">
        <f t="shared" si="10"/>
        <v>44182</v>
      </c>
      <c r="E334" t="b">
        <f t="shared" si="11"/>
        <v>1</v>
      </c>
      <c r="F334">
        <v>1243860929</v>
      </c>
      <c r="G334" s="59">
        <v>44595</v>
      </c>
    </row>
    <row r="335" spans="1:7" x14ac:dyDescent="0.3">
      <c r="A335" s="115">
        <v>1222223375</v>
      </c>
      <c r="B335" t="s">
        <v>4387</v>
      </c>
      <c r="C335" s="59">
        <v>43808</v>
      </c>
      <c r="D335" s="59">
        <f t="shared" si="10"/>
        <v>43808</v>
      </c>
      <c r="E335" t="b">
        <f t="shared" si="11"/>
        <v>1</v>
      </c>
      <c r="F335">
        <v>1243861023</v>
      </c>
      <c r="G335" s="59">
        <v>44652</v>
      </c>
    </row>
    <row r="336" spans="1:7" x14ac:dyDescent="0.3">
      <c r="A336" s="115">
        <v>1023046801</v>
      </c>
      <c r="B336" t="s">
        <v>4388</v>
      </c>
      <c r="C336" s="59">
        <v>44309</v>
      </c>
      <c r="D336" s="59">
        <f t="shared" si="10"/>
        <v>44309</v>
      </c>
      <c r="E336" t="b">
        <f t="shared" si="11"/>
        <v>1</v>
      </c>
      <c r="F336">
        <v>1243861036</v>
      </c>
      <c r="G336" s="59">
        <v>44651</v>
      </c>
    </row>
    <row r="337" spans="1:7" x14ac:dyDescent="0.3">
      <c r="A337" s="115">
        <v>1233924826</v>
      </c>
      <c r="B337" t="s">
        <v>4389</v>
      </c>
      <c r="C337" s="59">
        <v>44662</v>
      </c>
      <c r="D337" s="59">
        <f t="shared" si="10"/>
        <v>44662</v>
      </c>
      <c r="E337" t="b">
        <f t="shared" si="11"/>
        <v>1</v>
      </c>
      <c r="F337">
        <v>1245078145</v>
      </c>
      <c r="G337" s="59">
        <v>44124</v>
      </c>
    </row>
    <row r="338" spans="1:7" x14ac:dyDescent="0.3">
      <c r="A338" s="115">
        <v>1245079112</v>
      </c>
      <c r="B338" t="s">
        <v>4390</v>
      </c>
      <c r="C338" s="59">
        <v>44454</v>
      </c>
      <c r="D338" s="59">
        <f t="shared" si="10"/>
        <v>44454</v>
      </c>
      <c r="E338" t="b">
        <f t="shared" si="11"/>
        <v>1</v>
      </c>
      <c r="F338">
        <v>1245078680</v>
      </c>
      <c r="G338" s="59">
        <v>44306</v>
      </c>
    </row>
    <row r="339" spans="1:7" x14ac:dyDescent="0.3">
      <c r="A339" s="115">
        <v>1117558241</v>
      </c>
      <c r="B339" t="s">
        <v>4391</v>
      </c>
      <c r="C339" s="59">
        <v>44745</v>
      </c>
      <c r="D339" s="59">
        <f t="shared" si="10"/>
        <v>44745</v>
      </c>
      <c r="E339" t="b">
        <f t="shared" si="11"/>
        <v>1</v>
      </c>
      <c r="F339">
        <v>1245078722</v>
      </c>
      <c r="G339" s="59">
        <v>44326</v>
      </c>
    </row>
    <row r="340" spans="1:7" x14ac:dyDescent="0.3">
      <c r="A340" s="115">
        <v>1006666312</v>
      </c>
      <c r="B340" t="s">
        <v>4392</v>
      </c>
      <c r="C340" s="59">
        <v>37050</v>
      </c>
      <c r="D340" s="59">
        <f t="shared" si="10"/>
        <v>37050</v>
      </c>
      <c r="E340" t="b">
        <f t="shared" si="11"/>
        <v>1</v>
      </c>
      <c r="F340">
        <v>1245079112</v>
      </c>
      <c r="G340" s="59">
        <v>44454</v>
      </c>
    </row>
    <row r="341" spans="1:7" x14ac:dyDescent="0.3">
      <c r="A341" s="115">
        <v>1073386805</v>
      </c>
      <c r="B341" t="s">
        <v>4393</v>
      </c>
      <c r="C341" s="59">
        <v>44320</v>
      </c>
      <c r="D341" s="59">
        <f t="shared" si="10"/>
        <v>44320</v>
      </c>
      <c r="E341" t="b">
        <f t="shared" si="11"/>
        <v>1</v>
      </c>
      <c r="F341">
        <v>1300000542</v>
      </c>
      <c r="G341" s="59">
        <v>43846</v>
      </c>
    </row>
    <row r="342" spans="1:7" x14ac:dyDescent="0.3">
      <c r="A342" s="115">
        <v>1243763085</v>
      </c>
      <c r="B342" t="s">
        <v>4394</v>
      </c>
      <c r="C342" s="59">
        <v>44687</v>
      </c>
      <c r="D342" s="59">
        <f t="shared" si="10"/>
        <v>44687</v>
      </c>
      <c r="E342" t="b">
        <f t="shared" si="11"/>
        <v>1</v>
      </c>
      <c r="F342" t="s">
        <v>4062</v>
      </c>
      <c r="G342" s="59">
        <v>43114</v>
      </c>
    </row>
    <row r="343" spans="1:7" x14ac:dyDescent="0.3">
      <c r="A343" s="115">
        <v>1028673639</v>
      </c>
      <c r="B343" t="s">
        <v>4395</v>
      </c>
      <c r="C343" s="59">
        <v>43374</v>
      </c>
      <c r="D343" s="59">
        <f t="shared" si="10"/>
        <v>43374</v>
      </c>
      <c r="E343" t="b">
        <f t="shared" si="11"/>
        <v>1</v>
      </c>
      <c r="F343" t="s">
        <v>4060</v>
      </c>
      <c r="G343" s="59">
        <v>43557</v>
      </c>
    </row>
    <row r="344" spans="1:7" x14ac:dyDescent="0.3">
      <c r="A344" s="115">
        <v>1233514915</v>
      </c>
      <c r="B344" t="s">
        <v>4396</v>
      </c>
      <c r="C344" s="59">
        <v>43304</v>
      </c>
      <c r="D344" s="59">
        <f t="shared" si="10"/>
        <v>43304</v>
      </c>
      <c r="E344" t="b">
        <f t="shared" si="11"/>
        <v>1</v>
      </c>
      <c r="F344" t="s">
        <v>4064</v>
      </c>
      <c r="G344" s="59">
        <v>42822</v>
      </c>
    </row>
    <row r="345" spans="1:7" x14ac:dyDescent="0.3">
      <c r="A345" s="115">
        <v>1011331108</v>
      </c>
      <c r="B345" t="s">
        <v>4397</v>
      </c>
      <c r="C345" s="59">
        <v>44021</v>
      </c>
      <c r="D345" s="59">
        <f t="shared" si="10"/>
        <v>44021</v>
      </c>
      <c r="E345" t="b">
        <f t="shared" si="11"/>
        <v>1</v>
      </c>
      <c r="F345" t="s">
        <v>4400</v>
      </c>
      <c r="G345" s="59">
        <v>43054</v>
      </c>
    </row>
    <row r="346" spans="1:7" x14ac:dyDescent="0.3">
      <c r="A346" s="115">
        <v>1014485581</v>
      </c>
      <c r="B346" t="s">
        <v>4398</v>
      </c>
      <c r="C346" s="59">
        <v>43745</v>
      </c>
      <c r="D346" s="59">
        <f t="shared" si="10"/>
        <v>43745</v>
      </c>
      <c r="E346" t="b">
        <f t="shared" si="11"/>
        <v>1</v>
      </c>
    </row>
    <row r="347" spans="1:7" x14ac:dyDescent="0.3">
      <c r="A347" s="115">
        <v>1023048400</v>
      </c>
      <c r="B347" t="s">
        <v>4399</v>
      </c>
      <c r="C347" s="59">
        <v>44685</v>
      </c>
      <c r="D347" s="59">
        <f t="shared" si="10"/>
        <v>44716</v>
      </c>
      <c r="E347" t="b">
        <f t="shared" si="11"/>
        <v>0</v>
      </c>
    </row>
  </sheetData>
  <autoFilter ref="A2:G347" xr:uid="{52C22658-610D-C745-93F8-B9C2B9B96B96}"/>
  <conditionalFormatting sqref="A1:A1048576 F1:F1048576">
    <cfRule type="duplicateValues" dxfId="2" priority="1"/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34DCD-5451-4D46-AA85-0A1C33FB5205}">
  <sheetPr filterMode="1"/>
  <dimension ref="B1:J352"/>
  <sheetViews>
    <sheetView workbookViewId="0">
      <selection activeCell="E234" sqref="E234"/>
    </sheetView>
  </sheetViews>
  <sheetFormatPr baseColWidth="10" defaultRowHeight="14.4" x14ac:dyDescent="0.3"/>
  <cols>
    <col min="7" max="7" width="33.77734375" customWidth="1"/>
    <col min="9" max="9" width="10.77734375" style="59"/>
  </cols>
  <sheetData>
    <row r="1" spans="2:10" x14ac:dyDescent="0.3">
      <c r="J1" t="s">
        <v>4434</v>
      </c>
    </row>
    <row r="2" spans="2:10" hidden="1" x14ac:dyDescent="0.3">
      <c r="B2">
        <v>1013030791</v>
      </c>
      <c r="C2" s="59">
        <v>44740</v>
      </c>
      <c r="F2">
        <v>1023048716</v>
      </c>
      <c r="G2" t="s">
        <v>4083</v>
      </c>
      <c r="H2" s="59">
        <v>44750</v>
      </c>
      <c r="I2" s="59">
        <f>VLOOKUP(F2,B:D,2,0)</f>
        <v>44750</v>
      </c>
      <c r="J2" t="b">
        <f>H2=I2</f>
        <v>1</v>
      </c>
    </row>
    <row r="3" spans="2:10" hidden="1" x14ac:dyDescent="0.3">
      <c r="B3">
        <v>1023048659</v>
      </c>
      <c r="C3" s="59">
        <v>44740</v>
      </c>
      <c r="F3">
        <v>1012926906</v>
      </c>
      <c r="G3" t="s">
        <v>4084</v>
      </c>
      <c r="H3" s="59">
        <v>44070</v>
      </c>
      <c r="I3" s="59">
        <f t="shared" ref="I3:I66" si="0">VLOOKUP(F3,B:D,2,0)</f>
        <v>44070</v>
      </c>
      <c r="J3" t="b">
        <f t="shared" ref="J3:J66" si="1">H3=I3</f>
        <v>1</v>
      </c>
    </row>
    <row r="4" spans="2:10" hidden="1" x14ac:dyDescent="0.3">
      <c r="B4">
        <v>1023048697</v>
      </c>
      <c r="C4" s="59">
        <v>44724</v>
      </c>
      <c r="F4">
        <v>1023045681</v>
      </c>
      <c r="G4" t="s">
        <v>4085</v>
      </c>
      <c r="H4" s="59">
        <v>44128</v>
      </c>
      <c r="I4" s="59">
        <f t="shared" si="0"/>
        <v>44128</v>
      </c>
      <c r="J4" t="b">
        <f t="shared" si="1"/>
        <v>1</v>
      </c>
    </row>
    <row r="5" spans="2:10" hidden="1" x14ac:dyDescent="0.3">
      <c r="B5">
        <v>1023048716</v>
      </c>
      <c r="C5" s="59">
        <v>44750</v>
      </c>
      <c r="F5">
        <v>1023046490</v>
      </c>
      <c r="G5" t="s">
        <v>4086</v>
      </c>
      <c r="H5" s="59">
        <v>44278</v>
      </c>
      <c r="I5" s="59">
        <f t="shared" si="0"/>
        <v>44278</v>
      </c>
      <c r="J5" t="b">
        <f t="shared" si="1"/>
        <v>1</v>
      </c>
    </row>
    <row r="6" spans="2:10" hidden="1" x14ac:dyDescent="0.3">
      <c r="B6">
        <v>1023048734</v>
      </c>
      <c r="C6" s="59">
        <v>44752</v>
      </c>
      <c r="F6">
        <v>1023048027</v>
      </c>
      <c r="G6" t="s">
        <v>4087</v>
      </c>
      <c r="H6" s="59">
        <v>44591</v>
      </c>
      <c r="I6" s="59">
        <f t="shared" si="0"/>
        <v>44591</v>
      </c>
      <c r="J6" t="b">
        <f t="shared" si="1"/>
        <v>1</v>
      </c>
    </row>
    <row r="7" spans="2:10" hidden="1" x14ac:dyDescent="0.3">
      <c r="B7">
        <v>1023048793</v>
      </c>
      <c r="C7" s="59">
        <v>44764</v>
      </c>
      <c r="F7">
        <v>1243860756</v>
      </c>
      <c r="G7" t="s">
        <v>3838</v>
      </c>
      <c r="H7" s="59">
        <v>44521</v>
      </c>
      <c r="I7" s="59">
        <f t="shared" si="0"/>
        <v>44521</v>
      </c>
      <c r="J7" t="b">
        <f t="shared" si="1"/>
        <v>1</v>
      </c>
    </row>
    <row r="8" spans="2:10" hidden="1" x14ac:dyDescent="0.3">
      <c r="B8">
        <v>1023048810</v>
      </c>
      <c r="C8" s="59">
        <v>44760</v>
      </c>
      <c r="F8">
        <v>1023048793</v>
      </c>
      <c r="G8" t="s">
        <v>4088</v>
      </c>
      <c r="H8" s="59">
        <v>44764</v>
      </c>
      <c r="I8" s="59">
        <f t="shared" si="0"/>
        <v>44764</v>
      </c>
      <c r="J8" t="b">
        <f t="shared" si="1"/>
        <v>1</v>
      </c>
    </row>
    <row r="9" spans="2:10" hidden="1" x14ac:dyDescent="0.3">
      <c r="B9">
        <v>1023048858</v>
      </c>
      <c r="C9" s="59">
        <v>44746</v>
      </c>
      <c r="F9">
        <v>1032515264</v>
      </c>
      <c r="G9" t="s">
        <v>4089</v>
      </c>
      <c r="H9" s="59">
        <v>44699</v>
      </c>
      <c r="I9" s="59">
        <f t="shared" si="0"/>
        <v>44699</v>
      </c>
      <c r="J9" t="b">
        <f t="shared" si="1"/>
        <v>1</v>
      </c>
    </row>
    <row r="10" spans="2:10" hidden="1" x14ac:dyDescent="0.3">
      <c r="B10">
        <v>1023048879</v>
      </c>
      <c r="C10" s="59">
        <v>44768</v>
      </c>
      <c r="F10">
        <v>1033822280</v>
      </c>
      <c r="G10" t="s">
        <v>4090</v>
      </c>
      <c r="H10" s="59">
        <v>43169</v>
      </c>
      <c r="I10" s="59">
        <f t="shared" si="0"/>
        <v>43169</v>
      </c>
      <c r="J10" t="b">
        <f t="shared" si="1"/>
        <v>1</v>
      </c>
    </row>
    <row r="11" spans="2:10" hidden="1" x14ac:dyDescent="0.3">
      <c r="B11">
        <v>1023048929</v>
      </c>
      <c r="C11" s="59">
        <v>44780</v>
      </c>
      <c r="F11">
        <v>1240693955</v>
      </c>
      <c r="G11" t="s">
        <v>4091</v>
      </c>
      <c r="H11" s="59">
        <v>44216</v>
      </c>
      <c r="I11" s="59">
        <f t="shared" si="0"/>
        <v>44216</v>
      </c>
      <c r="J11" t="b">
        <f t="shared" si="1"/>
        <v>1</v>
      </c>
    </row>
    <row r="12" spans="2:10" hidden="1" x14ac:dyDescent="0.3">
      <c r="B12">
        <v>1023048955</v>
      </c>
      <c r="C12" s="59">
        <v>44776</v>
      </c>
      <c r="F12">
        <v>1243859943</v>
      </c>
      <c r="G12" t="s">
        <v>4092</v>
      </c>
      <c r="H12" s="59">
        <v>44224</v>
      </c>
      <c r="I12" s="59">
        <f t="shared" si="0"/>
        <v>44224</v>
      </c>
      <c r="J12" t="b">
        <f t="shared" si="1"/>
        <v>1</v>
      </c>
    </row>
    <row r="13" spans="2:10" hidden="1" x14ac:dyDescent="0.3">
      <c r="B13">
        <v>1023048978</v>
      </c>
      <c r="C13" s="59">
        <v>44769</v>
      </c>
      <c r="F13">
        <v>1243859248</v>
      </c>
      <c r="G13" t="s">
        <v>4093</v>
      </c>
      <c r="H13" s="59">
        <v>44042</v>
      </c>
      <c r="I13" s="59">
        <f t="shared" si="0"/>
        <v>44042</v>
      </c>
      <c r="J13" t="b">
        <f t="shared" si="1"/>
        <v>1</v>
      </c>
    </row>
    <row r="14" spans="2:10" hidden="1" x14ac:dyDescent="0.3">
      <c r="B14">
        <v>1023048984</v>
      </c>
      <c r="C14" s="59">
        <v>44777</v>
      </c>
      <c r="F14">
        <v>1023048659</v>
      </c>
      <c r="G14" t="s">
        <v>4094</v>
      </c>
      <c r="H14" s="59">
        <v>44740</v>
      </c>
      <c r="I14" s="59">
        <f t="shared" si="0"/>
        <v>44740</v>
      </c>
      <c r="J14" t="b">
        <f t="shared" si="1"/>
        <v>1</v>
      </c>
    </row>
    <row r="15" spans="2:10" hidden="1" x14ac:dyDescent="0.3">
      <c r="B15">
        <v>1023049067</v>
      </c>
      <c r="C15" s="59">
        <v>44809</v>
      </c>
      <c r="F15">
        <v>1245078722</v>
      </c>
      <c r="G15" t="s">
        <v>4004</v>
      </c>
      <c r="H15" s="59">
        <v>44326</v>
      </c>
      <c r="I15" s="59">
        <f t="shared" si="0"/>
        <v>44326</v>
      </c>
      <c r="J15" t="b">
        <f t="shared" si="1"/>
        <v>1</v>
      </c>
    </row>
    <row r="16" spans="2:10" hidden="1" x14ac:dyDescent="0.3">
      <c r="B16">
        <v>1023049104</v>
      </c>
      <c r="C16" s="59">
        <v>44813</v>
      </c>
      <c r="F16">
        <v>1016921602</v>
      </c>
      <c r="G16" t="s">
        <v>4095</v>
      </c>
      <c r="H16" s="59">
        <v>43895</v>
      </c>
      <c r="I16" s="59">
        <f t="shared" si="0"/>
        <v>43895</v>
      </c>
      <c r="J16" t="b">
        <f t="shared" si="1"/>
        <v>1</v>
      </c>
    </row>
    <row r="17" spans="2:10" hidden="1" x14ac:dyDescent="0.3">
      <c r="B17">
        <v>1023049107</v>
      </c>
      <c r="C17" s="59">
        <v>44816</v>
      </c>
      <c r="F17">
        <v>1023046494</v>
      </c>
      <c r="G17" t="s">
        <v>4096</v>
      </c>
      <c r="H17" s="59">
        <v>44244</v>
      </c>
      <c r="I17" s="59">
        <f t="shared" si="0"/>
        <v>44244</v>
      </c>
      <c r="J17" t="b">
        <f t="shared" si="1"/>
        <v>1</v>
      </c>
    </row>
    <row r="18" spans="2:10" hidden="1" x14ac:dyDescent="0.3">
      <c r="B18">
        <v>1023049140</v>
      </c>
      <c r="C18" s="59">
        <v>44820</v>
      </c>
      <c r="F18">
        <v>1023046253</v>
      </c>
      <c r="G18" t="s">
        <v>4097</v>
      </c>
      <c r="H18" s="59">
        <v>44236</v>
      </c>
      <c r="I18" s="59">
        <f t="shared" si="0"/>
        <v>44236</v>
      </c>
      <c r="J18" t="b">
        <f t="shared" si="1"/>
        <v>1</v>
      </c>
    </row>
    <row r="19" spans="2:10" hidden="1" x14ac:dyDescent="0.3">
      <c r="B19">
        <v>1023049192</v>
      </c>
      <c r="C19" s="59">
        <v>44821</v>
      </c>
      <c r="F19">
        <v>1243860477</v>
      </c>
      <c r="G19" t="s">
        <v>4098</v>
      </c>
      <c r="H19" s="59">
        <v>44393</v>
      </c>
      <c r="I19" s="59">
        <f t="shared" si="0"/>
        <v>44393</v>
      </c>
      <c r="J19" t="b">
        <f t="shared" si="1"/>
        <v>1</v>
      </c>
    </row>
    <row r="20" spans="2:10" hidden="1" x14ac:dyDescent="0.3">
      <c r="B20">
        <v>1023990310</v>
      </c>
      <c r="C20" s="59">
        <v>44736</v>
      </c>
      <c r="F20">
        <v>1016750852</v>
      </c>
      <c r="G20" t="s">
        <v>4099</v>
      </c>
      <c r="H20" s="59">
        <v>44144</v>
      </c>
      <c r="I20" s="59">
        <f t="shared" si="0"/>
        <v>44144</v>
      </c>
      <c r="J20" t="b">
        <f t="shared" si="1"/>
        <v>1</v>
      </c>
    </row>
    <row r="21" spans="2:10" hidden="1" x14ac:dyDescent="0.3">
      <c r="B21">
        <v>1023990615</v>
      </c>
      <c r="C21" s="59">
        <v>44735</v>
      </c>
      <c r="F21">
        <v>1023041908</v>
      </c>
      <c r="G21" t="s">
        <v>4100</v>
      </c>
      <c r="H21" s="59">
        <v>43366</v>
      </c>
      <c r="I21" s="59">
        <f t="shared" si="0"/>
        <v>43366</v>
      </c>
      <c r="J21" t="b">
        <f t="shared" si="1"/>
        <v>1</v>
      </c>
    </row>
    <row r="22" spans="2:10" hidden="1" x14ac:dyDescent="0.3">
      <c r="B22">
        <v>1023990627</v>
      </c>
      <c r="C22" s="59">
        <v>44744</v>
      </c>
      <c r="F22">
        <v>1023045458</v>
      </c>
      <c r="G22" t="s">
        <v>4101</v>
      </c>
      <c r="H22" s="59">
        <v>44068</v>
      </c>
      <c r="I22" s="59">
        <f t="shared" si="0"/>
        <v>44068</v>
      </c>
      <c r="J22" t="b">
        <f t="shared" si="1"/>
        <v>1</v>
      </c>
    </row>
    <row r="23" spans="2:10" hidden="1" x14ac:dyDescent="0.3">
      <c r="B23">
        <v>1023990929</v>
      </c>
      <c r="C23" s="59">
        <v>44820</v>
      </c>
      <c r="F23">
        <v>1016749017</v>
      </c>
      <c r="G23" t="s">
        <v>4102</v>
      </c>
      <c r="H23" s="59">
        <v>43895</v>
      </c>
      <c r="I23" s="59">
        <f t="shared" si="0"/>
        <v>43895</v>
      </c>
      <c r="J23" t="b">
        <f t="shared" si="1"/>
        <v>1</v>
      </c>
    </row>
    <row r="24" spans="2:10" hidden="1" x14ac:dyDescent="0.3">
      <c r="B24">
        <v>1023991107</v>
      </c>
      <c r="C24" s="59">
        <v>44849</v>
      </c>
      <c r="F24">
        <v>1031858155</v>
      </c>
      <c r="G24" t="s">
        <v>4103</v>
      </c>
      <c r="H24" s="59">
        <v>44279</v>
      </c>
      <c r="I24" s="59">
        <f t="shared" si="0"/>
        <v>44279</v>
      </c>
      <c r="J24" t="b">
        <f t="shared" si="1"/>
        <v>1</v>
      </c>
    </row>
    <row r="25" spans="2:10" hidden="1" x14ac:dyDescent="0.3">
      <c r="B25">
        <v>1028675913</v>
      </c>
      <c r="C25" s="59">
        <v>44771</v>
      </c>
      <c r="F25">
        <v>1119187596</v>
      </c>
      <c r="G25" t="s">
        <v>4104</v>
      </c>
      <c r="H25" s="59">
        <v>44038</v>
      </c>
      <c r="I25" s="59">
        <f t="shared" si="0"/>
        <v>44038</v>
      </c>
      <c r="J25" t="b">
        <f t="shared" si="1"/>
        <v>1</v>
      </c>
    </row>
    <row r="26" spans="2:10" hidden="1" x14ac:dyDescent="0.3">
      <c r="B26">
        <v>1028675921</v>
      </c>
      <c r="C26" s="59">
        <v>44777</v>
      </c>
      <c r="F26">
        <v>1140939399</v>
      </c>
      <c r="G26" t="s">
        <v>4105</v>
      </c>
      <c r="H26" s="59">
        <v>44073</v>
      </c>
      <c r="I26" s="59">
        <f t="shared" si="0"/>
        <v>44073</v>
      </c>
      <c r="J26" t="b">
        <f t="shared" si="1"/>
        <v>1</v>
      </c>
    </row>
    <row r="27" spans="2:10" hidden="1" x14ac:dyDescent="0.3">
      <c r="B27">
        <v>1028675965</v>
      </c>
      <c r="C27" s="59">
        <v>44798</v>
      </c>
      <c r="F27">
        <v>1243860045</v>
      </c>
      <c r="G27" t="s">
        <v>4106</v>
      </c>
      <c r="H27" s="59">
        <v>44112</v>
      </c>
      <c r="I27" s="59">
        <f t="shared" si="0"/>
        <v>44112</v>
      </c>
      <c r="J27" t="b">
        <f t="shared" si="1"/>
        <v>1</v>
      </c>
    </row>
    <row r="28" spans="2:10" hidden="1" x14ac:dyDescent="0.3">
      <c r="B28">
        <v>1028676088</v>
      </c>
      <c r="C28" s="59">
        <v>44850</v>
      </c>
      <c r="F28">
        <v>1023046020</v>
      </c>
      <c r="G28" t="s">
        <v>4107</v>
      </c>
      <c r="H28" s="59">
        <v>44174</v>
      </c>
      <c r="I28" s="59">
        <f t="shared" si="0"/>
        <v>44174</v>
      </c>
      <c r="J28" t="b">
        <f t="shared" si="1"/>
        <v>1</v>
      </c>
    </row>
    <row r="29" spans="2:10" hidden="1" x14ac:dyDescent="0.3">
      <c r="B29">
        <v>1031188618</v>
      </c>
      <c r="C29" s="59">
        <v>44726</v>
      </c>
      <c r="F29">
        <v>1243861083</v>
      </c>
      <c r="G29" t="s">
        <v>4108</v>
      </c>
      <c r="H29" s="59">
        <v>44700</v>
      </c>
      <c r="I29" s="59">
        <f t="shared" si="0"/>
        <v>44700</v>
      </c>
      <c r="J29" t="b">
        <f t="shared" si="1"/>
        <v>1</v>
      </c>
    </row>
    <row r="30" spans="2:10" hidden="1" x14ac:dyDescent="0.3">
      <c r="B30">
        <v>1117558241</v>
      </c>
      <c r="C30" s="59">
        <v>44745</v>
      </c>
      <c r="F30">
        <v>1243861023</v>
      </c>
      <c r="G30" t="s">
        <v>4109</v>
      </c>
      <c r="H30" s="59">
        <v>44652</v>
      </c>
      <c r="I30" s="59">
        <f t="shared" si="0"/>
        <v>44652</v>
      </c>
      <c r="J30" t="b">
        <f t="shared" si="1"/>
        <v>1</v>
      </c>
    </row>
    <row r="31" spans="2:10" hidden="1" x14ac:dyDescent="0.3">
      <c r="B31">
        <v>1243763196</v>
      </c>
      <c r="C31" s="59">
        <v>44750</v>
      </c>
      <c r="F31">
        <v>1023045269</v>
      </c>
      <c r="G31" t="s">
        <v>4110</v>
      </c>
      <c r="H31" s="59">
        <v>43872</v>
      </c>
      <c r="I31" s="59">
        <f t="shared" si="0"/>
        <v>43872</v>
      </c>
      <c r="J31" t="b">
        <f t="shared" si="1"/>
        <v>1</v>
      </c>
    </row>
    <row r="32" spans="2:10" hidden="1" x14ac:dyDescent="0.3">
      <c r="B32">
        <v>1243861239</v>
      </c>
      <c r="C32" s="59">
        <v>44796</v>
      </c>
      <c r="F32">
        <v>1243859299</v>
      </c>
      <c r="G32" t="s">
        <v>4111</v>
      </c>
      <c r="H32" s="59">
        <v>44043</v>
      </c>
      <c r="I32" s="59">
        <f t="shared" si="0"/>
        <v>44043</v>
      </c>
      <c r="J32" t="b">
        <f t="shared" si="1"/>
        <v>1</v>
      </c>
    </row>
    <row r="33" spans="2:10" hidden="1" x14ac:dyDescent="0.3">
      <c r="B33">
        <v>1245079953</v>
      </c>
      <c r="C33" s="59">
        <v>44777</v>
      </c>
      <c r="F33">
        <v>1140937336</v>
      </c>
      <c r="G33" t="s">
        <v>4112</v>
      </c>
      <c r="H33" s="59">
        <v>43946</v>
      </c>
      <c r="I33" s="59">
        <f t="shared" si="0"/>
        <v>43946</v>
      </c>
      <c r="J33" t="b">
        <f t="shared" si="1"/>
        <v>1</v>
      </c>
    </row>
    <row r="34" spans="2:10" hidden="1" x14ac:dyDescent="0.3">
      <c r="B34">
        <v>1245080145</v>
      </c>
      <c r="C34" s="59">
        <v>44850</v>
      </c>
      <c r="F34">
        <v>1021695137</v>
      </c>
      <c r="G34" t="s">
        <v>4113</v>
      </c>
      <c r="H34" s="59">
        <v>43953</v>
      </c>
      <c r="I34" s="59">
        <f t="shared" si="0"/>
        <v>43953</v>
      </c>
      <c r="J34" t="b">
        <f t="shared" si="1"/>
        <v>1</v>
      </c>
    </row>
    <row r="35" spans="2:10" hidden="1" x14ac:dyDescent="0.3">
      <c r="B35">
        <v>1000777307</v>
      </c>
      <c r="C35" s="59">
        <v>37369</v>
      </c>
      <c r="F35">
        <v>1023046352</v>
      </c>
      <c r="G35" t="s">
        <v>4114</v>
      </c>
      <c r="H35" s="59">
        <v>44241</v>
      </c>
      <c r="I35" s="59">
        <f t="shared" si="0"/>
        <v>44241</v>
      </c>
      <c r="J35" t="b">
        <f t="shared" si="1"/>
        <v>1</v>
      </c>
    </row>
    <row r="36" spans="2:10" hidden="1" x14ac:dyDescent="0.3">
      <c r="B36">
        <v>1000931826</v>
      </c>
      <c r="C36" s="59">
        <v>37138</v>
      </c>
      <c r="F36">
        <v>1243859093</v>
      </c>
      <c r="G36" t="s">
        <v>4115</v>
      </c>
      <c r="H36" s="59">
        <v>44011</v>
      </c>
      <c r="I36" s="59">
        <f t="shared" si="0"/>
        <v>44011</v>
      </c>
      <c r="J36" t="b">
        <f t="shared" si="1"/>
        <v>1</v>
      </c>
    </row>
    <row r="37" spans="2:10" hidden="1" x14ac:dyDescent="0.3">
      <c r="B37">
        <v>1003734192</v>
      </c>
      <c r="C37" s="59">
        <v>37079</v>
      </c>
      <c r="F37">
        <v>1243763196</v>
      </c>
      <c r="G37" t="s">
        <v>4116</v>
      </c>
      <c r="H37" s="59">
        <v>44750</v>
      </c>
      <c r="I37" s="59">
        <f t="shared" si="0"/>
        <v>44750</v>
      </c>
      <c r="J37" t="b">
        <f t="shared" si="1"/>
        <v>1</v>
      </c>
    </row>
    <row r="38" spans="2:10" hidden="1" x14ac:dyDescent="0.3">
      <c r="B38">
        <v>1006093564</v>
      </c>
      <c r="C38" s="59">
        <v>35141</v>
      </c>
      <c r="F38">
        <v>1023046195</v>
      </c>
      <c r="G38" t="s">
        <v>4117</v>
      </c>
      <c r="H38" s="59">
        <v>44235</v>
      </c>
      <c r="I38" s="59">
        <f t="shared" si="0"/>
        <v>44235</v>
      </c>
      <c r="J38" t="b">
        <f t="shared" si="1"/>
        <v>1</v>
      </c>
    </row>
    <row r="39" spans="2:10" hidden="1" x14ac:dyDescent="0.3">
      <c r="B39">
        <v>1006666312</v>
      </c>
      <c r="C39" s="59">
        <v>37050</v>
      </c>
      <c r="F39">
        <v>1016969726</v>
      </c>
      <c r="G39" t="s">
        <v>4118</v>
      </c>
      <c r="H39" s="59">
        <v>44104</v>
      </c>
      <c r="I39" s="59">
        <f t="shared" si="0"/>
        <v>44104</v>
      </c>
      <c r="J39" t="b">
        <f t="shared" si="1"/>
        <v>1</v>
      </c>
    </row>
    <row r="40" spans="2:10" hidden="1" x14ac:dyDescent="0.3">
      <c r="B40">
        <v>1007101197</v>
      </c>
      <c r="C40" s="59">
        <v>37019</v>
      </c>
      <c r="F40">
        <v>1243859420</v>
      </c>
      <c r="G40" t="s">
        <v>4119</v>
      </c>
      <c r="H40" s="59">
        <v>44067</v>
      </c>
      <c r="I40" s="59">
        <f t="shared" si="0"/>
        <v>44067</v>
      </c>
      <c r="J40" t="b">
        <f t="shared" si="1"/>
        <v>1</v>
      </c>
    </row>
    <row r="41" spans="2:10" hidden="1" x14ac:dyDescent="0.3">
      <c r="B41">
        <v>1010231306</v>
      </c>
      <c r="C41" s="59">
        <v>35409</v>
      </c>
      <c r="F41">
        <v>1023048142</v>
      </c>
      <c r="G41" t="s">
        <v>4120</v>
      </c>
      <c r="H41" s="59">
        <v>44652</v>
      </c>
      <c r="I41" s="59">
        <f t="shared" si="0"/>
        <v>44652</v>
      </c>
      <c r="J41" t="b">
        <f t="shared" si="1"/>
        <v>1</v>
      </c>
    </row>
    <row r="42" spans="2:10" hidden="1" x14ac:dyDescent="0.3">
      <c r="B42">
        <v>1018462996</v>
      </c>
      <c r="C42" s="59">
        <v>34244</v>
      </c>
      <c r="F42">
        <v>1023048417</v>
      </c>
      <c r="G42" t="s">
        <v>4121</v>
      </c>
      <c r="H42" s="59">
        <v>44693</v>
      </c>
      <c r="I42" s="59">
        <f t="shared" si="0"/>
        <v>44693</v>
      </c>
      <c r="J42" t="b">
        <f t="shared" si="1"/>
        <v>1</v>
      </c>
    </row>
    <row r="43" spans="2:10" hidden="1" x14ac:dyDescent="0.3">
      <c r="B43">
        <v>1020730043</v>
      </c>
      <c r="C43" s="59">
        <v>35817</v>
      </c>
      <c r="F43">
        <v>1245078680</v>
      </c>
      <c r="G43" t="s">
        <v>4005</v>
      </c>
      <c r="H43" s="59">
        <v>44306</v>
      </c>
      <c r="I43" s="59">
        <f t="shared" si="0"/>
        <v>44306</v>
      </c>
      <c r="J43" t="b">
        <f t="shared" si="1"/>
        <v>1</v>
      </c>
    </row>
    <row r="44" spans="2:10" hidden="1" x14ac:dyDescent="0.3">
      <c r="B44">
        <v>1022940608</v>
      </c>
      <c r="C44" s="59">
        <v>32190</v>
      </c>
      <c r="F44">
        <v>1023047218</v>
      </c>
      <c r="G44" t="s">
        <v>4122</v>
      </c>
      <c r="H44" s="59">
        <v>44462</v>
      </c>
      <c r="I44" s="59">
        <f t="shared" si="0"/>
        <v>44462</v>
      </c>
      <c r="J44" t="b">
        <f t="shared" si="1"/>
        <v>1</v>
      </c>
    </row>
    <row r="45" spans="2:10" hidden="1" x14ac:dyDescent="0.3">
      <c r="B45">
        <v>1023022652</v>
      </c>
      <c r="C45" s="59">
        <v>35611</v>
      </c>
      <c r="F45">
        <v>1243858572</v>
      </c>
      <c r="G45" t="s">
        <v>4123</v>
      </c>
      <c r="H45" s="59">
        <v>43898</v>
      </c>
      <c r="I45" s="59">
        <f t="shared" si="0"/>
        <v>43898</v>
      </c>
      <c r="J45" t="b">
        <f t="shared" si="1"/>
        <v>1</v>
      </c>
    </row>
    <row r="46" spans="2:10" hidden="1" x14ac:dyDescent="0.3">
      <c r="B46">
        <v>1031172814</v>
      </c>
      <c r="C46" s="59">
        <v>35728</v>
      </c>
      <c r="F46">
        <v>6042020114</v>
      </c>
      <c r="G46" t="s">
        <v>4124</v>
      </c>
      <c r="H46" s="59">
        <v>43927</v>
      </c>
      <c r="I46" s="59">
        <f t="shared" si="0"/>
        <v>43927</v>
      </c>
      <c r="J46" t="b">
        <f t="shared" si="1"/>
        <v>1</v>
      </c>
    </row>
    <row r="47" spans="2:10" hidden="1" x14ac:dyDescent="0.3">
      <c r="B47">
        <v>1032370204</v>
      </c>
      <c r="C47" s="59">
        <v>31649</v>
      </c>
      <c r="F47">
        <v>1023049107</v>
      </c>
      <c r="G47" t="s">
        <v>4410</v>
      </c>
      <c r="H47" s="59">
        <v>44816</v>
      </c>
      <c r="I47" s="59">
        <f t="shared" si="0"/>
        <v>44816</v>
      </c>
      <c r="J47" t="b">
        <f t="shared" si="1"/>
        <v>1</v>
      </c>
    </row>
    <row r="48" spans="2:10" hidden="1" x14ac:dyDescent="0.3">
      <c r="B48">
        <v>1033755043</v>
      </c>
      <c r="C48" s="59">
        <v>34050</v>
      </c>
      <c r="F48">
        <v>1023048396</v>
      </c>
      <c r="G48" t="s">
        <v>4126</v>
      </c>
      <c r="H48" s="59">
        <v>44682</v>
      </c>
      <c r="I48" s="59">
        <f t="shared" si="0"/>
        <v>44682</v>
      </c>
      <c r="J48" t="b">
        <f t="shared" si="1"/>
        <v>1</v>
      </c>
    </row>
    <row r="49" spans="2:10" hidden="1" x14ac:dyDescent="0.3">
      <c r="B49">
        <v>1076019181</v>
      </c>
      <c r="C49" s="59">
        <v>35251</v>
      </c>
      <c r="F49">
        <v>1023049067</v>
      </c>
      <c r="G49" t="s">
        <v>4411</v>
      </c>
      <c r="H49" s="59">
        <v>44809</v>
      </c>
      <c r="I49" s="59">
        <f t="shared" si="0"/>
        <v>44809</v>
      </c>
      <c r="J49" t="b">
        <f t="shared" si="1"/>
        <v>1</v>
      </c>
    </row>
    <row r="50" spans="2:10" hidden="1" x14ac:dyDescent="0.3">
      <c r="B50">
        <v>1076320839</v>
      </c>
      <c r="C50" s="59">
        <v>34229</v>
      </c>
      <c r="F50">
        <v>1022940608</v>
      </c>
      <c r="G50" t="s">
        <v>4128</v>
      </c>
      <c r="H50" s="59">
        <v>32190</v>
      </c>
      <c r="I50" s="59">
        <f t="shared" si="0"/>
        <v>32190</v>
      </c>
      <c r="J50" t="b">
        <f t="shared" si="1"/>
        <v>1</v>
      </c>
    </row>
    <row r="51" spans="2:10" hidden="1" x14ac:dyDescent="0.3">
      <c r="B51" t="s">
        <v>4063</v>
      </c>
      <c r="C51" s="59">
        <v>37952</v>
      </c>
      <c r="F51">
        <v>1243861089</v>
      </c>
      <c r="G51" t="s">
        <v>4129</v>
      </c>
      <c r="H51" s="59">
        <v>44684</v>
      </c>
      <c r="I51" s="59">
        <f t="shared" si="0"/>
        <v>44684</v>
      </c>
      <c r="J51" t="b">
        <f t="shared" si="1"/>
        <v>1</v>
      </c>
    </row>
    <row r="52" spans="2:10" hidden="1" x14ac:dyDescent="0.3">
      <c r="B52">
        <v>1022935813</v>
      </c>
      <c r="C52" s="59">
        <v>38562</v>
      </c>
      <c r="F52">
        <v>1033755043</v>
      </c>
      <c r="G52" t="s">
        <v>4130</v>
      </c>
      <c r="H52" s="59">
        <v>34050</v>
      </c>
      <c r="I52" s="59">
        <f t="shared" si="0"/>
        <v>34050</v>
      </c>
      <c r="J52" t="b">
        <f t="shared" si="1"/>
        <v>1</v>
      </c>
    </row>
    <row r="53" spans="2:10" hidden="1" x14ac:dyDescent="0.3">
      <c r="B53">
        <v>1022939239</v>
      </c>
      <c r="C53" s="59">
        <v>38706</v>
      </c>
      <c r="F53">
        <v>1023048403</v>
      </c>
      <c r="G53" t="s">
        <v>4131</v>
      </c>
      <c r="H53" s="59">
        <v>44674</v>
      </c>
      <c r="I53" s="59">
        <f t="shared" si="0"/>
        <v>44674</v>
      </c>
      <c r="J53" t="b">
        <f t="shared" si="1"/>
        <v>1</v>
      </c>
    </row>
    <row r="54" spans="2:10" hidden="1" x14ac:dyDescent="0.3">
      <c r="B54">
        <v>1045424161</v>
      </c>
      <c r="C54" s="59">
        <v>39103</v>
      </c>
      <c r="F54">
        <v>1016752849</v>
      </c>
      <c r="G54" t="s">
        <v>3856</v>
      </c>
      <c r="H54" s="59">
        <v>44459</v>
      </c>
      <c r="I54" s="59">
        <f t="shared" si="0"/>
        <v>44459</v>
      </c>
      <c r="J54" t="b">
        <f t="shared" si="1"/>
        <v>1</v>
      </c>
    </row>
    <row r="55" spans="2:10" hidden="1" x14ac:dyDescent="0.3">
      <c r="B55">
        <v>1092349873</v>
      </c>
      <c r="C55" s="59">
        <v>39097</v>
      </c>
      <c r="F55">
        <v>1023047489</v>
      </c>
      <c r="G55" t="s">
        <v>4132</v>
      </c>
      <c r="H55" s="59">
        <v>44497</v>
      </c>
      <c r="I55" s="59">
        <f t="shared" si="0"/>
        <v>44497</v>
      </c>
      <c r="J55" t="b">
        <f t="shared" si="1"/>
        <v>1</v>
      </c>
    </row>
    <row r="56" spans="2:10" hidden="1" x14ac:dyDescent="0.3">
      <c r="B56">
        <v>2092021054</v>
      </c>
      <c r="C56" s="59">
        <v>44441</v>
      </c>
      <c r="F56">
        <v>1023046387</v>
      </c>
      <c r="G56" t="s">
        <v>4133</v>
      </c>
      <c r="H56" s="59">
        <v>44683</v>
      </c>
      <c r="I56" s="59">
        <f t="shared" si="0"/>
        <v>44683</v>
      </c>
      <c r="J56" t="b">
        <f t="shared" si="1"/>
        <v>1</v>
      </c>
    </row>
    <row r="57" spans="2:10" hidden="1" x14ac:dyDescent="0.3">
      <c r="B57">
        <v>6042020114</v>
      </c>
      <c r="C57" s="59">
        <v>43927</v>
      </c>
      <c r="F57">
        <v>1013030625</v>
      </c>
      <c r="G57" t="s">
        <v>3825</v>
      </c>
      <c r="H57" s="59">
        <v>44575</v>
      </c>
      <c r="I57" s="59">
        <f t="shared" si="0"/>
        <v>44575</v>
      </c>
      <c r="J57" t="b">
        <f t="shared" si="1"/>
        <v>1</v>
      </c>
    </row>
    <row r="58" spans="2:10" hidden="1" x14ac:dyDescent="0.3">
      <c r="B58">
        <v>705202105</v>
      </c>
      <c r="C58" s="59">
        <v>44323</v>
      </c>
      <c r="F58">
        <v>1243860849</v>
      </c>
      <c r="G58" t="s">
        <v>3824</v>
      </c>
      <c r="H58" s="59">
        <v>44557</v>
      </c>
      <c r="I58" s="59">
        <f t="shared" si="0"/>
        <v>44557</v>
      </c>
      <c r="J58" t="b">
        <f t="shared" si="1"/>
        <v>1</v>
      </c>
    </row>
    <row r="59" spans="2:10" hidden="1" x14ac:dyDescent="0.3">
      <c r="B59">
        <v>11022018069</v>
      </c>
      <c r="C59" s="59">
        <v>43142</v>
      </c>
      <c r="F59">
        <v>1027544666</v>
      </c>
      <c r="G59" t="s">
        <v>3826</v>
      </c>
      <c r="H59" s="59">
        <v>44616</v>
      </c>
      <c r="I59" s="59">
        <f t="shared" si="0"/>
        <v>44616</v>
      </c>
      <c r="J59" t="b">
        <f t="shared" si="1"/>
        <v>1</v>
      </c>
    </row>
    <row r="60" spans="2:10" hidden="1" x14ac:dyDescent="0.3">
      <c r="B60">
        <v>16012018237</v>
      </c>
      <c r="C60" s="59">
        <v>43116</v>
      </c>
      <c r="F60">
        <v>1023046673</v>
      </c>
      <c r="G60" t="s">
        <v>4000</v>
      </c>
      <c r="H60" s="59">
        <v>44338</v>
      </c>
      <c r="I60" s="59">
        <f t="shared" si="0"/>
        <v>44338</v>
      </c>
      <c r="J60" t="b">
        <f t="shared" si="1"/>
        <v>1</v>
      </c>
    </row>
    <row r="61" spans="2:10" hidden="1" x14ac:dyDescent="0.3">
      <c r="B61">
        <v>22012020072</v>
      </c>
      <c r="C61" s="59">
        <v>43852</v>
      </c>
      <c r="F61">
        <v>1018519864</v>
      </c>
      <c r="G61" t="s">
        <v>4134</v>
      </c>
      <c r="H61" s="59">
        <v>44419</v>
      </c>
      <c r="I61" s="59">
        <f t="shared" si="0"/>
        <v>44419</v>
      </c>
      <c r="J61" t="b">
        <f t="shared" si="1"/>
        <v>1</v>
      </c>
    </row>
    <row r="62" spans="2:10" hidden="1" x14ac:dyDescent="0.3">
      <c r="B62">
        <v>2611201712</v>
      </c>
      <c r="C62" s="59">
        <v>43065</v>
      </c>
      <c r="F62">
        <v>1032946299</v>
      </c>
      <c r="G62" t="s">
        <v>3982</v>
      </c>
      <c r="H62" s="59">
        <v>44388</v>
      </c>
      <c r="I62" s="59">
        <f t="shared" si="0"/>
        <v>44388</v>
      </c>
      <c r="J62" t="b">
        <f t="shared" si="1"/>
        <v>1</v>
      </c>
    </row>
    <row r="63" spans="2:10" hidden="1" x14ac:dyDescent="0.3">
      <c r="B63">
        <v>5866411</v>
      </c>
      <c r="C63" s="59">
        <v>44208</v>
      </c>
      <c r="F63">
        <v>1031187767</v>
      </c>
      <c r="G63" t="s">
        <v>3983</v>
      </c>
      <c r="H63" s="59">
        <v>44397</v>
      </c>
      <c r="I63" s="59">
        <f t="shared" si="0"/>
        <v>44397</v>
      </c>
      <c r="J63" t="b">
        <f t="shared" si="1"/>
        <v>1</v>
      </c>
    </row>
    <row r="64" spans="2:10" hidden="1" x14ac:dyDescent="0.3">
      <c r="B64">
        <v>6856169</v>
      </c>
      <c r="C64" s="59">
        <v>44175</v>
      </c>
      <c r="F64">
        <v>1015197913</v>
      </c>
      <c r="G64" t="s">
        <v>4135</v>
      </c>
      <c r="H64" s="59">
        <v>44213</v>
      </c>
      <c r="I64" s="59">
        <f t="shared" si="0"/>
        <v>44213</v>
      </c>
      <c r="J64" t="b">
        <f t="shared" si="1"/>
        <v>1</v>
      </c>
    </row>
    <row r="65" spans="2:10" hidden="1" x14ac:dyDescent="0.3">
      <c r="B65">
        <v>1010250157</v>
      </c>
      <c r="C65" s="59">
        <v>43586</v>
      </c>
      <c r="F65">
        <v>1032513713</v>
      </c>
      <c r="G65" t="s">
        <v>4136</v>
      </c>
      <c r="H65" s="59">
        <v>44237</v>
      </c>
      <c r="I65" s="59">
        <f t="shared" si="0"/>
        <v>44237</v>
      </c>
      <c r="J65" t="b">
        <f t="shared" si="1"/>
        <v>1</v>
      </c>
    </row>
    <row r="66" spans="2:10" hidden="1" x14ac:dyDescent="0.3">
      <c r="B66">
        <v>1010252066</v>
      </c>
      <c r="C66" s="59">
        <v>44400</v>
      </c>
      <c r="F66">
        <v>1013156586</v>
      </c>
      <c r="G66" t="s">
        <v>4137</v>
      </c>
      <c r="H66" s="59">
        <v>44055</v>
      </c>
      <c r="I66" s="59">
        <f t="shared" si="0"/>
        <v>44055</v>
      </c>
      <c r="J66" t="b">
        <f t="shared" si="1"/>
        <v>1</v>
      </c>
    </row>
    <row r="67" spans="2:10" hidden="1" x14ac:dyDescent="0.3">
      <c r="B67">
        <v>1010252069</v>
      </c>
      <c r="C67" s="59">
        <v>44355</v>
      </c>
      <c r="F67">
        <v>1023046291</v>
      </c>
      <c r="G67" t="s">
        <v>4138</v>
      </c>
      <c r="H67" s="59">
        <v>44221</v>
      </c>
      <c r="I67" s="59">
        <f t="shared" ref="I67:I130" si="2">VLOOKUP(F67,B:D,2,0)</f>
        <v>44221</v>
      </c>
      <c r="J67" t="b">
        <f t="shared" ref="J67:J130" si="3">H67=I67</f>
        <v>1</v>
      </c>
    </row>
    <row r="68" spans="2:10" hidden="1" x14ac:dyDescent="0.3">
      <c r="B68">
        <v>1010849316</v>
      </c>
      <c r="C68" s="59">
        <v>44062</v>
      </c>
      <c r="F68">
        <v>1233698686</v>
      </c>
      <c r="G68" t="s">
        <v>4139</v>
      </c>
      <c r="H68" s="59">
        <v>43667</v>
      </c>
      <c r="I68" s="59">
        <f t="shared" si="2"/>
        <v>43667</v>
      </c>
      <c r="J68" t="b">
        <f t="shared" si="3"/>
        <v>1</v>
      </c>
    </row>
    <row r="69" spans="2:10" hidden="1" x14ac:dyDescent="0.3">
      <c r="B69">
        <v>1010850706</v>
      </c>
      <c r="C69" s="59">
        <v>44635</v>
      </c>
      <c r="F69">
        <v>1023044822</v>
      </c>
      <c r="G69" t="s">
        <v>4140</v>
      </c>
      <c r="H69" s="59">
        <v>43763</v>
      </c>
      <c r="I69" s="59">
        <f t="shared" si="2"/>
        <v>43763</v>
      </c>
      <c r="J69" t="b">
        <f t="shared" si="3"/>
        <v>1</v>
      </c>
    </row>
    <row r="70" spans="2:10" hidden="1" x14ac:dyDescent="0.3">
      <c r="B70">
        <v>1011110767</v>
      </c>
      <c r="C70" s="59">
        <v>43843</v>
      </c>
      <c r="F70">
        <v>1023046277</v>
      </c>
      <c r="G70" t="s">
        <v>4141</v>
      </c>
      <c r="H70" s="59">
        <v>44247</v>
      </c>
      <c r="I70" s="59">
        <f t="shared" si="2"/>
        <v>44247</v>
      </c>
      <c r="J70" t="b">
        <f t="shared" si="3"/>
        <v>1</v>
      </c>
    </row>
    <row r="71" spans="2:10" hidden="1" x14ac:dyDescent="0.3">
      <c r="B71">
        <v>1011259607</v>
      </c>
      <c r="C71" s="59">
        <v>44091</v>
      </c>
      <c r="F71">
        <v>1023046401</v>
      </c>
      <c r="G71" t="s">
        <v>4142</v>
      </c>
      <c r="H71" s="59">
        <v>44256</v>
      </c>
      <c r="I71" s="59">
        <f t="shared" si="2"/>
        <v>44256</v>
      </c>
      <c r="J71" t="b">
        <f t="shared" si="3"/>
        <v>1</v>
      </c>
    </row>
    <row r="72" spans="2:10" hidden="1" x14ac:dyDescent="0.3">
      <c r="B72">
        <v>1011261221</v>
      </c>
      <c r="C72" s="59">
        <v>44474</v>
      </c>
      <c r="F72">
        <v>1140937833</v>
      </c>
      <c r="G72" t="s">
        <v>4143</v>
      </c>
      <c r="H72" s="59">
        <v>43956</v>
      </c>
      <c r="I72" s="59">
        <f t="shared" si="2"/>
        <v>43956</v>
      </c>
      <c r="J72" t="b">
        <f t="shared" si="3"/>
        <v>1</v>
      </c>
    </row>
    <row r="73" spans="2:10" hidden="1" x14ac:dyDescent="0.3">
      <c r="B73">
        <v>1011331108</v>
      </c>
      <c r="C73" s="59">
        <v>44021</v>
      </c>
      <c r="F73">
        <v>1140937152</v>
      </c>
      <c r="G73" t="s">
        <v>4144</v>
      </c>
      <c r="H73" s="59">
        <v>43916</v>
      </c>
      <c r="I73" s="59">
        <f t="shared" si="2"/>
        <v>43916</v>
      </c>
      <c r="J73" t="b">
        <f t="shared" si="3"/>
        <v>1</v>
      </c>
    </row>
    <row r="74" spans="2:10" hidden="1" x14ac:dyDescent="0.3">
      <c r="B74">
        <v>1012926906</v>
      </c>
      <c r="C74" s="59">
        <v>44070</v>
      </c>
      <c r="F74">
        <v>1243860015</v>
      </c>
      <c r="G74" t="s">
        <v>4145</v>
      </c>
      <c r="H74" s="59">
        <v>44246</v>
      </c>
      <c r="I74" s="59">
        <f t="shared" si="2"/>
        <v>44246</v>
      </c>
      <c r="J74" t="b">
        <f t="shared" si="3"/>
        <v>1</v>
      </c>
    </row>
    <row r="75" spans="2:10" hidden="1" x14ac:dyDescent="0.3">
      <c r="B75">
        <v>1013030625</v>
      </c>
      <c r="C75" s="59">
        <v>44575</v>
      </c>
      <c r="F75">
        <v>1033829949</v>
      </c>
      <c r="G75" t="s">
        <v>4146</v>
      </c>
      <c r="H75" s="59">
        <v>44163</v>
      </c>
      <c r="I75" s="59">
        <f t="shared" si="2"/>
        <v>44163</v>
      </c>
      <c r="J75" t="b">
        <f t="shared" si="3"/>
        <v>1</v>
      </c>
    </row>
    <row r="76" spans="2:10" hidden="1" x14ac:dyDescent="0.3">
      <c r="B76">
        <v>1013156586</v>
      </c>
      <c r="C76" s="59">
        <v>44055</v>
      </c>
      <c r="F76">
        <v>1023044785</v>
      </c>
      <c r="G76" t="s">
        <v>4147</v>
      </c>
      <c r="H76" s="59">
        <v>43817</v>
      </c>
      <c r="I76" s="59">
        <f t="shared" si="2"/>
        <v>43817</v>
      </c>
      <c r="J76" t="b">
        <f t="shared" si="3"/>
        <v>1</v>
      </c>
    </row>
    <row r="77" spans="2:10" hidden="1" x14ac:dyDescent="0.3">
      <c r="B77">
        <v>1013363568</v>
      </c>
      <c r="C77" s="59">
        <v>43017</v>
      </c>
      <c r="F77">
        <v>1122539379</v>
      </c>
      <c r="G77" t="s">
        <v>4148</v>
      </c>
      <c r="H77" s="59">
        <v>43968</v>
      </c>
      <c r="I77" s="59">
        <f t="shared" si="2"/>
        <v>43968</v>
      </c>
      <c r="J77" t="b">
        <f t="shared" si="3"/>
        <v>1</v>
      </c>
    </row>
    <row r="78" spans="2:10" hidden="1" x14ac:dyDescent="0.3">
      <c r="B78">
        <v>1014485581</v>
      </c>
      <c r="C78" s="59">
        <v>43745</v>
      </c>
      <c r="F78">
        <v>1023046103</v>
      </c>
      <c r="G78" t="s">
        <v>4149</v>
      </c>
      <c r="H78" s="59">
        <v>44193</v>
      </c>
      <c r="I78" s="59">
        <f t="shared" si="2"/>
        <v>44193</v>
      </c>
      <c r="J78" t="b">
        <f t="shared" si="3"/>
        <v>1</v>
      </c>
    </row>
    <row r="79" spans="2:10" hidden="1" x14ac:dyDescent="0.3">
      <c r="B79">
        <v>1015197913</v>
      </c>
      <c r="C79" s="59">
        <v>44213</v>
      </c>
      <c r="F79">
        <v>1016747900</v>
      </c>
      <c r="G79" t="s">
        <v>4150</v>
      </c>
      <c r="H79" s="59">
        <v>43713</v>
      </c>
      <c r="I79" s="59">
        <f t="shared" si="2"/>
        <v>43713</v>
      </c>
      <c r="J79" t="b">
        <f t="shared" si="3"/>
        <v>1</v>
      </c>
    </row>
    <row r="80" spans="2:10" hidden="1" x14ac:dyDescent="0.3">
      <c r="B80">
        <v>1016743297</v>
      </c>
      <c r="C80" s="59">
        <v>42955</v>
      </c>
      <c r="F80">
        <v>1300000542</v>
      </c>
      <c r="G80" t="s">
        <v>4151</v>
      </c>
      <c r="H80" s="59">
        <v>43846</v>
      </c>
      <c r="I80" s="59">
        <f t="shared" si="2"/>
        <v>43846</v>
      </c>
      <c r="J80" t="b">
        <f t="shared" si="3"/>
        <v>1</v>
      </c>
    </row>
    <row r="81" spans="2:10" hidden="1" x14ac:dyDescent="0.3">
      <c r="B81">
        <v>1016744027</v>
      </c>
      <c r="C81" s="59">
        <v>43083</v>
      </c>
      <c r="F81">
        <v>1023043960</v>
      </c>
      <c r="G81" t="s">
        <v>4152</v>
      </c>
      <c r="H81" s="59">
        <v>43684</v>
      </c>
      <c r="I81" s="59">
        <f t="shared" si="2"/>
        <v>43684</v>
      </c>
      <c r="J81" t="b">
        <f t="shared" si="3"/>
        <v>1</v>
      </c>
    </row>
    <row r="82" spans="2:10" hidden="1" x14ac:dyDescent="0.3">
      <c r="B82">
        <v>1016746746</v>
      </c>
      <c r="C82" s="59">
        <v>43525</v>
      </c>
      <c r="F82">
        <v>1023988413</v>
      </c>
      <c r="G82" t="s">
        <v>4007</v>
      </c>
      <c r="H82" s="59">
        <v>44330</v>
      </c>
      <c r="I82" s="59">
        <f t="shared" si="2"/>
        <v>44330</v>
      </c>
      <c r="J82" t="b">
        <f t="shared" si="3"/>
        <v>1</v>
      </c>
    </row>
    <row r="83" spans="2:10" hidden="1" x14ac:dyDescent="0.3">
      <c r="B83">
        <v>1016747900</v>
      </c>
      <c r="C83" s="59">
        <v>43713</v>
      </c>
      <c r="F83">
        <v>1023047293</v>
      </c>
      <c r="G83" t="s">
        <v>3853</v>
      </c>
      <c r="H83" s="59">
        <v>44474</v>
      </c>
      <c r="I83" s="59">
        <f t="shared" si="2"/>
        <v>44474</v>
      </c>
      <c r="J83" t="b">
        <f t="shared" si="3"/>
        <v>1</v>
      </c>
    </row>
    <row r="84" spans="2:10" hidden="1" x14ac:dyDescent="0.3">
      <c r="B84">
        <v>1016748415</v>
      </c>
      <c r="C84" s="59">
        <v>43794</v>
      </c>
      <c r="F84">
        <v>1026309481</v>
      </c>
      <c r="G84" t="s">
        <v>4153</v>
      </c>
      <c r="H84" s="59">
        <v>44196</v>
      </c>
      <c r="I84" s="59">
        <f t="shared" si="2"/>
        <v>44196</v>
      </c>
      <c r="J84" t="b">
        <f t="shared" si="3"/>
        <v>1</v>
      </c>
    </row>
    <row r="85" spans="2:10" hidden="1" x14ac:dyDescent="0.3">
      <c r="B85">
        <v>1016749017</v>
      </c>
      <c r="C85" s="59">
        <v>43895</v>
      </c>
      <c r="F85">
        <v>1026309480</v>
      </c>
      <c r="G85" t="s">
        <v>4154</v>
      </c>
      <c r="H85" s="59">
        <v>44196</v>
      </c>
      <c r="I85" s="59">
        <f t="shared" si="2"/>
        <v>44196</v>
      </c>
      <c r="J85" t="b">
        <f t="shared" si="3"/>
        <v>1</v>
      </c>
    </row>
    <row r="86" spans="2:10" hidden="1" x14ac:dyDescent="0.3">
      <c r="B86">
        <v>1016749744</v>
      </c>
      <c r="C86" s="59">
        <v>43962</v>
      </c>
      <c r="F86">
        <v>1023022652</v>
      </c>
      <c r="G86" t="s">
        <v>4155</v>
      </c>
      <c r="H86" s="59">
        <v>35611</v>
      </c>
      <c r="I86" s="59">
        <f t="shared" si="2"/>
        <v>35611</v>
      </c>
      <c r="J86" t="b">
        <f t="shared" si="3"/>
        <v>1</v>
      </c>
    </row>
    <row r="87" spans="2:10" hidden="1" x14ac:dyDescent="0.3">
      <c r="B87">
        <v>1016750611</v>
      </c>
      <c r="C87" s="59">
        <v>44098</v>
      </c>
      <c r="F87">
        <v>1027302696</v>
      </c>
      <c r="G87" t="s">
        <v>4156</v>
      </c>
      <c r="H87" s="59">
        <v>44150</v>
      </c>
      <c r="I87" s="59">
        <f t="shared" si="2"/>
        <v>44150</v>
      </c>
      <c r="J87" t="b">
        <f t="shared" si="3"/>
        <v>1</v>
      </c>
    </row>
    <row r="88" spans="2:10" hidden="1" x14ac:dyDescent="0.3">
      <c r="B88">
        <v>1016750794</v>
      </c>
      <c r="C88" s="59">
        <v>44137</v>
      </c>
      <c r="F88">
        <v>1023048255</v>
      </c>
      <c r="G88" t="s">
        <v>4157</v>
      </c>
      <c r="H88" s="59">
        <v>44649</v>
      </c>
      <c r="I88" s="59">
        <f t="shared" si="2"/>
        <v>44649</v>
      </c>
      <c r="J88" t="b">
        <f t="shared" si="3"/>
        <v>1</v>
      </c>
    </row>
    <row r="89" spans="2:10" hidden="1" x14ac:dyDescent="0.3">
      <c r="B89">
        <v>1016750852</v>
      </c>
      <c r="C89" s="59">
        <v>44144</v>
      </c>
      <c r="F89">
        <v>1029299640</v>
      </c>
      <c r="G89" t="s">
        <v>4158</v>
      </c>
      <c r="H89" s="59">
        <v>43872</v>
      </c>
      <c r="I89" s="59">
        <f t="shared" si="2"/>
        <v>43872</v>
      </c>
      <c r="J89" t="b">
        <f t="shared" si="3"/>
        <v>1</v>
      </c>
    </row>
    <row r="90" spans="2:10" hidden="1" x14ac:dyDescent="0.3">
      <c r="B90">
        <v>1016751226</v>
      </c>
      <c r="C90" s="59">
        <v>44209</v>
      </c>
      <c r="F90">
        <v>1140939471</v>
      </c>
      <c r="G90" t="s">
        <v>4159</v>
      </c>
      <c r="H90" s="59">
        <v>44084</v>
      </c>
      <c r="I90" s="59">
        <f t="shared" si="2"/>
        <v>44084</v>
      </c>
      <c r="J90" t="b">
        <f t="shared" si="3"/>
        <v>1</v>
      </c>
    </row>
    <row r="91" spans="2:10" hidden="1" x14ac:dyDescent="0.3">
      <c r="B91">
        <v>1016751329</v>
      </c>
      <c r="C91" s="59">
        <v>44224</v>
      </c>
      <c r="F91">
        <v>1243759568</v>
      </c>
      <c r="G91" t="s">
        <v>4020</v>
      </c>
      <c r="H91" s="59">
        <v>44218</v>
      </c>
      <c r="I91" s="59">
        <f t="shared" si="2"/>
        <v>44218</v>
      </c>
      <c r="J91" t="b">
        <f t="shared" si="3"/>
        <v>1</v>
      </c>
    </row>
    <row r="92" spans="2:10" hidden="1" x14ac:dyDescent="0.3">
      <c r="B92">
        <v>1016751379</v>
      </c>
      <c r="C92" s="59">
        <v>44237</v>
      </c>
      <c r="F92">
        <v>1206227830</v>
      </c>
      <c r="G92" t="s">
        <v>3821</v>
      </c>
      <c r="H92" s="59">
        <v>44593</v>
      </c>
      <c r="I92" s="59">
        <f t="shared" si="2"/>
        <v>44593</v>
      </c>
      <c r="J92" t="b">
        <f t="shared" si="3"/>
        <v>1</v>
      </c>
    </row>
    <row r="93" spans="2:10" hidden="1" x14ac:dyDescent="0.3">
      <c r="B93">
        <v>1016751403</v>
      </c>
      <c r="C93" s="59">
        <v>44238</v>
      </c>
      <c r="F93">
        <v>1245080145</v>
      </c>
      <c r="G93" t="s">
        <v>4412</v>
      </c>
      <c r="H93" s="59">
        <v>44850</v>
      </c>
      <c r="I93" s="59">
        <f t="shared" si="2"/>
        <v>44850</v>
      </c>
      <c r="J93" t="b">
        <f t="shared" si="3"/>
        <v>1</v>
      </c>
    </row>
    <row r="94" spans="2:10" hidden="1" x14ac:dyDescent="0.3">
      <c r="B94">
        <v>1016752849</v>
      </c>
      <c r="C94" s="59">
        <v>44459</v>
      </c>
      <c r="F94">
        <v>1023049140</v>
      </c>
      <c r="G94" t="s">
        <v>4413</v>
      </c>
      <c r="H94" s="59">
        <v>44820</v>
      </c>
      <c r="I94" s="59">
        <f t="shared" si="2"/>
        <v>44820</v>
      </c>
      <c r="J94" t="b">
        <f t="shared" si="3"/>
        <v>1</v>
      </c>
    </row>
    <row r="95" spans="2:10" hidden="1" x14ac:dyDescent="0.3">
      <c r="B95">
        <v>1016753171</v>
      </c>
      <c r="C95" s="59">
        <v>44530</v>
      </c>
      <c r="F95">
        <v>1243861239</v>
      </c>
      <c r="G95" t="s">
        <v>4162</v>
      </c>
      <c r="H95" s="59">
        <v>44796</v>
      </c>
      <c r="I95" s="59">
        <f t="shared" si="2"/>
        <v>44796</v>
      </c>
      <c r="J95" t="b">
        <f t="shared" si="3"/>
        <v>1</v>
      </c>
    </row>
    <row r="96" spans="2:10" hidden="1" x14ac:dyDescent="0.3">
      <c r="B96">
        <v>1016753638</v>
      </c>
      <c r="C96" s="59">
        <v>44619</v>
      </c>
      <c r="F96">
        <v>1023990542</v>
      </c>
      <c r="G96" t="s">
        <v>4163</v>
      </c>
      <c r="H96" s="59">
        <v>44632</v>
      </c>
      <c r="I96" s="59">
        <f t="shared" si="2"/>
        <v>44632</v>
      </c>
      <c r="J96" t="b">
        <f t="shared" si="3"/>
        <v>1</v>
      </c>
    </row>
    <row r="97" spans="2:10" hidden="1" x14ac:dyDescent="0.3">
      <c r="B97">
        <v>1016921602</v>
      </c>
      <c r="C97" s="59">
        <v>43895</v>
      </c>
      <c r="F97">
        <v>1243860608</v>
      </c>
      <c r="G97" t="s">
        <v>4164</v>
      </c>
      <c r="H97" s="59">
        <v>44424</v>
      </c>
      <c r="I97" s="59">
        <f t="shared" si="2"/>
        <v>44424</v>
      </c>
      <c r="J97" t="b">
        <f t="shared" si="3"/>
        <v>1</v>
      </c>
    </row>
    <row r="98" spans="2:10" hidden="1" x14ac:dyDescent="0.3">
      <c r="B98">
        <v>1016968973</v>
      </c>
      <c r="C98" s="59">
        <v>44002</v>
      </c>
      <c r="F98">
        <v>1049663473</v>
      </c>
      <c r="G98" t="s">
        <v>4165</v>
      </c>
      <c r="H98" s="59">
        <v>44366</v>
      </c>
      <c r="I98" s="59">
        <f t="shared" si="2"/>
        <v>44366</v>
      </c>
      <c r="J98" t="b">
        <f t="shared" si="3"/>
        <v>1</v>
      </c>
    </row>
    <row r="99" spans="2:10" hidden="1" x14ac:dyDescent="0.3">
      <c r="B99">
        <v>1016969726</v>
      </c>
      <c r="C99" s="59">
        <v>44104</v>
      </c>
      <c r="F99">
        <v>1026309444</v>
      </c>
      <c r="G99" t="s">
        <v>4166</v>
      </c>
      <c r="H99" s="59">
        <v>44188</v>
      </c>
      <c r="I99" s="59">
        <f t="shared" si="2"/>
        <v>44188</v>
      </c>
      <c r="J99" t="b">
        <f t="shared" si="3"/>
        <v>1</v>
      </c>
    </row>
    <row r="100" spans="2:10" hidden="1" x14ac:dyDescent="0.3">
      <c r="B100">
        <v>1018519455</v>
      </c>
      <c r="C100" s="59">
        <v>44235</v>
      </c>
      <c r="F100">
        <v>1026309443</v>
      </c>
      <c r="G100" t="s">
        <v>4167</v>
      </c>
      <c r="H100" s="59">
        <v>44188</v>
      </c>
      <c r="I100" s="59">
        <f t="shared" si="2"/>
        <v>44188</v>
      </c>
      <c r="J100" t="b">
        <f t="shared" si="3"/>
        <v>1</v>
      </c>
    </row>
    <row r="101" spans="2:10" hidden="1" x14ac:dyDescent="0.3">
      <c r="B101">
        <v>1018519864</v>
      </c>
      <c r="C101" s="59">
        <v>44419</v>
      </c>
      <c r="F101">
        <v>1023048955</v>
      </c>
      <c r="G101" t="s">
        <v>4168</v>
      </c>
      <c r="H101" s="59">
        <v>44776</v>
      </c>
      <c r="I101" s="59">
        <f t="shared" si="2"/>
        <v>44776</v>
      </c>
      <c r="J101" t="b">
        <f t="shared" si="3"/>
        <v>1</v>
      </c>
    </row>
    <row r="102" spans="2:10" hidden="1" x14ac:dyDescent="0.3">
      <c r="B102">
        <v>1019160101</v>
      </c>
      <c r="C102" s="59">
        <v>44339</v>
      </c>
      <c r="F102">
        <v>1023048337</v>
      </c>
      <c r="G102" t="s">
        <v>4169</v>
      </c>
      <c r="H102" s="59">
        <v>44666</v>
      </c>
      <c r="I102" s="59">
        <f t="shared" si="2"/>
        <v>44666</v>
      </c>
      <c r="J102" t="b">
        <f t="shared" si="3"/>
        <v>1</v>
      </c>
    </row>
    <row r="103" spans="2:10" hidden="1" x14ac:dyDescent="0.3">
      <c r="B103">
        <v>1021319533</v>
      </c>
      <c r="C103" s="59">
        <v>44615</v>
      </c>
      <c r="F103">
        <v>1023422698</v>
      </c>
      <c r="G103" t="s">
        <v>4170</v>
      </c>
      <c r="H103" s="59">
        <v>44712</v>
      </c>
      <c r="I103" s="59">
        <f t="shared" si="2"/>
        <v>44712</v>
      </c>
      <c r="J103" t="b">
        <f t="shared" si="3"/>
        <v>1</v>
      </c>
    </row>
    <row r="104" spans="2:10" hidden="1" x14ac:dyDescent="0.3">
      <c r="B104">
        <v>1021515724</v>
      </c>
      <c r="C104" s="59">
        <v>44672</v>
      </c>
      <c r="F104">
        <v>1074161366</v>
      </c>
      <c r="G104" t="s">
        <v>4171</v>
      </c>
      <c r="H104" s="59">
        <v>44702</v>
      </c>
      <c r="I104" s="59">
        <f t="shared" si="2"/>
        <v>44702</v>
      </c>
      <c r="J104" t="b">
        <f t="shared" si="3"/>
        <v>1</v>
      </c>
    </row>
    <row r="105" spans="2:10" hidden="1" x14ac:dyDescent="0.3">
      <c r="B105">
        <v>1021694945</v>
      </c>
      <c r="C105" s="59">
        <v>43890</v>
      </c>
      <c r="F105">
        <v>1023048697</v>
      </c>
      <c r="G105" t="s">
        <v>4172</v>
      </c>
      <c r="H105" s="59">
        <v>44724</v>
      </c>
      <c r="I105" s="59">
        <f t="shared" si="2"/>
        <v>44724</v>
      </c>
      <c r="J105" t="b">
        <f t="shared" si="3"/>
        <v>1</v>
      </c>
    </row>
    <row r="106" spans="2:10" hidden="1" x14ac:dyDescent="0.3">
      <c r="B106">
        <v>1021695137</v>
      </c>
      <c r="C106" s="59">
        <v>43953</v>
      </c>
      <c r="F106">
        <v>1021319533</v>
      </c>
      <c r="G106" t="s">
        <v>4173</v>
      </c>
      <c r="H106" s="59">
        <v>44615</v>
      </c>
      <c r="I106" s="59">
        <f t="shared" si="2"/>
        <v>44615</v>
      </c>
      <c r="J106" t="b">
        <f t="shared" si="3"/>
        <v>1</v>
      </c>
    </row>
    <row r="107" spans="2:10" hidden="1" x14ac:dyDescent="0.3">
      <c r="B107">
        <v>1021696822</v>
      </c>
      <c r="C107" s="59">
        <v>44527</v>
      </c>
      <c r="F107">
        <v>1032514103</v>
      </c>
      <c r="G107" t="s">
        <v>4174</v>
      </c>
      <c r="H107" s="59">
        <v>44466</v>
      </c>
      <c r="I107" s="59">
        <f t="shared" si="2"/>
        <v>44466</v>
      </c>
      <c r="J107" t="b">
        <f t="shared" si="3"/>
        <v>1</v>
      </c>
    </row>
    <row r="108" spans="2:10" hidden="1" x14ac:dyDescent="0.3">
      <c r="B108">
        <v>1021696970</v>
      </c>
      <c r="C108" s="59">
        <v>44642</v>
      </c>
      <c r="F108">
        <v>1121975670</v>
      </c>
      <c r="G108" t="s">
        <v>4175</v>
      </c>
      <c r="H108" s="59">
        <v>44153</v>
      </c>
      <c r="I108" s="59">
        <f t="shared" si="2"/>
        <v>44153</v>
      </c>
      <c r="J108" t="b">
        <f t="shared" si="3"/>
        <v>1</v>
      </c>
    </row>
    <row r="109" spans="2:10" hidden="1" x14ac:dyDescent="0.3">
      <c r="B109">
        <v>1022451621</v>
      </c>
      <c r="C109" s="59">
        <v>44591</v>
      </c>
      <c r="F109">
        <v>1140938208</v>
      </c>
      <c r="G109" t="s">
        <v>4176</v>
      </c>
      <c r="H109" s="59">
        <v>43922</v>
      </c>
      <c r="I109" s="59">
        <f t="shared" si="2"/>
        <v>43922</v>
      </c>
      <c r="J109" t="b">
        <f t="shared" si="3"/>
        <v>1</v>
      </c>
    </row>
    <row r="110" spans="2:10" hidden="1" x14ac:dyDescent="0.3">
      <c r="B110">
        <v>1023041247</v>
      </c>
      <c r="C110" s="59">
        <v>43255</v>
      </c>
      <c r="F110">
        <v>1023045131</v>
      </c>
      <c r="G110" t="s">
        <v>4177</v>
      </c>
      <c r="H110" s="59">
        <v>43846</v>
      </c>
      <c r="I110" s="59">
        <f t="shared" si="2"/>
        <v>43846</v>
      </c>
      <c r="J110" t="b">
        <f t="shared" si="3"/>
        <v>1</v>
      </c>
    </row>
    <row r="111" spans="2:10" hidden="1" x14ac:dyDescent="0.3">
      <c r="B111">
        <v>1023041908</v>
      </c>
      <c r="C111" s="59">
        <v>43366</v>
      </c>
      <c r="F111">
        <v>1023045915</v>
      </c>
      <c r="G111" t="s">
        <v>4178</v>
      </c>
      <c r="H111" s="59">
        <v>44144</v>
      </c>
      <c r="I111" s="59">
        <f t="shared" si="2"/>
        <v>44144</v>
      </c>
      <c r="J111" t="b">
        <f t="shared" si="3"/>
        <v>1</v>
      </c>
    </row>
    <row r="112" spans="2:10" hidden="1" x14ac:dyDescent="0.3">
      <c r="B112">
        <v>1023042724</v>
      </c>
      <c r="C112" s="59">
        <v>43499</v>
      </c>
      <c r="F112">
        <v>1023046429</v>
      </c>
      <c r="G112" t="s">
        <v>4179</v>
      </c>
      <c r="H112" s="59">
        <v>44252</v>
      </c>
      <c r="I112" s="59">
        <f t="shared" si="2"/>
        <v>44252</v>
      </c>
      <c r="J112" t="b">
        <f t="shared" si="3"/>
        <v>1</v>
      </c>
    </row>
    <row r="113" spans="2:10" hidden="1" x14ac:dyDescent="0.3">
      <c r="B113">
        <v>1023043525</v>
      </c>
      <c r="C113" s="59">
        <v>43617</v>
      </c>
      <c r="F113">
        <v>1010252069</v>
      </c>
      <c r="G113" t="s">
        <v>4180</v>
      </c>
      <c r="H113" s="59">
        <v>44355</v>
      </c>
      <c r="I113" s="59">
        <f t="shared" si="2"/>
        <v>44355</v>
      </c>
      <c r="J113" t="b">
        <f t="shared" si="3"/>
        <v>1</v>
      </c>
    </row>
    <row r="114" spans="2:10" hidden="1" x14ac:dyDescent="0.3">
      <c r="B114">
        <v>1023043960</v>
      </c>
      <c r="C114" s="59">
        <v>43684</v>
      </c>
      <c r="F114">
        <v>1243858756</v>
      </c>
      <c r="G114" t="s">
        <v>4181</v>
      </c>
      <c r="H114" s="59">
        <v>43992</v>
      </c>
      <c r="I114" s="59">
        <f t="shared" si="2"/>
        <v>43992</v>
      </c>
      <c r="J114" t="b">
        <f t="shared" si="3"/>
        <v>1</v>
      </c>
    </row>
    <row r="115" spans="2:10" hidden="1" x14ac:dyDescent="0.3">
      <c r="B115">
        <v>1023043961</v>
      </c>
      <c r="C115" s="59">
        <v>43684</v>
      </c>
      <c r="F115">
        <v>1243859520</v>
      </c>
      <c r="G115" t="s">
        <v>4182</v>
      </c>
      <c r="H115" s="59">
        <v>44082</v>
      </c>
      <c r="I115" s="59">
        <f t="shared" si="2"/>
        <v>44082</v>
      </c>
      <c r="J115" t="b">
        <f t="shared" si="3"/>
        <v>1</v>
      </c>
    </row>
    <row r="116" spans="2:10" hidden="1" x14ac:dyDescent="0.3">
      <c r="B116">
        <v>1023043988</v>
      </c>
      <c r="C116" s="59">
        <v>43690</v>
      </c>
      <c r="F116">
        <v>1010250157</v>
      </c>
      <c r="G116" t="s">
        <v>4183</v>
      </c>
      <c r="H116" s="59">
        <v>43586</v>
      </c>
      <c r="I116" s="59">
        <f t="shared" si="2"/>
        <v>43586</v>
      </c>
      <c r="J116" t="b">
        <f t="shared" si="3"/>
        <v>1</v>
      </c>
    </row>
    <row r="117" spans="2:10" hidden="1" x14ac:dyDescent="0.3">
      <c r="B117">
        <v>1023044204</v>
      </c>
      <c r="C117" s="59">
        <v>43715</v>
      </c>
      <c r="F117">
        <v>1023047348</v>
      </c>
      <c r="G117" t="s">
        <v>3859</v>
      </c>
      <c r="H117" s="59">
        <v>44456</v>
      </c>
      <c r="I117" s="59">
        <f t="shared" si="2"/>
        <v>44456</v>
      </c>
      <c r="J117" t="b">
        <f t="shared" si="3"/>
        <v>1</v>
      </c>
    </row>
    <row r="118" spans="2:10" hidden="1" x14ac:dyDescent="0.3">
      <c r="B118">
        <v>1023044785</v>
      </c>
      <c r="C118" s="59">
        <v>43817</v>
      </c>
      <c r="F118">
        <v>1026310144</v>
      </c>
      <c r="G118" t="s">
        <v>3851</v>
      </c>
      <c r="H118" s="59">
        <v>44464</v>
      </c>
      <c r="I118" s="59">
        <f t="shared" si="2"/>
        <v>44464</v>
      </c>
      <c r="J118" t="b">
        <f t="shared" si="3"/>
        <v>1</v>
      </c>
    </row>
    <row r="119" spans="2:10" hidden="1" x14ac:dyDescent="0.3">
      <c r="B119">
        <v>1023044822</v>
      </c>
      <c r="C119" s="59">
        <v>43763</v>
      </c>
      <c r="F119">
        <v>1150190022</v>
      </c>
      <c r="G119" t="s">
        <v>4184</v>
      </c>
      <c r="H119" s="59">
        <v>44200</v>
      </c>
      <c r="I119" s="59">
        <f t="shared" si="2"/>
        <v>44200</v>
      </c>
      <c r="J119" t="b">
        <f t="shared" si="3"/>
        <v>1</v>
      </c>
    </row>
    <row r="120" spans="2:10" hidden="1" x14ac:dyDescent="0.3">
      <c r="B120">
        <v>1023045008</v>
      </c>
      <c r="C120" s="59">
        <v>43771</v>
      </c>
      <c r="F120">
        <v>1048945559</v>
      </c>
      <c r="G120" t="s">
        <v>4414</v>
      </c>
      <c r="H120" s="59">
        <v>44422</v>
      </c>
      <c r="I120" s="59">
        <f t="shared" si="2"/>
        <v>44422</v>
      </c>
      <c r="J120" t="b">
        <f t="shared" si="3"/>
        <v>1</v>
      </c>
    </row>
    <row r="121" spans="2:10" hidden="1" x14ac:dyDescent="0.3">
      <c r="B121">
        <v>1023045054</v>
      </c>
      <c r="C121" s="59">
        <v>43839</v>
      </c>
      <c r="F121">
        <v>1026603423</v>
      </c>
      <c r="G121" t="s">
        <v>3997</v>
      </c>
      <c r="H121" s="59">
        <v>44343</v>
      </c>
      <c r="I121" s="59">
        <f t="shared" si="2"/>
        <v>44343</v>
      </c>
      <c r="J121" t="b">
        <f t="shared" si="3"/>
        <v>1</v>
      </c>
    </row>
    <row r="122" spans="2:10" hidden="1" x14ac:dyDescent="0.3">
      <c r="B122">
        <v>1023045131</v>
      </c>
      <c r="C122" s="59">
        <v>43846</v>
      </c>
      <c r="F122">
        <v>1023045870</v>
      </c>
      <c r="G122" t="s">
        <v>4186</v>
      </c>
      <c r="H122" s="59">
        <v>44132</v>
      </c>
      <c r="I122" s="59">
        <f t="shared" si="2"/>
        <v>44132</v>
      </c>
      <c r="J122" t="b">
        <f t="shared" si="3"/>
        <v>1</v>
      </c>
    </row>
    <row r="123" spans="2:10" hidden="1" x14ac:dyDescent="0.3">
      <c r="B123">
        <v>1023045269</v>
      </c>
      <c r="C123" s="59">
        <v>43872</v>
      </c>
      <c r="F123">
        <v>1023047163</v>
      </c>
      <c r="G123" t="s">
        <v>3976</v>
      </c>
      <c r="H123" s="59">
        <v>44432</v>
      </c>
      <c r="I123" s="59">
        <f t="shared" si="2"/>
        <v>44432</v>
      </c>
      <c r="J123" t="b">
        <f t="shared" si="3"/>
        <v>1</v>
      </c>
    </row>
    <row r="124" spans="2:10" hidden="1" x14ac:dyDescent="0.3">
      <c r="B124">
        <v>1023045428</v>
      </c>
      <c r="C124" s="59">
        <v>44055</v>
      </c>
      <c r="F124">
        <v>1245078348</v>
      </c>
      <c r="G124" t="s">
        <v>4415</v>
      </c>
      <c r="H124" s="59">
        <v>44185</v>
      </c>
      <c r="I124" s="59">
        <f t="shared" si="2"/>
        <v>44172</v>
      </c>
      <c r="J124" t="b">
        <f t="shared" si="3"/>
        <v>0</v>
      </c>
    </row>
    <row r="125" spans="2:10" hidden="1" x14ac:dyDescent="0.3">
      <c r="B125">
        <v>1023045458</v>
      </c>
      <c r="C125" s="59">
        <v>44068</v>
      </c>
      <c r="F125">
        <v>1016753638</v>
      </c>
      <c r="G125" t="s">
        <v>4188</v>
      </c>
      <c r="H125" s="59">
        <v>44619</v>
      </c>
      <c r="I125" s="59">
        <f t="shared" si="2"/>
        <v>44619</v>
      </c>
      <c r="J125" t="b">
        <f t="shared" si="3"/>
        <v>1</v>
      </c>
    </row>
    <row r="126" spans="2:10" hidden="1" x14ac:dyDescent="0.3">
      <c r="B126">
        <v>1023045681</v>
      </c>
      <c r="C126" s="59">
        <v>44128</v>
      </c>
      <c r="F126">
        <v>1243861036</v>
      </c>
      <c r="G126" t="s">
        <v>4189</v>
      </c>
      <c r="H126" s="59">
        <v>44651</v>
      </c>
      <c r="I126" s="59">
        <f t="shared" si="2"/>
        <v>44651</v>
      </c>
      <c r="J126" t="b">
        <f t="shared" si="3"/>
        <v>1</v>
      </c>
    </row>
    <row r="127" spans="2:10" hidden="1" x14ac:dyDescent="0.3">
      <c r="B127">
        <v>1023045733</v>
      </c>
      <c r="C127" s="59">
        <v>44130</v>
      </c>
      <c r="F127">
        <v>1023047998</v>
      </c>
      <c r="G127" t="s">
        <v>4190</v>
      </c>
      <c r="H127" s="59">
        <v>44617</v>
      </c>
      <c r="I127" s="59">
        <f t="shared" si="2"/>
        <v>44617</v>
      </c>
      <c r="J127" t="b">
        <f t="shared" si="3"/>
        <v>1</v>
      </c>
    </row>
    <row r="128" spans="2:10" hidden="1" x14ac:dyDescent="0.3">
      <c r="B128">
        <v>1023045790</v>
      </c>
      <c r="C128" s="59">
        <v>44152</v>
      </c>
      <c r="F128">
        <v>1023047672</v>
      </c>
      <c r="G128" t="s">
        <v>3840</v>
      </c>
      <c r="H128" s="59">
        <v>44559</v>
      </c>
      <c r="I128" s="59">
        <f t="shared" si="2"/>
        <v>44559</v>
      </c>
      <c r="J128" t="b">
        <f t="shared" si="3"/>
        <v>1</v>
      </c>
    </row>
    <row r="129" spans="2:10" hidden="1" x14ac:dyDescent="0.3">
      <c r="B129">
        <v>1023045825</v>
      </c>
      <c r="C129" s="59">
        <v>44150</v>
      </c>
      <c r="F129">
        <v>1022451621</v>
      </c>
      <c r="G129" t="s">
        <v>4191</v>
      </c>
      <c r="H129" s="59">
        <v>44591</v>
      </c>
      <c r="I129" s="59">
        <f t="shared" si="2"/>
        <v>44591</v>
      </c>
      <c r="J129" t="b">
        <f t="shared" si="3"/>
        <v>1</v>
      </c>
    </row>
    <row r="130" spans="2:10" hidden="1" x14ac:dyDescent="0.3">
      <c r="B130">
        <v>1023045860</v>
      </c>
      <c r="C130" s="59">
        <v>44159</v>
      </c>
      <c r="F130">
        <v>1023047935</v>
      </c>
      <c r="G130" t="s">
        <v>3820</v>
      </c>
      <c r="H130" s="59">
        <v>44574</v>
      </c>
      <c r="I130" s="59">
        <f t="shared" si="2"/>
        <v>44574</v>
      </c>
      <c r="J130" t="b">
        <f t="shared" si="3"/>
        <v>1</v>
      </c>
    </row>
    <row r="131" spans="2:10" hidden="1" x14ac:dyDescent="0.3">
      <c r="B131">
        <v>1023045870</v>
      </c>
      <c r="C131" s="59">
        <v>44132</v>
      </c>
      <c r="F131">
        <v>1011261221</v>
      </c>
      <c r="G131" t="s">
        <v>3852</v>
      </c>
      <c r="H131" s="59">
        <v>44474</v>
      </c>
      <c r="I131" s="59">
        <f t="shared" ref="I131:I194" si="4">VLOOKUP(F131,B:D,2,0)</f>
        <v>44474</v>
      </c>
      <c r="J131" t="b">
        <f t="shared" ref="J131:J194" si="5">H131=I131</f>
        <v>1</v>
      </c>
    </row>
    <row r="132" spans="2:10" hidden="1" x14ac:dyDescent="0.3">
      <c r="B132">
        <v>1023045906</v>
      </c>
      <c r="C132" s="59">
        <v>44154</v>
      </c>
      <c r="F132">
        <v>1023047101</v>
      </c>
      <c r="G132" t="s">
        <v>3975</v>
      </c>
      <c r="H132" s="59">
        <v>44435</v>
      </c>
      <c r="I132" s="59">
        <f t="shared" si="4"/>
        <v>44435</v>
      </c>
      <c r="J132" t="b">
        <f t="shared" si="5"/>
        <v>1</v>
      </c>
    </row>
    <row r="133" spans="2:10" hidden="1" x14ac:dyDescent="0.3">
      <c r="B133">
        <v>1023045915</v>
      </c>
      <c r="C133" s="59">
        <v>44144</v>
      </c>
      <c r="F133">
        <v>1023046416</v>
      </c>
      <c r="G133" t="s">
        <v>4013</v>
      </c>
      <c r="H133" s="59">
        <v>44273</v>
      </c>
      <c r="I133" s="59">
        <f t="shared" si="4"/>
        <v>44273</v>
      </c>
      <c r="J133" t="b">
        <f t="shared" si="5"/>
        <v>1</v>
      </c>
    </row>
    <row r="134" spans="2:10" hidden="1" x14ac:dyDescent="0.3">
      <c r="B134">
        <v>1023045953</v>
      </c>
      <c r="C134" s="59">
        <v>44160</v>
      </c>
      <c r="F134">
        <v>1023046885</v>
      </c>
      <c r="G134" t="s">
        <v>3991</v>
      </c>
      <c r="H134" s="59">
        <v>44384</v>
      </c>
      <c r="I134" s="59">
        <f t="shared" si="4"/>
        <v>44384</v>
      </c>
      <c r="J134" t="b">
        <f t="shared" si="5"/>
        <v>1</v>
      </c>
    </row>
    <row r="135" spans="2:10" hidden="1" x14ac:dyDescent="0.3">
      <c r="B135">
        <v>1023046020</v>
      </c>
      <c r="C135" s="59">
        <v>44174</v>
      </c>
      <c r="F135">
        <v>1023043961</v>
      </c>
      <c r="G135" t="s">
        <v>4192</v>
      </c>
      <c r="H135" s="59">
        <v>43684</v>
      </c>
      <c r="I135" s="59">
        <f t="shared" si="4"/>
        <v>43684</v>
      </c>
      <c r="J135" t="b">
        <f t="shared" si="5"/>
        <v>1</v>
      </c>
    </row>
    <row r="136" spans="2:10" hidden="1" x14ac:dyDescent="0.3">
      <c r="B136">
        <v>1023046103</v>
      </c>
      <c r="C136" s="59">
        <v>44193</v>
      </c>
      <c r="F136">
        <v>1243859333</v>
      </c>
      <c r="G136" t="s">
        <v>4193</v>
      </c>
      <c r="H136" s="59">
        <v>44073</v>
      </c>
      <c r="I136" s="59">
        <f t="shared" si="4"/>
        <v>44073</v>
      </c>
      <c r="J136" t="b">
        <f t="shared" si="5"/>
        <v>1</v>
      </c>
    </row>
    <row r="137" spans="2:10" hidden="1" x14ac:dyDescent="0.3">
      <c r="B137">
        <v>1023046119</v>
      </c>
      <c r="C137" s="59">
        <v>44173</v>
      </c>
      <c r="F137">
        <v>1122541025</v>
      </c>
      <c r="G137" t="s">
        <v>4194</v>
      </c>
      <c r="H137" s="59">
        <v>44293</v>
      </c>
      <c r="I137" s="59">
        <f t="shared" si="4"/>
        <v>44293</v>
      </c>
      <c r="J137" t="b">
        <f t="shared" si="5"/>
        <v>1</v>
      </c>
    </row>
    <row r="138" spans="2:10" hidden="1" x14ac:dyDescent="0.3">
      <c r="B138">
        <v>1023046195</v>
      </c>
      <c r="C138" s="59">
        <v>44235</v>
      </c>
      <c r="F138">
        <v>1116557589</v>
      </c>
      <c r="G138" t="s">
        <v>4006</v>
      </c>
      <c r="H138" s="59">
        <v>44325</v>
      </c>
      <c r="I138" s="59">
        <f t="shared" si="4"/>
        <v>44325</v>
      </c>
      <c r="J138" t="b">
        <f t="shared" si="5"/>
        <v>1</v>
      </c>
    </row>
    <row r="139" spans="2:10" hidden="1" x14ac:dyDescent="0.3">
      <c r="B139">
        <v>1023046253</v>
      </c>
      <c r="C139" s="59">
        <v>44236</v>
      </c>
      <c r="F139">
        <v>1023046833</v>
      </c>
      <c r="G139" t="s">
        <v>4002</v>
      </c>
      <c r="H139" s="59">
        <v>44345</v>
      </c>
      <c r="I139" s="59">
        <f t="shared" si="4"/>
        <v>44345</v>
      </c>
      <c r="J139" t="b">
        <f t="shared" si="5"/>
        <v>1</v>
      </c>
    </row>
    <row r="140" spans="2:10" hidden="1" x14ac:dyDescent="0.3">
      <c r="B140">
        <v>1023046277</v>
      </c>
      <c r="C140" s="59">
        <v>44247</v>
      </c>
      <c r="F140">
        <v>1082161099</v>
      </c>
      <c r="G140" t="s">
        <v>4195</v>
      </c>
      <c r="H140" s="59">
        <v>44000</v>
      </c>
      <c r="I140" s="59">
        <f t="shared" si="4"/>
        <v>44000</v>
      </c>
      <c r="J140" t="b">
        <f t="shared" si="5"/>
        <v>1</v>
      </c>
    </row>
    <row r="141" spans="2:10" hidden="1" x14ac:dyDescent="0.3">
      <c r="B141">
        <v>1023046291</v>
      </c>
      <c r="C141" s="59">
        <v>44221</v>
      </c>
      <c r="F141">
        <v>1023046763</v>
      </c>
      <c r="G141" t="s">
        <v>4196</v>
      </c>
      <c r="H141" s="59">
        <v>44270</v>
      </c>
      <c r="I141" s="59">
        <f t="shared" si="4"/>
        <v>44270</v>
      </c>
      <c r="J141" t="b">
        <f t="shared" si="5"/>
        <v>1</v>
      </c>
    </row>
    <row r="142" spans="2:10" hidden="1" x14ac:dyDescent="0.3">
      <c r="B142">
        <v>1023046352</v>
      </c>
      <c r="C142" s="59">
        <v>44241</v>
      </c>
      <c r="F142">
        <v>1021696970</v>
      </c>
      <c r="G142" t="s">
        <v>4197</v>
      </c>
      <c r="H142" s="59">
        <v>44642</v>
      </c>
      <c r="I142" s="59">
        <f t="shared" si="4"/>
        <v>44642</v>
      </c>
      <c r="J142" t="b">
        <f t="shared" si="5"/>
        <v>1</v>
      </c>
    </row>
    <row r="143" spans="2:10" hidden="1" x14ac:dyDescent="0.3">
      <c r="B143">
        <v>1023046387</v>
      </c>
      <c r="C143" s="59">
        <v>44683</v>
      </c>
      <c r="F143">
        <v>1033830288</v>
      </c>
      <c r="G143" t="s">
        <v>4198</v>
      </c>
      <c r="H143" s="59">
        <v>44400</v>
      </c>
      <c r="I143" s="59">
        <f t="shared" si="4"/>
        <v>44400</v>
      </c>
      <c r="J143" t="b">
        <f t="shared" si="5"/>
        <v>1</v>
      </c>
    </row>
    <row r="144" spans="2:10" hidden="1" x14ac:dyDescent="0.3">
      <c r="B144">
        <v>1023046401</v>
      </c>
      <c r="C144" s="59">
        <v>44256</v>
      </c>
      <c r="F144">
        <v>1028675820</v>
      </c>
      <c r="G144" t="s">
        <v>4199</v>
      </c>
      <c r="H144" s="59">
        <v>44718</v>
      </c>
      <c r="I144" s="59">
        <f t="shared" si="4"/>
        <v>44718</v>
      </c>
      <c r="J144" t="b">
        <f t="shared" si="5"/>
        <v>1</v>
      </c>
    </row>
    <row r="145" spans="2:10" hidden="1" x14ac:dyDescent="0.3">
      <c r="B145">
        <v>1023046416</v>
      </c>
      <c r="C145" s="59">
        <v>44273</v>
      </c>
      <c r="F145">
        <v>1023047812</v>
      </c>
      <c r="G145" t="s">
        <v>3900</v>
      </c>
      <c r="H145" s="59">
        <v>44578</v>
      </c>
      <c r="I145" s="59">
        <f t="shared" si="4"/>
        <v>44578</v>
      </c>
      <c r="J145" t="b">
        <f t="shared" si="5"/>
        <v>1</v>
      </c>
    </row>
    <row r="146" spans="2:10" hidden="1" x14ac:dyDescent="0.3">
      <c r="B146">
        <v>1023046429</v>
      </c>
      <c r="C146" s="59">
        <v>44252</v>
      </c>
      <c r="F146">
        <v>1021515724</v>
      </c>
      <c r="G146" t="s">
        <v>4200</v>
      </c>
      <c r="H146" s="59">
        <v>44672</v>
      </c>
      <c r="I146" s="59">
        <f t="shared" si="4"/>
        <v>44672</v>
      </c>
      <c r="J146" t="b">
        <f t="shared" si="5"/>
        <v>1</v>
      </c>
    </row>
    <row r="147" spans="2:10" hidden="1" x14ac:dyDescent="0.3">
      <c r="B147">
        <v>1023046490</v>
      </c>
      <c r="C147" s="59">
        <v>44278</v>
      </c>
      <c r="F147">
        <v>1243762294</v>
      </c>
      <c r="G147" t="s">
        <v>3896</v>
      </c>
      <c r="H147" s="59">
        <v>44594</v>
      </c>
      <c r="I147" s="59">
        <f t="shared" si="4"/>
        <v>44594</v>
      </c>
      <c r="J147" t="b">
        <f t="shared" si="5"/>
        <v>1</v>
      </c>
    </row>
    <row r="148" spans="2:10" hidden="1" x14ac:dyDescent="0.3">
      <c r="B148">
        <v>1023046494</v>
      </c>
      <c r="C148" s="59">
        <v>44244</v>
      </c>
      <c r="F148">
        <v>1023047162</v>
      </c>
      <c r="G148" t="s">
        <v>4201</v>
      </c>
      <c r="H148" s="59">
        <v>44435</v>
      </c>
      <c r="I148" s="59">
        <f t="shared" si="4"/>
        <v>44435</v>
      </c>
      <c r="J148" t="b">
        <f t="shared" si="5"/>
        <v>1</v>
      </c>
    </row>
    <row r="149" spans="2:10" hidden="1" x14ac:dyDescent="0.3">
      <c r="B149">
        <v>1023046500</v>
      </c>
      <c r="C149" s="59">
        <v>44280</v>
      </c>
      <c r="F149">
        <v>1243860582</v>
      </c>
      <c r="G149" t="s">
        <v>4202</v>
      </c>
      <c r="H149" s="59">
        <v>44431</v>
      </c>
      <c r="I149" s="59">
        <f t="shared" si="4"/>
        <v>44431</v>
      </c>
      <c r="J149" t="b">
        <f t="shared" si="5"/>
        <v>1</v>
      </c>
    </row>
    <row r="150" spans="2:10" hidden="1" x14ac:dyDescent="0.3">
      <c r="B150">
        <v>1023046582</v>
      </c>
      <c r="C150" s="59">
        <v>44303</v>
      </c>
      <c r="F150">
        <v>1023045860</v>
      </c>
      <c r="G150" t="s">
        <v>4203</v>
      </c>
      <c r="H150" s="59">
        <v>44159</v>
      </c>
      <c r="I150" s="59">
        <f t="shared" si="4"/>
        <v>44159</v>
      </c>
      <c r="J150" t="b">
        <f t="shared" si="5"/>
        <v>1</v>
      </c>
    </row>
    <row r="151" spans="2:10" hidden="1" x14ac:dyDescent="0.3">
      <c r="B151">
        <v>1023046673</v>
      </c>
      <c r="C151" s="59">
        <v>44338</v>
      </c>
      <c r="F151">
        <v>1023045953</v>
      </c>
      <c r="G151" t="s">
        <v>4204</v>
      </c>
      <c r="H151" s="59">
        <v>44160</v>
      </c>
      <c r="I151" s="59">
        <f t="shared" si="4"/>
        <v>44160</v>
      </c>
      <c r="J151" t="b">
        <f t="shared" si="5"/>
        <v>1</v>
      </c>
    </row>
    <row r="152" spans="2:10" hidden="1" x14ac:dyDescent="0.3">
      <c r="B152">
        <v>1023046704</v>
      </c>
      <c r="C152" s="59">
        <v>44348</v>
      </c>
      <c r="F152">
        <v>1023049104</v>
      </c>
      <c r="G152" t="s">
        <v>4416</v>
      </c>
      <c r="H152" s="59">
        <v>44813</v>
      </c>
      <c r="I152" s="59">
        <f t="shared" si="4"/>
        <v>44813</v>
      </c>
      <c r="J152" t="b">
        <f t="shared" si="5"/>
        <v>1</v>
      </c>
    </row>
    <row r="153" spans="2:10" hidden="1" x14ac:dyDescent="0.3">
      <c r="B153">
        <v>1023046743</v>
      </c>
      <c r="C153" s="59">
        <v>44301</v>
      </c>
      <c r="F153">
        <v>1245079953</v>
      </c>
      <c r="G153" t="s">
        <v>4206</v>
      </c>
      <c r="H153" s="59">
        <v>44777</v>
      </c>
      <c r="I153" s="59">
        <f t="shared" si="4"/>
        <v>44777</v>
      </c>
      <c r="J153" t="b">
        <f t="shared" si="5"/>
        <v>1</v>
      </c>
    </row>
    <row r="154" spans="2:10" hidden="1" x14ac:dyDescent="0.3">
      <c r="B154">
        <v>1023046763</v>
      </c>
      <c r="C154" s="59">
        <v>44270</v>
      </c>
      <c r="F154">
        <v>1023046743</v>
      </c>
      <c r="G154" t="s">
        <v>4207</v>
      </c>
      <c r="H154" s="59">
        <v>44301</v>
      </c>
      <c r="I154" s="59">
        <f t="shared" si="4"/>
        <v>44301</v>
      </c>
      <c r="J154" t="b">
        <f t="shared" si="5"/>
        <v>1</v>
      </c>
    </row>
    <row r="155" spans="2:10" hidden="1" x14ac:dyDescent="0.3">
      <c r="B155">
        <v>1023046801</v>
      </c>
      <c r="C155" s="59">
        <v>44309</v>
      </c>
      <c r="F155">
        <v>1023046832</v>
      </c>
      <c r="G155" t="s">
        <v>4208</v>
      </c>
      <c r="H155" s="59">
        <v>44371</v>
      </c>
      <c r="I155" s="59">
        <f t="shared" si="4"/>
        <v>44371</v>
      </c>
      <c r="J155" t="b">
        <f t="shared" si="5"/>
        <v>1</v>
      </c>
    </row>
    <row r="156" spans="2:10" hidden="1" x14ac:dyDescent="0.3">
      <c r="B156">
        <v>1023046832</v>
      </c>
      <c r="C156" s="59">
        <v>44371</v>
      </c>
      <c r="F156">
        <v>1016968973</v>
      </c>
      <c r="G156" t="s">
        <v>4209</v>
      </c>
      <c r="H156" s="59">
        <v>44002</v>
      </c>
      <c r="I156" s="59">
        <f t="shared" si="4"/>
        <v>44002</v>
      </c>
      <c r="J156" t="b">
        <f t="shared" si="5"/>
        <v>1</v>
      </c>
    </row>
    <row r="157" spans="2:10" hidden="1" x14ac:dyDescent="0.3">
      <c r="B157">
        <v>1023046833</v>
      </c>
      <c r="C157" s="59">
        <v>44345</v>
      </c>
      <c r="F157">
        <v>5866411</v>
      </c>
      <c r="G157" t="s">
        <v>4210</v>
      </c>
      <c r="H157" s="59">
        <v>44208</v>
      </c>
      <c r="I157" s="59">
        <f t="shared" si="4"/>
        <v>44208</v>
      </c>
      <c r="J157" t="b">
        <f t="shared" si="5"/>
        <v>1</v>
      </c>
    </row>
    <row r="158" spans="2:10" hidden="1" x14ac:dyDescent="0.3">
      <c r="B158">
        <v>1023046885</v>
      </c>
      <c r="C158" s="59">
        <v>44384</v>
      </c>
      <c r="F158">
        <v>1011259607</v>
      </c>
      <c r="G158" t="s">
        <v>4211</v>
      </c>
      <c r="H158" s="59">
        <v>44091</v>
      </c>
      <c r="I158" s="59">
        <f t="shared" si="4"/>
        <v>44091</v>
      </c>
      <c r="J158" t="b">
        <f t="shared" si="5"/>
        <v>1</v>
      </c>
    </row>
    <row r="159" spans="2:10" hidden="1" x14ac:dyDescent="0.3">
      <c r="B159">
        <v>1023046980</v>
      </c>
      <c r="C159" s="59">
        <v>44391</v>
      </c>
      <c r="F159">
        <v>1023046704</v>
      </c>
      <c r="G159" t="s">
        <v>4212</v>
      </c>
      <c r="H159" s="59">
        <v>44348</v>
      </c>
      <c r="I159" s="59">
        <f t="shared" si="4"/>
        <v>44348</v>
      </c>
      <c r="J159" t="b">
        <f t="shared" si="5"/>
        <v>1</v>
      </c>
    </row>
    <row r="160" spans="2:10" hidden="1" x14ac:dyDescent="0.3">
      <c r="B160">
        <v>1023046982</v>
      </c>
      <c r="C160" s="59">
        <v>44401</v>
      </c>
      <c r="F160">
        <v>1023047680</v>
      </c>
      <c r="G160" t="s">
        <v>4213</v>
      </c>
      <c r="H160" s="59">
        <v>44548</v>
      </c>
      <c r="I160" s="59">
        <f t="shared" si="4"/>
        <v>44548</v>
      </c>
      <c r="J160" t="b">
        <f t="shared" si="5"/>
        <v>1</v>
      </c>
    </row>
    <row r="161" spans="2:10" hidden="1" x14ac:dyDescent="0.3">
      <c r="B161">
        <v>1023047101</v>
      </c>
      <c r="C161" s="59">
        <v>44435</v>
      </c>
      <c r="F161">
        <v>1023045733</v>
      </c>
      <c r="G161" t="s">
        <v>4214</v>
      </c>
      <c r="H161" s="59">
        <v>44130</v>
      </c>
      <c r="I161" s="59">
        <f t="shared" si="4"/>
        <v>44130</v>
      </c>
      <c r="J161" t="b">
        <f t="shared" si="5"/>
        <v>1</v>
      </c>
    </row>
    <row r="162" spans="2:10" hidden="1" x14ac:dyDescent="0.3">
      <c r="B162">
        <v>1023047162</v>
      </c>
      <c r="C162" s="59">
        <v>44435</v>
      </c>
      <c r="F162">
        <v>1051681940</v>
      </c>
      <c r="G162" t="s">
        <v>4215</v>
      </c>
      <c r="H162" s="59">
        <v>44684</v>
      </c>
      <c r="I162" s="59">
        <f t="shared" si="4"/>
        <v>44684</v>
      </c>
      <c r="J162" t="b">
        <f t="shared" si="5"/>
        <v>1</v>
      </c>
    </row>
    <row r="163" spans="2:10" hidden="1" x14ac:dyDescent="0.3">
      <c r="B163">
        <v>1023047163</v>
      </c>
      <c r="C163" s="59">
        <v>44432</v>
      </c>
      <c r="F163">
        <v>1018519455</v>
      </c>
      <c r="G163" t="s">
        <v>4216</v>
      </c>
      <c r="H163" s="59">
        <v>44235</v>
      </c>
      <c r="I163" s="59">
        <f t="shared" si="4"/>
        <v>44235</v>
      </c>
      <c r="J163" t="b">
        <f t="shared" si="5"/>
        <v>1</v>
      </c>
    </row>
    <row r="164" spans="2:10" hidden="1" x14ac:dyDescent="0.3">
      <c r="B164">
        <v>1023047218</v>
      </c>
      <c r="C164" s="59">
        <v>44462</v>
      </c>
      <c r="F164">
        <v>1023043525</v>
      </c>
      <c r="G164" t="s">
        <v>4217</v>
      </c>
      <c r="H164" s="59">
        <v>43617</v>
      </c>
      <c r="I164" s="59">
        <f t="shared" si="4"/>
        <v>43617</v>
      </c>
      <c r="J164" t="b">
        <f t="shared" si="5"/>
        <v>1</v>
      </c>
    </row>
    <row r="165" spans="2:10" hidden="1" x14ac:dyDescent="0.3">
      <c r="B165">
        <v>1023047293</v>
      </c>
      <c r="C165" s="59">
        <v>44474</v>
      </c>
      <c r="F165">
        <v>1016750794</v>
      </c>
      <c r="G165" t="s">
        <v>4218</v>
      </c>
      <c r="H165" s="59">
        <v>44137</v>
      </c>
      <c r="I165" s="59">
        <f t="shared" si="4"/>
        <v>44137</v>
      </c>
      <c r="J165" t="b">
        <f t="shared" si="5"/>
        <v>1</v>
      </c>
    </row>
    <row r="166" spans="2:10" hidden="1" x14ac:dyDescent="0.3">
      <c r="B166">
        <v>1023047344</v>
      </c>
      <c r="C166" s="59">
        <v>44430</v>
      </c>
      <c r="F166">
        <v>1141371569</v>
      </c>
      <c r="G166" t="s">
        <v>4219</v>
      </c>
      <c r="H166" s="59">
        <v>43976</v>
      </c>
      <c r="I166" s="59">
        <f t="shared" si="4"/>
        <v>43976</v>
      </c>
      <c r="J166" t="b">
        <f t="shared" si="5"/>
        <v>1</v>
      </c>
    </row>
    <row r="167" spans="2:10" hidden="1" x14ac:dyDescent="0.3">
      <c r="B167">
        <v>1023047348</v>
      </c>
      <c r="C167" s="59">
        <v>44456</v>
      </c>
      <c r="F167">
        <v>1033825232</v>
      </c>
      <c r="G167" t="s">
        <v>4220</v>
      </c>
      <c r="H167" s="59">
        <v>43447</v>
      </c>
      <c r="I167" s="59">
        <f t="shared" si="4"/>
        <v>43447</v>
      </c>
      <c r="J167" t="b">
        <f t="shared" si="5"/>
        <v>1</v>
      </c>
    </row>
    <row r="168" spans="2:10" hidden="1" x14ac:dyDescent="0.3">
      <c r="B168">
        <v>1023047429</v>
      </c>
      <c r="C168" s="59">
        <v>44486</v>
      </c>
      <c r="F168">
        <v>1243860817</v>
      </c>
      <c r="G168" t="s">
        <v>4221</v>
      </c>
      <c r="H168" s="59">
        <v>44536</v>
      </c>
      <c r="I168" s="59">
        <f t="shared" si="4"/>
        <v>44536</v>
      </c>
      <c r="J168" t="b">
        <f t="shared" si="5"/>
        <v>1</v>
      </c>
    </row>
    <row r="169" spans="2:10" hidden="1" x14ac:dyDescent="0.3">
      <c r="B169">
        <v>1023047456</v>
      </c>
      <c r="C169" s="59">
        <v>44400</v>
      </c>
      <c r="F169">
        <v>1243859489</v>
      </c>
      <c r="G169" t="s">
        <v>4222</v>
      </c>
      <c r="H169" s="59">
        <v>44095</v>
      </c>
      <c r="I169" s="59">
        <f t="shared" si="4"/>
        <v>44095</v>
      </c>
      <c r="J169" t="b">
        <f t="shared" si="5"/>
        <v>1</v>
      </c>
    </row>
    <row r="170" spans="2:10" hidden="1" x14ac:dyDescent="0.3">
      <c r="B170">
        <v>1023047489</v>
      </c>
      <c r="C170" s="59">
        <v>44497</v>
      </c>
      <c r="F170">
        <v>1010849316</v>
      </c>
      <c r="G170" t="s">
        <v>4223</v>
      </c>
      <c r="H170" s="59">
        <v>44062</v>
      </c>
      <c r="I170" s="59">
        <f t="shared" si="4"/>
        <v>44062</v>
      </c>
      <c r="J170" t="b">
        <f t="shared" si="5"/>
        <v>1</v>
      </c>
    </row>
    <row r="171" spans="2:10" hidden="1" x14ac:dyDescent="0.3">
      <c r="B171">
        <v>1023047672</v>
      </c>
      <c r="C171" s="59">
        <v>44559</v>
      </c>
      <c r="F171">
        <v>1023046500</v>
      </c>
      <c r="G171" t="s">
        <v>4224</v>
      </c>
      <c r="H171" s="59">
        <v>44280</v>
      </c>
      <c r="I171" s="59">
        <f t="shared" si="4"/>
        <v>44280</v>
      </c>
      <c r="J171" t="b">
        <f t="shared" si="5"/>
        <v>1</v>
      </c>
    </row>
    <row r="172" spans="2:10" hidden="1" x14ac:dyDescent="0.3">
      <c r="B172">
        <v>1023047680</v>
      </c>
      <c r="C172" s="59">
        <v>44548</v>
      </c>
      <c r="F172">
        <v>1071551363</v>
      </c>
      <c r="G172" t="s">
        <v>4225</v>
      </c>
      <c r="H172" s="59">
        <v>43899</v>
      </c>
      <c r="I172" s="59">
        <f t="shared" si="4"/>
        <v>43899</v>
      </c>
      <c r="J172" t="b">
        <f t="shared" si="5"/>
        <v>1</v>
      </c>
    </row>
    <row r="173" spans="2:10" hidden="1" x14ac:dyDescent="0.3">
      <c r="B173">
        <v>1023047812</v>
      </c>
      <c r="C173" s="59">
        <v>44578</v>
      </c>
      <c r="F173">
        <v>1157968975</v>
      </c>
      <c r="G173" t="s">
        <v>4417</v>
      </c>
      <c r="H173" s="59">
        <v>44472</v>
      </c>
      <c r="I173" s="59">
        <f t="shared" si="4"/>
        <v>44472</v>
      </c>
      <c r="J173" t="b">
        <f t="shared" si="5"/>
        <v>1</v>
      </c>
    </row>
    <row r="174" spans="2:10" hidden="1" x14ac:dyDescent="0.3">
      <c r="B174">
        <v>1023047935</v>
      </c>
      <c r="C174" s="59">
        <v>44574</v>
      </c>
      <c r="F174">
        <v>1243858393</v>
      </c>
      <c r="G174" t="s">
        <v>4227</v>
      </c>
      <c r="H174" s="59">
        <v>43931</v>
      </c>
      <c r="I174" s="59">
        <f t="shared" si="4"/>
        <v>43931</v>
      </c>
      <c r="J174" t="b">
        <f t="shared" si="5"/>
        <v>1</v>
      </c>
    </row>
    <row r="175" spans="2:10" hidden="1" x14ac:dyDescent="0.3">
      <c r="B175">
        <v>1023047998</v>
      </c>
      <c r="C175" s="59">
        <v>44617</v>
      </c>
      <c r="F175">
        <v>1069307141</v>
      </c>
      <c r="G175" t="s">
        <v>4228</v>
      </c>
      <c r="H175" s="59">
        <v>43908</v>
      </c>
      <c r="I175" s="59">
        <f t="shared" si="4"/>
        <v>43908</v>
      </c>
      <c r="J175" t="b">
        <f t="shared" si="5"/>
        <v>1</v>
      </c>
    </row>
    <row r="176" spans="2:10" hidden="1" x14ac:dyDescent="0.3">
      <c r="B176">
        <v>1023048027</v>
      </c>
      <c r="C176" s="59">
        <v>44591</v>
      </c>
      <c r="F176">
        <v>1020730043</v>
      </c>
      <c r="G176" t="s">
        <v>4229</v>
      </c>
      <c r="H176" s="59">
        <v>35817</v>
      </c>
      <c r="I176" s="59">
        <f t="shared" si="4"/>
        <v>35817</v>
      </c>
      <c r="J176" t="b">
        <f t="shared" si="5"/>
        <v>1</v>
      </c>
    </row>
    <row r="177" spans="2:10" hidden="1" x14ac:dyDescent="0.3">
      <c r="B177">
        <v>1023048101</v>
      </c>
      <c r="C177" s="59">
        <v>44647</v>
      </c>
      <c r="F177">
        <v>1023048858</v>
      </c>
      <c r="G177" t="s">
        <v>4230</v>
      </c>
      <c r="H177" s="59">
        <v>44746</v>
      </c>
      <c r="I177" s="59">
        <f t="shared" si="4"/>
        <v>44746</v>
      </c>
      <c r="J177" t="b">
        <f t="shared" si="5"/>
        <v>1</v>
      </c>
    </row>
    <row r="178" spans="2:10" hidden="1" x14ac:dyDescent="0.3">
      <c r="B178">
        <v>1023048142</v>
      </c>
      <c r="C178" s="59">
        <v>44652</v>
      </c>
      <c r="F178">
        <v>1000777307</v>
      </c>
      <c r="G178" t="s">
        <v>4231</v>
      </c>
      <c r="H178" s="59">
        <v>37369</v>
      </c>
      <c r="I178" s="59">
        <f t="shared" si="4"/>
        <v>37369</v>
      </c>
      <c r="J178" t="b">
        <f t="shared" si="5"/>
        <v>1</v>
      </c>
    </row>
    <row r="179" spans="2:10" hidden="1" x14ac:dyDescent="0.3">
      <c r="B179">
        <v>1023048150</v>
      </c>
      <c r="C179" s="59">
        <v>44636</v>
      </c>
      <c r="F179">
        <v>1023049192</v>
      </c>
      <c r="G179" t="s">
        <v>4418</v>
      </c>
      <c r="H179" s="59">
        <v>44821</v>
      </c>
      <c r="I179" s="59">
        <f t="shared" si="4"/>
        <v>44821</v>
      </c>
      <c r="J179" t="b">
        <f t="shared" si="5"/>
        <v>1</v>
      </c>
    </row>
    <row r="180" spans="2:10" hidden="1" x14ac:dyDescent="0.3">
      <c r="B180">
        <v>1023048255</v>
      </c>
      <c r="C180" s="59">
        <v>44649</v>
      </c>
      <c r="F180">
        <v>1023048499</v>
      </c>
      <c r="G180" t="s">
        <v>4233</v>
      </c>
      <c r="H180" s="59">
        <v>44692</v>
      </c>
      <c r="I180" s="59">
        <f t="shared" si="4"/>
        <v>44692</v>
      </c>
      <c r="J180" t="b">
        <f t="shared" si="5"/>
        <v>1</v>
      </c>
    </row>
    <row r="181" spans="2:10" hidden="1" x14ac:dyDescent="0.3">
      <c r="B181">
        <v>1023048337</v>
      </c>
      <c r="C181" s="59">
        <v>44666</v>
      </c>
      <c r="F181">
        <v>1023990627</v>
      </c>
      <c r="G181" t="s">
        <v>4234</v>
      </c>
      <c r="H181" s="59">
        <v>44744</v>
      </c>
      <c r="I181" s="59">
        <f t="shared" si="4"/>
        <v>44744</v>
      </c>
      <c r="J181" t="b">
        <f t="shared" si="5"/>
        <v>1</v>
      </c>
    </row>
    <row r="182" spans="2:10" hidden="1" x14ac:dyDescent="0.3">
      <c r="B182">
        <v>1023048396</v>
      </c>
      <c r="C182" s="59">
        <v>44682</v>
      </c>
      <c r="F182">
        <v>1000931826</v>
      </c>
      <c r="G182" t="s">
        <v>4235</v>
      </c>
      <c r="H182" s="59">
        <v>37138</v>
      </c>
      <c r="I182" s="59">
        <f t="shared" si="4"/>
        <v>37138</v>
      </c>
      <c r="J182" t="b">
        <f t="shared" si="5"/>
        <v>1</v>
      </c>
    </row>
    <row r="183" spans="2:10" hidden="1" x14ac:dyDescent="0.3">
      <c r="B183">
        <v>1023048400</v>
      </c>
      <c r="C183" s="59">
        <v>44716</v>
      </c>
      <c r="F183">
        <v>1010231306</v>
      </c>
      <c r="G183" t="s">
        <v>4236</v>
      </c>
      <c r="H183" s="59">
        <v>35409</v>
      </c>
      <c r="I183" s="59">
        <f t="shared" si="4"/>
        <v>35409</v>
      </c>
      <c r="J183" t="b">
        <f t="shared" si="5"/>
        <v>1</v>
      </c>
    </row>
    <row r="184" spans="2:10" hidden="1" x14ac:dyDescent="0.3">
      <c r="B184">
        <v>1023048403</v>
      </c>
      <c r="C184" s="59">
        <v>44674</v>
      </c>
      <c r="F184">
        <v>1023990310</v>
      </c>
      <c r="G184" t="s">
        <v>4237</v>
      </c>
      <c r="H184" s="59">
        <v>44736</v>
      </c>
      <c r="I184" s="59">
        <f t="shared" si="4"/>
        <v>44736</v>
      </c>
      <c r="J184" t="b">
        <f t="shared" si="5"/>
        <v>1</v>
      </c>
    </row>
    <row r="185" spans="2:10" hidden="1" x14ac:dyDescent="0.3">
      <c r="B185">
        <v>1023048417</v>
      </c>
      <c r="C185" s="59">
        <v>44693</v>
      </c>
      <c r="F185">
        <v>1023048984</v>
      </c>
      <c r="G185" t="s">
        <v>4238</v>
      </c>
      <c r="H185" s="59">
        <v>44777</v>
      </c>
      <c r="I185" s="59">
        <f t="shared" si="4"/>
        <v>44777</v>
      </c>
      <c r="J185" t="b">
        <f t="shared" si="5"/>
        <v>1</v>
      </c>
    </row>
    <row r="186" spans="2:10" hidden="1" x14ac:dyDescent="0.3">
      <c r="B186">
        <v>1023048476</v>
      </c>
      <c r="C186" s="59">
        <v>44668</v>
      </c>
      <c r="F186">
        <v>1023048101</v>
      </c>
      <c r="G186" t="s">
        <v>4239</v>
      </c>
      <c r="H186" s="59">
        <v>44647</v>
      </c>
      <c r="I186" s="59">
        <f t="shared" si="4"/>
        <v>44647</v>
      </c>
      <c r="J186" t="b">
        <f t="shared" si="5"/>
        <v>1</v>
      </c>
    </row>
    <row r="187" spans="2:10" hidden="1" x14ac:dyDescent="0.3">
      <c r="B187">
        <v>1023048499</v>
      </c>
      <c r="C187" s="59">
        <v>44692</v>
      </c>
      <c r="F187">
        <v>1021694945</v>
      </c>
      <c r="G187" t="s">
        <v>4240</v>
      </c>
      <c r="H187" s="59">
        <v>43890</v>
      </c>
      <c r="I187" s="59">
        <f t="shared" si="4"/>
        <v>43890</v>
      </c>
      <c r="J187" t="b">
        <f t="shared" si="5"/>
        <v>1</v>
      </c>
    </row>
    <row r="188" spans="2:10" hidden="1" x14ac:dyDescent="0.3">
      <c r="B188">
        <v>1023048559</v>
      </c>
      <c r="C188" s="59">
        <v>44717</v>
      </c>
      <c r="F188">
        <v>1013030791</v>
      </c>
      <c r="G188" t="s">
        <v>4241</v>
      </c>
      <c r="H188" s="59">
        <v>44740</v>
      </c>
      <c r="I188" s="59">
        <f t="shared" si="4"/>
        <v>44740</v>
      </c>
      <c r="J188" t="b">
        <f t="shared" si="5"/>
        <v>1</v>
      </c>
    </row>
    <row r="189" spans="2:10" hidden="1" x14ac:dyDescent="0.3">
      <c r="B189">
        <v>1023422698</v>
      </c>
      <c r="C189" s="59">
        <v>44712</v>
      </c>
      <c r="F189">
        <v>1023045790</v>
      </c>
      <c r="G189" t="s">
        <v>4242</v>
      </c>
      <c r="H189" s="59">
        <v>44152</v>
      </c>
      <c r="I189" s="59">
        <f t="shared" si="4"/>
        <v>44152</v>
      </c>
      <c r="J189" t="b">
        <f t="shared" si="5"/>
        <v>1</v>
      </c>
    </row>
    <row r="190" spans="2:10" hidden="1" x14ac:dyDescent="0.3">
      <c r="B190">
        <v>1023980011</v>
      </c>
      <c r="C190" s="59">
        <v>43057</v>
      </c>
      <c r="F190">
        <v>1023047429</v>
      </c>
      <c r="G190" t="s">
        <v>4243</v>
      </c>
      <c r="H190" s="59">
        <v>44486</v>
      </c>
      <c r="I190" s="59">
        <f t="shared" si="4"/>
        <v>44486</v>
      </c>
      <c r="J190" t="b">
        <f t="shared" si="5"/>
        <v>1</v>
      </c>
    </row>
    <row r="191" spans="2:10" hidden="1" x14ac:dyDescent="0.3">
      <c r="B191">
        <v>1023981728</v>
      </c>
      <c r="C191" s="59">
        <v>43165</v>
      </c>
      <c r="F191">
        <v>1031188618</v>
      </c>
      <c r="G191" t="s">
        <v>4244</v>
      </c>
      <c r="H191" s="59">
        <v>44726</v>
      </c>
      <c r="I191" s="59">
        <f t="shared" si="4"/>
        <v>44726</v>
      </c>
      <c r="J191" t="b">
        <f t="shared" si="5"/>
        <v>1</v>
      </c>
    </row>
    <row r="192" spans="2:10" hidden="1" x14ac:dyDescent="0.3">
      <c r="B192">
        <v>1023983816</v>
      </c>
      <c r="C192" s="59">
        <v>43455</v>
      </c>
      <c r="F192">
        <v>1023047344</v>
      </c>
      <c r="G192" t="s">
        <v>4245</v>
      </c>
      <c r="H192" s="59">
        <v>44430</v>
      </c>
      <c r="I192" s="59">
        <f t="shared" si="4"/>
        <v>44430</v>
      </c>
      <c r="J192" t="b">
        <f t="shared" si="5"/>
        <v>1</v>
      </c>
    </row>
    <row r="193" spans="2:10" hidden="1" x14ac:dyDescent="0.3">
      <c r="B193">
        <v>1023985389</v>
      </c>
      <c r="C193" s="59">
        <v>43657</v>
      </c>
      <c r="F193">
        <v>1023045906</v>
      </c>
      <c r="G193" t="s">
        <v>4246</v>
      </c>
      <c r="H193" s="59">
        <v>44154</v>
      </c>
      <c r="I193" s="59">
        <f t="shared" si="4"/>
        <v>44154</v>
      </c>
      <c r="J193" t="b">
        <f t="shared" si="5"/>
        <v>1</v>
      </c>
    </row>
    <row r="194" spans="2:10" hidden="1" x14ac:dyDescent="0.3">
      <c r="B194">
        <v>1023985500</v>
      </c>
      <c r="C194" s="59">
        <v>43648</v>
      </c>
      <c r="F194">
        <v>1023046982</v>
      </c>
      <c r="G194" t="s">
        <v>4247</v>
      </c>
      <c r="H194" s="59">
        <v>44401</v>
      </c>
      <c r="I194" s="59">
        <f t="shared" si="4"/>
        <v>44401</v>
      </c>
      <c r="J194" t="b">
        <f t="shared" si="5"/>
        <v>1</v>
      </c>
    </row>
    <row r="195" spans="2:10" hidden="1" x14ac:dyDescent="0.3">
      <c r="B195">
        <v>1023985952</v>
      </c>
      <c r="C195" s="59">
        <v>43714</v>
      </c>
      <c r="F195">
        <v>1092349873</v>
      </c>
      <c r="G195" t="s">
        <v>4248</v>
      </c>
      <c r="H195" s="59">
        <v>39097</v>
      </c>
      <c r="I195" s="59">
        <f t="shared" ref="I195:I258" si="6">VLOOKUP(F195,B:D,2,0)</f>
        <v>39097</v>
      </c>
      <c r="J195" t="b">
        <f t="shared" ref="J195:J258" si="7">H195=I195</f>
        <v>1</v>
      </c>
    </row>
    <row r="196" spans="2:10" hidden="1" x14ac:dyDescent="0.3">
      <c r="B196">
        <v>1023985961</v>
      </c>
      <c r="C196" s="59">
        <v>43417</v>
      </c>
      <c r="F196">
        <v>1023990929</v>
      </c>
      <c r="G196" t="s">
        <v>4419</v>
      </c>
      <c r="H196" s="59">
        <v>44820</v>
      </c>
      <c r="I196" s="59">
        <f t="shared" si="6"/>
        <v>44820</v>
      </c>
      <c r="J196" t="b">
        <f t="shared" si="7"/>
        <v>1</v>
      </c>
    </row>
    <row r="197" spans="2:10" hidden="1" x14ac:dyDescent="0.3">
      <c r="B197">
        <v>1023985987</v>
      </c>
      <c r="C197" s="59">
        <v>43757</v>
      </c>
      <c r="F197">
        <v>1023991107</v>
      </c>
      <c r="G197" t="s">
        <v>4420</v>
      </c>
      <c r="H197" s="59">
        <v>44849</v>
      </c>
      <c r="I197" s="59">
        <f t="shared" si="6"/>
        <v>44849</v>
      </c>
      <c r="J197" t="b">
        <f t="shared" si="7"/>
        <v>1</v>
      </c>
    </row>
    <row r="198" spans="2:10" hidden="1" x14ac:dyDescent="0.3">
      <c r="B198">
        <v>1023987196</v>
      </c>
      <c r="C198" s="59">
        <v>43877</v>
      </c>
      <c r="F198">
        <v>1023048150</v>
      </c>
      <c r="G198" t="s">
        <v>4251</v>
      </c>
      <c r="H198" s="59">
        <v>44636</v>
      </c>
      <c r="I198" s="59">
        <f t="shared" si="6"/>
        <v>44636</v>
      </c>
      <c r="J198" t="b">
        <f t="shared" si="7"/>
        <v>1</v>
      </c>
    </row>
    <row r="199" spans="2:10" hidden="1" x14ac:dyDescent="0.3">
      <c r="B199">
        <v>1023988198</v>
      </c>
      <c r="C199" s="59">
        <v>44263</v>
      </c>
      <c r="F199">
        <v>1023048559</v>
      </c>
      <c r="G199" t="s">
        <v>4252</v>
      </c>
      <c r="H199" s="59">
        <v>44717</v>
      </c>
      <c r="I199" s="59">
        <f t="shared" si="6"/>
        <v>44717</v>
      </c>
      <c r="J199" t="b">
        <f t="shared" si="7"/>
        <v>1</v>
      </c>
    </row>
    <row r="200" spans="2:10" hidden="1" x14ac:dyDescent="0.3">
      <c r="B200">
        <v>1023988413</v>
      </c>
      <c r="C200" s="59">
        <v>44330</v>
      </c>
      <c r="F200">
        <v>1023045008</v>
      </c>
      <c r="G200" t="s">
        <v>4253</v>
      </c>
      <c r="H200" s="59">
        <v>43771</v>
      </c>
      <c r="I200" s="59">
        <f t="shared" si="6"/>
        <v>43771</v>
      </c>
      <c r="J200" t="b">
        <f t="shared" si="7"/>
        <v>1</v>
      </c>
    </row>
    <row r="201" spans="2:10" hidden="1" x14ac:dyDescent="0.3">
      <c r="B201">
        <v>1023989178</v>
      </c>
      <c r="C201" s="59">
        <v>44224</v>
      </c>
      <c r="F201">
        <v>1028673609</v>
      </c>
      <c r="G201" t="s">
        <v>4254</v>
      </c>
      <c r="H201" s="59">
        <v>43399</v>
      </c>
      <c r="I201" s="59">
        <f t="shared" si="6"/>
        <v>43399</v>
      </c>
      <c r="J201" t="b">
        <f t="shared" si="7"/>
        <v>1</v>
      </c>
    </row>
    <row r="202" spans="2:10" hidden="1" x14ac:dyDescent="0.3">
      <c r="B202">
        <v>1023989585</v>
      </c>
      <c r="C202" s="59">
        <v>44519</v>
      </c>
      <c r="F202">
        <v>1206226100</v>
      </c>
      <c r="G202" t="s">
        <v>4255</v>
      </c>
      <c r="H202" s="59">
        <v>44011</v>
      </c>
      <c r="I202" s="59">
        <f t="shared" si="6"/>
        <v>44011</v>
      </c>
      <c r="J202" t="b">
        <f t="shared" si="7"/>
        <v>1</v>
      </c>
    </row>
    <row r="203" spans="2:10" hidden="1" x14ac:dyDescent="0.3">
      <c r="B203">
        <v>1023989592</v>
      </c>
      <c r="C203" s="59">
        <v>44595</v>
      </c>
      <c r="F203">
        <v>1022935813</v>
      </c>
      <c r="G203" t="s">
        <v>4256</v>
      </c>
      <c r="H203" s="59">
        <v>38562</v>
      </c>
      <c r="I203" s="59">
        <f t="shared" si="6"/>
        <v>38562</v>
      </c>
      <c r="J203" t="b">
        <f t="shared" si="7"/>
        <v>1</v>
      </c>
    </row>
    <row r="204" spans="2:10" hidden="1" x14ac:dyDescent="0.3">
      <c r="B204">
        <v>1023989627</v>
      </c>
      <c r="C204" s="59">
        <v>44549</v>
      </c>
      <c r="F204">
        <v>1243859893</v>
      </c>
      <c r="G204" t="s">
        <v>4257</v>
      </c>
      <c r="H204" s="59">
        <v>44184</v>
      </c>
      <c r="I204" s="59">
        <f t="shared" si="6"/>
        <v>44184</v>
      </c>
      <c r="J204" t="b">
        <f t="shared" si="7"/>
        <v>1</v>
      </c>
    </row>
    <row r="205" spans="2:10" hidden="1" x14ac:dyDescent="0.3">
      <c r="B205">
        <v>1023990109</v>
      </c>
      <c r="C205" s="59">
        <v>44658</v>
      </c>
      <c r="F205">
        <v>1011110767</v>
      </c>
      <c r="G205" t="s">
        <v>4258</v>
      </c>
      <c r="H205" s="59">
        <v>43843</v>
      </c>
      <c r="I205" s="59">
        <f t="shared" si="6"/>
        <v>43843</v>
      </c>
      <c r="J205" t="b">
        <f t="shared" si="7"/>
        <v>1</v>
      </c>
    </row>
    <row r="206" spans="2:10" hidden="1" x14ac:dyDescent="0.3">
      <c r="B206">
        <v>1023990155</v>
      </c>
      <c r="C206" s="59">
        <v>44712</v>
      </c>
      <c r="F206">
        <v>1235051447</v>
      </c>
      <c r="G206" t="s">
        <v>4259</v>
      </c>
      <c r="H206" s="59">
        <v>44272</v>
      </c>
      <c r="I206" s="59">
        <f t="shared" si="6"/>
        <v>44272</v>
      </c>
      <c r="J206" t="b">
        <f t="shared" si="7"/>
        <v>1</v>
      </c>
    </row>
    <row r="207" spans="2:10" hidden="1" x14ac:dyDescent="0.3">
      <c r="B207">
        <v>1023990542</v>
      </c>
      <c r="C207" s="59">
        <v>44632</v>
      </c>
      <c r="F207">
        <v>1023985389</v>
      </c>
      <c r="G207" t="s">
        <v>4260</v>
      </c>
      <c r="H207" s="59">
        <v>43657</v>
      </c>
      <c r="I207" s="59">
        <f t="shared" si="6"/>
        <v>43657</v>
      </c>
      <c r="J207" t="b">
        <f t="shared" si="7"/>
        <v>1</v>
      </c>
    </row>
    <row r="208" spans="2:10" hidden="1" x14ac:dyDescent="0.3">
      <c r="B208">
        <v>1024611079</v>
      </c>
      <c r="C208" s="59">
        <v>44300</v>
      </c>
      <c r="F208">
        <v>1023990615</v>
      </c>
      <c r="G208" t="s">
        <v>4261</v>
      </c>
      <c r="H208" s="59">
        <v>44735</v>
      </c>
      <c r="I208" s="59">
        <f t="shared" si="6"/>
        <v>44735</v>
      </c>
      <c r="J208" t="b">
        <f t="shared" si="7"/>
        <v>1</v>
      </c>
    </row>
    <row r="209" spans="2:10" x14ac:dyDescent="0.3">
      <c r="B209">
        <v>1024611711</v>
      </c>
      <c r="C209" s="59">
        <v>44390</v>
      </c>
      <c r="F209">
        <v>1023989348</v>
      </c>
      <c r="G209" t="s">
        <v>4262</v>
      </c>
      <c r="H209" s="59">
        <v>44543</v>
      </c>
      <c r="I209" s="59" t="e">
        <f t="shared" si="6"/>
        <v>#N/A</v>
      </c>
      <c r="J209" t="e">
        <f t="shared" si="7"/>
        <v>#N/A</v>
      </c>
    </row>
    <row r="210" spans="2:10" hidden="1" x14ac:dyDescent="0.3">
      <c r="B210">
        <v>1024612013</v>
      </c>
      <c r="C210" s="59">
        <v>44493</v>
      </c>
      <c r="F210">
        <v>1016748415</v>
      </c>
      <c r="G210" t="s">
        <v>4263</v>
      </c>
      <c r="H210" s="59">
        <v>43794</v>
      </c>
      <c r="I210" s="59">
        <f t="shared" si="6"/>
        <v>43794</v>
      </c>
      <c r="J210" t="b">
        <f t="shared" si="7"/>
        <v>1</v>
      </c>
    </row>
    <row r="211" spans="2:10" hidden="1" x14ac:dyDescent="0.3">
      <c r="B211">
        <v>1026309443</v>
      </c>
      <c r="C211" s="59">
        <v>44188</v>
      </c>
      <c r="F211">
        <v>1023981728</v>
      </c>
      <c r="G211" t="s">
        <v>4264</v>
      </c>
      <c r="H211" s="59">
        <v>43165</v>
      </c>
      <c r="I211" s="59">
        <f t="shared" si="6"/>
        <v>43165</v>
      </c>
      <c r="J211" t="b">
        <f t="shared" si="7"/>
        <v>1</v>
      </c>
    </row>
    <row r="212" spans="2:10" hidden="1" x14ac:dyDescent="0.3">
      <c r="B212">
        <v>1026309444</v>
      </c>
      <c r="C212" s="59">
        <v>44188</v>
      </c>
      <c r="F212">
        <v>1028675913</v>
      </c>
      <c r="G212" t="s">
        <v>4265</v>
      </c>
      <c r="H212" s="59">
        <v>44771</v>
      </c>
      <c r="I212" s="59">
        <f t="shared" si="6"/>
        <v>44771</v>
      </c>
      <c r="J212" t="b">
        <f t="shared" si="7"/>
        <v>1</v>
      </c>
    </row>
    <row r="213" spans="2:10" hidden="1" x14ac:dyDescent="0.3">
      <c r="B213">
        <v>1026309480</v>
      </c>
      <c r="C213" s="59">
        <v>44196</v>
      </c>
      <c r="F213">
        <v>1023980011</v>
      </c>
      <c r="G213" t="s">
        <v>4266</v>
      </c>
      <c r="H213" s="59">
        <v>43057</v>
      </c>
      <c r="I213" s="59">
        <f t="shared" si="6"/>
        <v>43057</v>
      </c>
      <c r="J213" t="b">
        <f t="shared" si="7"/>
        <v>1</v>
      </c>
    </row>
    <row r="214" spans="2:10" hidden="1" x14ac:dyDescent="0.3">
      <c r="B214">
        <v>1026309481</v>
      </c>
      <c r="C214" s="59">
        <v>44196</v>
      </c>
      <c r="F214">
        <v>1074536315</v>
      </c>
      <c r="G214" t="s">
        <v>4267</v>
      </c>
      <c r="H214" s="59">
        <v>44068</v>
      </c>
      <c r="I214" s="59">
        <f t="shared" si="6"/>
        <v>44068</v>
      </c>
      <c r="J214" t="b">
        <f t="shared" si="7"/>
        <v>1</v>
      </c>
    </row>
    <row r="215" spans="2:10" hidden="1" x14ac:dyDescent="0.3">
      <c r="B215">
        <v>1026309516</v>
      </c>
      <c r="C215" s="59">
        <v>44206</v>
      </c>
      <c r="F215">
        <v>1243860929</v>
      </c>
      <c r="G215" t="s">
        <v>4268</v>
      </c>
      <c r="H215" s="59">
        <v>44595</v>
      </c>
      <c r="I215" s="59">
        <f t="shared" si="6"/>
        <v>44595</v>
      </c>
      <c r="J215" t="b">
        <f t="shared" si="7"/>
        <v>1</v>
      </c>
    </row>
    <row r="216" spans="2:10" hidden="1" x14ac:dyDescent="0.3">
      <c r="B216">
        <v>1026310144</v>
      </c>
      <c r="C216" s="59">
        <v>44464</v>
      </c>
      <c r="F216">
        <v>1074824501</v>
      </c>
      <c r="G216" t="s">
        <v>4269</v>
      </c>
      <c r="H216" s="59">
        <v>43083</v>
      </c>
      <c r="I216" s="59">
        <f t="shared" si="6"/>
        <v>43083</v>
      </c>
      <c r="J216" t="b">
        <f t="shared" si="7"/>
        <v>1</v>
      </c>
    </row>
    <row r="217" spans="2:10" hidden="1" x14ac:dyDescent="0.3">
      <c r="B217">
        <v>1026603423</v>
      </c>
      <c r="C217" s="59">
        <v>44343</v>
      </c>
      <c r="F217">
        <v>1023046119</v>
      </c>
      <c r="G217" t="s">
        <v>4270</v>
      </c>
      <c r="H217" s="59">
        <v>44173</v>
      </c>
      <c r="I217" s="59">
        <f t="shared" si="6"/>
        <v>44173</v>
      </c>
      <c r="J217" t="b">
        <f t="shared" si="7"/>
        <v>1</v>
      </c>
    </row>
    <row r="218" spans="2:10" hidden="1" x14ac:dyDescent="0.3">
      <c r="B218">
        <v>1027302696</v>
      </c>
      <c r="C218" s="59">
        <v>44150</v>
      </c>
      <c r="F218">
        <v>1019160101</v>
      </c>
      <c r="G218" t="s">
        <v>4271</v>
      </c>
      <c r="H218" s="59">
        <v>44339</v>
      </c>
      <c r="I218" s="59">
        <f t="shared" si="6"/>
        <v>44339</v>
      </c>
      <c r="J218" t="b">
        <f t="shared" si="7"/>
        <v>1</v>
      </c>
    </row>
    <row r="219" spans="2:10" hidden="1" x14ac:dyDescent="0.3">
      <c r="B219">
        <v>1027544666</v>
      </c>
      <c r="C219" s="59">
        <v>44616</v>
      </c>
      <c r="F219">
        <v>1243860881</v>
      </c>
      <c r="G219" t="s">
        <v>4272</v>
      </c>
      <c r="H219" s="59">
        <v>44568</v>
      </c>
      <c r="I219" s="59">
        <f t="shared" si="6"/>
        <v>44568</v>
      </c>
      <c r="J219" t="b">
        <f t="shared" si="7"/>
        <v>1</v>
      </c>
    </row>
    <row r="220" spans="2:10" hidden="1" x14ac:dyDescent="0.3">
      <c r="B220">
        <v>1028672942</v>
      </c>
      <c r="C220" s="59">
        <v>43065</v>
      </c>
      <c r="F220">
        <v>1023983816</v>
      </c>
      <c r="G220" t="s">
        <v>4273</v>
      </c>
      <c r="H220" s="59">
        <v>43455</v>
      </c>
      <c r="I220" s="59">
        <f t="shared" si="6"/>
        <v>43455</v>
      </c>
      <c r="J220" t="b">
        <f t="shared" si="7"/>
        <v>1</v>
      </c>
    </row>
    <row r="221" spans="2:10" hidden="1" x14ac:dyDescent="0.3">
      <c r="B221">
        <v>1028673609</v>
      </c>
      <c r="C221" s="59">
        <v>43399</v>
      </c>
      <c r="F221">
        <v>1028675409</v>
      </c>
      <c r="G221" t="s">
        <v>4274</v>
      </c>
      <c r="H221" s="59">
        <v>44298</v>
      </c>
      <c r="I221" s="59">
        <f t="shared" si="6"/>
        <v>44298</v>
      </c>
      <c r="J221" t="b">
        <f t="shared" si="7"/>
        <v>1</v>
      </c>
    </row>
    <row r="222" spans="2:10" hidden="1" x14ac:dyDescent="0.3">
      <c r="B222">
        <v>1028673639</v>
      </c>
      <c r="C222" s="59">
        <v>43374</v>
      </c>
      <c r="F222">
        <v>16012018237</v>
      </c>
      <c r="G222" t="s">
        <v>4275</v>
      </c>
      <c r="H222" s="59">
        <v>43116</v>
      </c>
      <c r="I222" s="59">
        <f t="shared" si="6"/>
        <v>43116</v>
      </c>
      <c r="J222" t="b">
        <f t="shared" si="7"/>
        <v>1</v>
      </c>
    </row>
    <row r="223" spans="2:10" hidden="1" x14ac:dyDescent="0.3">
      <c r="B223">
        <v>1028673762</v>
      </c>
      <c r="C223" s="59">
        <v>43429</v>
      </c>
      <c r="F223">
        <v>1039226511</v>
      </c>
      <c r="G223" t="s">
        <v>4276</v>
      </c>
      <c r="H223" s="59">
        <v>43979</v>
      </c>
      <c r="I223" s="59">
        <f t="shared" si="6"/>
        <v>43979</v>
      </c>
      <c r="J223" t="b">
        <f t="shared" si="7"/>
        <v>1</v>
      </c>
    </row>
    <row r="224" spans="2:10" hidden="1" x14ac:dyDescent="0.3">
      <c r="B224">
        <v>1028673976</v>
      </c>
      <c r="C224" s="59">
        <v>43148</v>
      </c>
      <c r="F224">
        <v>1023989627</v>
      </c>
      <c r="G224" t="s">
        <v>4277</v>
      </c>
      <c r="H224" s="59">
        <v>44549</v>
      </c>
      <c r="I224" s="59">
        <f t="shared" si="6"/>
        <v>44549</v>
      </c>
      <c r="J224" t="b">
        <f t="shared" si="7"/>
        <v>1</v>
      </c>
    </row>
    <row r="225" spans="2:10" hidden="1" x14ac:dyDescent="0.3">
      <c r="B225">
        <v>1028674952</v>
      </c>
      <c r="C225" s="59">
        <v>43842</v>
      </c>
      <c r="F225">
        <v>1023987196</v>
      </c>
      <c r="G225" t="s">
        <v>4278</v>
      </c>
      <c r="H225" s="59">
        <v>43877</v>
      </c>
      <c r="I225" s="59">
        <f t="shared" si="6"/>
        <v>43877</v>
      </c>
      <c r="J225" t="b">
        <f t="shared" si="7"/>
        <v>1</v>
      </c>
    </row>
    <row r="226" spans="2:10" hidden="1" x14ac:dyDescent="0.3">
      <c r="B226">
        <v>1028675301</v>
      </c>
      <c r="C226" s="59">
        <v>44190</v>
      </c>
      <c r="F226">
        <v>1222218723</v>
      </c>
      <c r="G226" t="s">
        <v>4279</v>
      </c>
      <c r="H226" s="59">
        <v>43171</v>
      </c>
      <c r="I226" s="59">
        <f t="shared" si="6"/>
        <v>43171</v>
      </c>
      <c r="J226" t="b">
        <f t="shared" si="7"/>
        <v>1</v>
      </c>
    </row>
    <row r="227" spans="2:10" hidden="1" x14ac:dyDescent="0.3">
      <c r="B227">
        <v>1028675409</v>
      </c>
      <c r="C227" s="59">
        <v>44298</v>
      </c>
      <c r="F227">
        <v>1024611711</v>
      </c>
      <c r="G227" t="s">
        <v>4281</v>
      </c>
      <c r="H227" s="59">
        <v>44390</v>
      </c>
      <c r="I227" s="59">
        <f t="shared" si="6"/>
        <v>44390</v>
      </c>
      <c r="J227" t="b">
        <f t="shared" si="7"/>
        <v>1</v>
      </c>
    </row>
    <row r="228" spans="2:10" hidden="1" x14ac:dyDescent="0.3">
      <c r="B228">
        <v>1028675486</v>
      </c>
      <c r="C228" s="59">
        <v>44284</v>
      </c>
      <c r="F228">
        <v>1016746746</v>
      </c>
      <c r="G228" t="s">
        <v>4282</v>
      </c>
      <c r="H228" s="59">
        <v>43525</v>
      </c>
      <c r="I228" s="59">
        <f t="shared" si="6"/>
        <v>43525</v>
      </c>
      <c r="J228" t="b">
        <f t="shared" si="7"/>
        <v>1</v>
      </c>
    </row>
    <row r="229" spans="2:10" hidden="1" x14ac:dyDescent="0.3">
      <c r="B229">
        <v>1028675591</v>
      </c>
      <c r="C229" s="59">
        <v>44392</v>
      </c>
      <c r="F229">
        <v>705202105</v>
      </c>
      <c r="G229" t="s">
        <v>4283</v>
      </c>
      <c r="H229" s="59">
        <v>44323</v>
      </c>
      <c r="I229" s="59">
        <f t="shared" si="6"/>
        <v>44323</v>
      </c>
      <c r="J229" t="b">
        <f t="shared" si="7"/>
        <v>1</v>
      </c>
    </row>
    <row r="230" spans="2:10" hidden="1" x14ac:dyDescent="0.3">
      <c r="B230">
        <v>1028675603</v>
      </c>
      <c r="C230" s="59">
        <v>44398</v>
      </c>
      <c r="F230">
        <v>1016751379</v>
      </c>
      <c r="G230" t="s">
        <v>4421</v>
      </c>
      <c r="H230" s="59">
        <v>44237</v>
      </c>
      <c r="I230" s="59">
        <f t="shared" si="6"/>
        <v>44237</v>
      </c>
      <c r="J230" t="b">
        <f t="shared" si="7"/>
        <v>1</v>
      </c>
    </row>
    <row r="231" spans="2:10" hidden="1" x14ac:dyDescent="0.3">
      <c r="B231">
        <v>1028675792</v>
      </c>
      <c r="C231" s="59">
        <v>44700</v>
      </c>
      <c r="F231">
        <v>1051364630</v>
      </c>
      <c r="G231" t="s">
        <v>4285</v>
      </c>
      <c r="H231" s="59">
        <v>44341</v>
      </c>
      <c r="I231" s="59">
        <f t="shared" si="6"/>
        <v>44341</v>
      </c>
      <c r="J231" t="b">
        <f t="shared" si="7"/>
        <v>1</v>
      </c>
    </row>
    <row r="232" spans="2:10" hidden="1" x14ac:dyDescent="0.3">
      <c r="B232">
        <v>1028675793</v>
      </c>
      <c r="C232" s="59">
        <v>44705</v>
      </c>
      <c r="F232">
        <v>1028672942</v>
      </c>
      <c r="G232" t="s">
        <v>4286</v>
      </c>
      <c r="H232" s="59">
        <v>43065</v>
      </c>
      <c r="I232" s="59">
        <f t="shared" si="6"/>
        <v>43065</v>
      </c>
      <c r="J232" t="b">
        <f t="shared" si="7"/>
        <v>1</v>
      </c>
    </row>
    <row r="233" spans="2:10" hidden="1" x14ac:dyDescent="0.3">
      <c r="B233">
        <v>1028675820</v>
      </c>
      <c r="C233" s="59">
        <v>44718</v>
      </c>
      <c r="F233">
        <v>1026309516</v>
      </c>
      <c r="G233" t="s">
        <v>4287</v>
      </c>
      <c r="H233" s="59">
        <v>44206</v>
      </c>
      <c r="I233" s="59">
        <f t="shared" si="6"/>
        <v>44206</v>
      </c>
      <c r="J233" t="b">
        <f t="shared" si="7"/>
        <v>1</v>
      </c>
    </row>
    <row r="234" spans="2:10" x14ac:dyDescent="0.3">
      <c r="B234">
        <v>1028793142</v>
      </c>
      <c r="C234" s="59">
        <v>42917</v>
      </c>
      <c r="F234" t="s">
        <v>3708</v>
      </c>
      <c r="G234" t="s">
        <v>4422</v>
      </c>
      <c r="H234" s="59">
        <v>43744</v>
      </c>
      <c r="I234" s="59" t="e">
        <f t="shared" si="6"/>
        <v>#N/A</v>
      </c>
      <c r="J234" t="e">
        <f t="shared" si="7"/>
        <v>#N/A</v>
      </c>
    </row>
    <row r="235" spans="2:10" hidden="1" x14ac:dyDescent="0.3">
      <c r="B235">
        <v>1029299640</v>
      </c>
      <c r="C235" s="59">
        <v>43872</v>
      </c>
      <c r="F235" t="s">
        <v>4062</v>
      </c>
      <c r="G235" t="s">
        <v>4289</v>
      </c>
      <c r="H235" s="59">
        <v>43114</v>
      </c>
      <c r="I235" s="59">
        <f t="shared" si="6"/>
        <v>43114</v>
      </c>
      <c r="J235" t="b">
        <f t="shared" si="7"/>
        <v>1</v>
      </c>
    </row>
    <row r="236" spans="2:10" hidden="1" x14ac:dyDescent="0.3">
      <c r="B236">
        <v>1031187767</v>
      </c>
      <c r="C236" s="59">
        <v>44397</v>
      </c>
      <c r="F236">
        <v>1023041247</v>
      </c>
      <c r="G236" t="s">
        <v>4290</v>
      </c>
      <c r="H236" s="59">
        <v>43255</v>
      </c>
      <c r="I236" s="59">
        <f t="shared" si="6"/>
        <v>43255</v>
      </c>
      <c r="J236" t="b">
        <f t="shared" si="7"/>
        <v>1</v>
      </c>
    </row>
    <row r="237" spans="2:10" hidden="1" x14ac:dyDescent="0.3">
      <c r="B237">
        <v>1031188322</v>
      </c>
      <c r="C237" s="59">
        <v>44596</v>
      </c>
      <c r="F237">
        <v>1243859568</v>
      </c>
      <c r="G237" t="s">
        <v>4291</v>
      </c>
      <c r="H237" s="59">
        <v>44119</v>
      </c>
      <c r="I237" s="59">
        <f t="shared" si="6"/>
        <v>44119</v>
      </c>
      <c r="J237" t="b">
        <f t="shared" si="7"/>
        <v>1</v>
      </c>
    </row>
    <row r="238" spans="2:10" hidden="1" x14ac:dyDescent="0.3">
      <c r="B238">
        <v>1031858155</v>
      </c>
      <c r="C238" s="59">
        <v>44279</v>
      </c>
      <c r="F238">
        <v>1206225376</v>
      </c>
      <c r="G238" t="s">
        <v>4292</v>
      </c>
      <c r="H238" s="59">
        <v>43645</v>
      </c>
      <c r="I238" s="59">
        <f t="shared" si="6"/>
        <v>43645</v>
      </c>
      <c r="J238" t="b">
        <f t="shared" si="7"/>
        <v>1</v>
      </c>
    </row>
    <row r="239" spans="2:10" hidden="1" x14ac:dyDescent="0.3">
      <c r="B239">
        <v>1032513713</v>
      </c>
      <c r="C239" s="59">
        <v>44237</v>
      </c>
      <c r="F239">
        <v>1023985952</v>
      </c>
      <c r="G239" t="s">
        <v>4293</v>
      </c>
      <c r="H239" s="59">
        <v>43714</v>
      </c>
      <c r="I239" s="59">
        <f t="shared" si="6"/>
        <v>43714</v>
      </c>
      <c r="J239" t="b">
        <f t="shared" si="7"/>
        <v>1</v>
      </c>
    </row>
    <row r="240" spans="2:10" hidden="1" x14ac:dyDescent="0.3">
      <c r="B240">
        <v>1032514103</v>
      </c>
      <c r="C240" s="59">
        <v>44466</v>
      </c>
      <c r="F240">
        <v>1028675591</v>
      </c>
      <c r="G240" t="s">
        <v>4294</v>
      </c>
      <c r="H240" s="59">
        <v>44392</v>
      </c>
      <c r="I240" s="59">
        <f t="shared" si="6"/>
        <v>44392</v>
      </c>
      <c r="J240" t="b">
        <f t="shared" si="7"/>
        <v>1</v>
      </c>
    </row>
    <row r="241" spans="2:10" hidden="1" x14ac:dyDescent="0.3">
      <c r="B241">
        <v>1032515264</v>
      </c>
      <c r="C241" s="59">
        <v>44699</v>
      </c>
      <c r="F241">
        <v>1028675301</v>
      </c>
      <c r="G241" t="s">
        <v>4295</v>
      </c>
      <c r="H241" s="59">
        <v>44190</v>
      </c>
      <c r="I241" s="59">
        <f t="shared" si="6"/>
        <v>44190</v>
      </c>
      <c r="J241" t="b">
        <f t="shared" si="7"/>
        <v>1</v>
      </c>
    </row>
    <row r="242" spans="2:10" hidden="1" x14ac:dyDescent="0.3">
      <c r="B242">
        <v>1032946299</v>
      </c>
      <c r="C242" s="59">
        <v>44388</v>
      </c>
      <c r="F242">
        <v>1028675603</v>
      </c>
      <c r="G242" t="s">
        <v>4296</v>
      </c>
      <c r="H242" s="59">
        <v>44398</v>
      </c>
      <c r="I242" s="59">
        <f t="shared" si="6"/>
        <v>44398</v>
      </c>
      <c r="J242" t="b">
        <f t="shared" si="7"/>
        <v>1</v>
      </c>
    </row>
    <row r="243" spans="2:10" hidden="1" x14ac:dyDescent="0.3">
      <c r="B243">
        <v>1033822280</v>
      </c>
      <c r="C243" s="59">
        <v>43169</v>
      </c>
      <c r="F243">
        <v>1023988198</v>
      </c>
      <c r="G243" t="s">
        <v>4297</v>
      </c>
      <c r="H243" s="59">
        <v>44263</v>
      </c>
      <c r="I243" s="59">
        <f t="shared" si="6"/>
        <v>44263</v>
      </c>
      <c r="J243" t="b">
        <f t="shared" si="7"/>
        <v>1</v>
      </c>
    </row>
    <row r="244" spans="2:10" hidden="1" x14ac:dyDescent="0.3">
      <c r="B244">
        <v>1033825232</v>
      </c>
      <c r="C244" s="59">
        <v>43447</v>
      </c>
      <c r="F244">
        <v>1107538160</v>
      </c>
      <c r="G244" t="s">
        <v>4298</v>
      </c>
      <c r="H244" s="59">
        <v>44204</v>
      </c>
      <c r="I244" s="59">
        <f t="shared" si="6"/>
        <v>44204</v>
      </c>
      <c r="J244" t="b">
        <f t="shared" si="7"/>
        <v>1</v>
      </c>
    </row>
    <row r="245" spans="2:10" hidden="1" x14ac:dyDescent="0.3">
      <c r="B245">
        <v>1033829949</v>
      </c>
      <c r="C245" s="59">
        <v>44163</v>
      </c>
      <c r="F245">
        <v>1016751226</v>
      </c>
      <c r="G245" t="s">
        <v>4299</v>
      </c>
      <c r="H245" s="59">
        <v>44209</v>
      </c>
      <c r="I245" s="59">
        <f t="shared" si="6"/>
        <v>44209</v>
      </c>
      <c r="J245" t="b">
        <f t="shared" si="7"/>
        <v>1</v>
      </c>
    </row>
    <row r="246" spans="2:10" hidden="1" x14ac:dyDescent="0.3">
      <c r="B246">
        <v>1033830288</v>
      </c>
      <c r="C246" s="59">
        <v>44400</v>
      </c>
      <c r="F246">
        <v>1016751403</v>
      </c>
      <c r="G246" t="s">
        <v>4300</v>
      </c>
      <c r="H246" s="59">
        <v>44238</v>
      </c>
      <c r="I246" s="59">
        <f t="shared" si="6"/>
        <v>44238</v>
      </c>
      <c r="J246" t="b">
        <f t="shared" si="7"/>
        <v>1</v>
      </c>
    </row>
    <row r="247" spans="2:10" hidden="1" x14ac:dyDescent="0.3">
      <c r="B247">
        <v>1039226511</v>
      </c>
      <c r="C247" s="59">
        <v>43979</v>
      </c>
      <c r="F247">
        <v>1016753171</v>
      </c>
      <c r="G247" t="s">
        <v>4301</v>
      </c>
      <c r="H247" s="59">
        <v>44530</v>
      </c>
      <c r="I247" s="59">
        <f t="shared" si="6"/>
        <v>44530</v>
      </c>
      <c r="J247" t="b">
        <f t="shared" si="7"/>
        <v>1</v>
      </c>
    </row>
    <row r="248" spans="2:10" hidden="1" x14ac:dyDescent="0.3">
      <c r="B248">
        <v>1048945559</v>
      </c>
      <c r="C248" s="59">
        <v>44422</v>
      </c>
      <c r="F248">
        <v>22012020072</v>
      </c>
      <c r="G248" t="s">
        <v>4302</v>
      </c>
      <c r="H248" s="59">
        <v>43852</v>
      </c>
      <c r="I248" s="59">
        <f t="shared" si="6"/>
        <v>43852</v>
      </c>
      <c r="J248" t="b">
        <f t="shared" si="7"/>
        <v>1</v>
      </c>
    </row>
    <row r="249" spans="2:10" hidden="1" x14ac:dyDescent="0.3">
      <c r="B249">
        <v>1049663473</v>
      </c>
      <c r="C249" s="59">
        <v>44366</v>
      </c>
      <c r="F249">
        <v>11022018069</v>
      </c>
      <c r="G249" t="s">
        <v>4303</v>
      </c>
      <c r="H249" s="59">
        <v>43142</v>
      </c>
      <c r="I249" s="59">
        <f t="shared" si="6"/>
        <v>43142</v>
      </c>
      <c r="J249" t="b">
        <f t="shared" si="7"/>
        <v>1</v>
      </c>
    </row>
    <row r="250" spans="2:10" hidden="1" x14ac:dyDescent="0.3">
      <c r="B250">
        <v>1051364630</v>
      </c>
      <c r="C250" s="59">
        <v>44341</v>
      </c>
      <c r="F250" t="s">
        <v>4060</v>
      </c>
      <c r="G250" t="s">
        <v>4304</v>
      </c>
      <c r="H250" s="59">
        <v>43557</v>
      </c>
      <c r="I250" s="59">
        <f t="shared" si="6"/>
        <v>43557</v>
      </c>
      <c r="J250" t="b">
        <f t="shared" si="7"/>
        <v>1</v>
      </c>
    </row>
    <row r="251" spans="2:10" hidden="1" x14ac:dyDescent="0.3">
      <c r="B251">
        <v>1051681940</v>
      </c>
      <c r="C251" s="59">
        <v>44684</v>
      </c>
      <c r="F251">
        <v>1028673762</v>
      </c>
      <c r="G251" t="s">
        <v>4305</v>
      </c>
      <c r="H251" s="59">
        <v>43429</v>
      </c>
      <c r="I251" s="59">
        <f t="shared" si="6"/>
        <v>43429</v>
      </c>
      <c r="J251" t="b">
        <f t="shared" si="7"/>
        <v>1</v>
      </c>
    </row>
    <row r="252" spans="2:10" x14ac:dyDescent="0.3">
      <c r="B252">
        <v>1069307141</v>
      </c>
      <c r="C252" s="59">
        <v>43908</v>
      </c>
      <c r="F252">
        <v>1016753593</v>
      </c>
      <c r="G252" t="s">
        <v>4306</v>
      </c>
      <c r="H252" s="59">
        <v>44616</v>
      </c>
      <c r="I252" s="59" t="e">
        <f t="shared" si="6"/>
        <v>#N/A</v>
      </c>
      <c r="J252" t="e">
        <f t="shared" si="7"/>
        <v>#N/A</v>
      </c>
    </row>
    <row r="253" spans="2:10" hidden="1" x14ac:dyDescent="0.3">
      <c r="B253">
        <v>1071551363</v>
      </c>
      <c r="C253" s="59">
        <v>43899</v>
      </c>
      <c r="F253">
        <v>1123212095</v>
      </c>
      <c r="G253" t="s">
        <v>4307</v>
      </c>
      <c r="H253" s="59">
        <v>44354</v>
      </c>
      <c r="I253" s="59">
        <f t="shared" si="6"/>
        <v>44354</v>
      </c>
      <c r="J253" t="b">
        <f t="shared" si="7"/>
        <v>1</v>
      </c>
    </row>
    <row r="254" spans="2:10" hidden="1" x14ac:dyDescent="0.3">
      <c r="B254">
        <v>1073386805</v>
      </c>
      <c r="C254" s="59">
        <v>44320</v>
      </c>
      <c r="F254">
        <v>1243762304</v>
      </c>
      <c r="G254" t="s">
        <v>4308</v>
      </c>
      <c r="H254" s="59">
        <v>44594</v>
      </c>
      <c r="I254" s="59">
        <f t="shared" si="6"/>
        <v>44594</v>
      </c>
      <c r="J254" t="b">
        <f t="shared" si="7"/>
        <v>1</v>
      </c>
    </row>
    <row r="255" spans="2:10" hidden="1" x14ac:dyDescent="0.3">
      <c r="B255">
        <v>1074161366</v>
      </c>
      <c r="C255" s="59">
        <v>44702</v>
      </c>
      <c r="F255">
        <v>1243861102</v>
      </c>
      <c r="G255" t="s">
        <v>4309</v>
      </c>
      <c r="H255" s="59">
        <v>44714</v>
      </c>
      <c r="I255" s="59">
        <f t="shared" si="6"/>
        <v>44714</v>
      </c>
      <c r="J255" t="b">
        <f t="shared" si="7"/>
        <v>1</v>
      </c>
    </row>
    <row r="256" spans="2:10" hidden="1" x14ac:dyDescent="0.3">
      <c r="B256">
        <v>1074536315</v>
      </c>
      <c r="C256" s="59">
        <v>44068</v>
      </c>
      <c r="F256">
        <v>1076320839</v>
      </c>
      <c r="G256" t="s">
        <v>4310</v>
      </c>
      <c r="H256" s="59">
        <v>34229</v>
      </c>
      <c r="I256" s="59">
        <f t="shared" si="6"/>
        <v>34229</v>
      </c>
      <c r="J256" t="b">
        <f t="shared" si="7"/>
        <v>1</v>
      </c>
    </row>
    <row r="257" spans="2:10" hidden="1" x14ac:dyDescent="0.3">
      <c r="B257">
        <v>1074824501</v>
      </c>
      <c r="C257" s="59">
        <v>43083</v>
      </c>
      <c r="F257">
        <v>2611201712</v>
      </c>
      <c r="G257" t="s">
        <v>4311</v>
      </c>
      <c r="H257" s="59">
        <v>43065</v>
      </c>
      <c r="I257" s="59">
        <f t="shared" si="6"/>
        <v>43065</v>
      </c>
      <c r="J257" t="b">
        <f t="shared" si="7"/>
        <v>1</v>
      </c>
    </row>
    <row r="258" spans="2:10" hidden="1" x14ac:dyDescent="0.3">
      <c r="B258">
        <v>1074830522</v>
      </c>
      <c r="C258" s="59">
        <v>44192</v>
      </c>
      <c r="F258">
        <v>1243858043</v>
      </c>
      <c r="G258" t="s">
        <v>4312</v>
      </c>
      <c r="H258" s="59">
        <v>43773</v>
      </c>
      <c r="I258" s="59">
        <f t="shared" si="6"/>
        <v>43773</v>
      </c>
      <c r="J258" t="b">
        <f t="shared" si="7"/>
        <v>1</v>
      </c>
    </row>
    <row r="259" spans="2:10" hidden="1" x14ac:dyDescent="0.3">
      <c r="B259">
        <v>1082161099</v>
      </c>
      <c r="C259" s="59">
        <v>44000</v>
      </c>
      <c r="F259">
        <v>1010850706</v>
      </c>
      <c r="G259" t="s">
        <v>4313</v>
      </c>
      <c r="H259" s="59">
        <v>44635</v>
      </c>
      <c r="I259" s="59">
        <f t="shared" ref="I259:I322" si="8">VLOOKUP(F259,B:D,2,0)</f>
        <v>44635</v>
      </c>
      <c r="J259" t="b">
        <f t="shared" ref="J259:J322" si="9">H259=I259</f>
        <v>1</v>
      </c>
    </row>
    <row r="260" spans="2:10" hidden="1" x14ac:dyDescent="0.3">
      <c r="B260">
        <v>1087214750</v>
      </c>
      <c r="C260" s="59">
        <v>43385</v>
      </c>
      <c r="F260">
        <v>1031172814</v>
      </c>
      <c r="G260" t="s">
        <v>4314</v>
      </c>
      <c r="H260" s="59">
        <v>35728</v>
      </c>
      <c r="I260" s="59">
        <f t="shared" si="8"/>
        <v>35728</v>
      </c>
      <c r="J260" t="b">
        <f t="shared" si="9"/>
        <v>1</v>
      </c>
    </row>
    <row r="261" spans="2:10" hidden="1" x14ac:dyDescent="0.3">
      <c r="B261">
        <v>1087218446</v>
      </c>
      <c r="C261" s="59">
        <v>44458</v>
      </c>
      <c r="F261">
        <v>2092021054</v>
      </c>
      <c r="G261" t="s">
        <v>4315</v>
      </c>
      <c r="H261" s="59">
        <v>44441</v>
      </c>
      <c r="I261" s="59">
        <f t="shared" si="8"/>
        <v>44441</v>
      </c>
      <c r="J261" t="b">
        <f t="shared" si="9"/>
        <v>1</v>
      </c>
    </row>
    <row r="262" spans="2:10" hidden="1" x14ac:dyDescent="0.3">
      <c r="B262">
        <v>1107538160</v>
      </c>
      <c r="C262" s="59">
        <v>44204</v>
      </c>
      <c r="F262" t="s">
        <v>4063</v>
      </c>
      <c r="G262" t="s">
        <v>4316</v>
      </c>
      <c r="H262" s="59">
        <v>37952</v>
      </c>
      <c r="I262" s="59">
        <f t="shared" si="8"/>
        <v>37952</v>
      </c>
      <c r="J262" t="b">
        <f t="shared" si="9"/>
        <v>1</v>
      </c>
    </row>
    <row r="263" spans="2:10" hidden="1" x14ac:dyDescent="0.3">
      <c r="B263">
        <v>1109423243</v>
      </c>
      <c r="C263" s="59">
        <v>43631</v>
      </c>
      <c r="F263">
        <v>1146148428</v>
      </c>
      <c r="G263" t="s">
        <v>4317</v>
      </c>
      <c r="H263" s="59">
        <v>44036</v>
      </c>
      <c r="I263" s="59">
        <f t="shared" si="8"/>
        <v>44036</v>
      </c>
      <c r="J263" t="b">
        <f t="shared" si="9"/>
        <v>1</v>
      </c>
    </row>
    <row r="264" spans="2:10" hidden="1" x14ac:dyDescent="0.3">
      <c r="B264">
        <v>1110181348</v>
      </c>
      <c r="C264" s="59">
        <v>44427</v>
      </c>
      <c r="F264">
        <v>1023043988</v>
      </c>
      <c r="G264" t="s">
        <v>4318</v>
      </c>
      <c r="H264" s="59">
        <v>43690</v>
      </c>
      <c r="I264" s="59">
        <f t="shared" si="8"/>
        <v>43690</v>
      </c>
      <c r="J264" t="b">
        <f t="shared" si="9"/>
        <v>1</v>
      </c>
    </row>
    <row r="265" spans="2:10" hidden="1" x14ac:dyDescent="0.3">
      <c r="B265">
        <v>1116084636</v>
      </c>
      <c r="C265" s="59">
        <v>44551</v>
      </c>
      <c r="F265">
        <v>1023046582</v>
      </c>
      <c r="G265" t="s">
        <v>4319</v>
      </c>
      <c r="H265" s="59">
        <v>44303</v>
      </c>
      <c r="I265" s="59">
        <f t="shared" si="8"/>
        <v>44303</v>
      </c>
      <c r="J265" t="b">
        <f t="shared" si="9"/>
        <v>1</v>
      </c>
    </row>
    <row r="266" spans="2:10" hidden="1" x14ac:dyDescent="0.3">
      <c r="B266">
        <v>1116557589</v>
      </c>
      <c r="C266" s="59">
        <v>44325</v>
      </c>
      <c r="F266">
        <v>1023044204</v>
      </c>
      <c r="G266" t="s">
        <v>4320</v>
      </c>
      <c r="H266" s="59">
        <v>43715</v>
      </c>
      <c r="I266" s="59">
        <f t="shared" si="8"/>
        <v>43715</v>
      </c>
      <c r="J266" t="b">
        <f t="shared" si="9"/>
        <v>1</v>
      </c>
    </row>
    <row r="267" spans="2:10" hidden="1" x14ac:dyDescent="0.3">
      <c r="B267">
        <v>1119187596</v>
      </c>
      <c r="C267" s="59">
        <v>44038</v>
      </c>
      <c r="F267">
        <v>1028793142</v>
      </c>
      <c r="G267" t="s">
        <v>4321</v>
      </c>
      <c r="H267" s="59">
        <v>42917</v>
      </c>
      <c r="I267" s="59">
        <f t="shared" si="8"/>
        <v>42917</v>
      </c>
      <c r="J267" t="b">
        <f t="shared" si="9"/>
        <v>1</v>
      </c>
    </row>
    <row r="268" spans="2:10" hidden="1" x14ac:dyDescent="0.3">
      <c r="B268">
        <v>1121975670</v>
      </c>
      <c r="C268" s="59">
        <v>44153</v>
      </c>
      <c r="F268" t="s">
        <v>4064</v>
      </c>
      <c r="G268" t="s">
        <v>4322</v>
      </c>
      <c r="H268" s="59">
        <v>42822</v>
      </c>
      <c r="I268" s="59">
        <f t="shared" si="8"/>
        <v>42822</v>
      </c>
      <c r="J268" t="b">
        <f t="shared" si="9"/>
        <v>1</v>
      </c>
    </row>
    <row r="269" spans="2:10" hidden="1" x14ac:dyDescent="0.3">
      <c r="B269">
        <v>1122539379</v>
      </c>
      <c r="C269" s="59">
        <v>43968</v>
      </c>
      <c r="F269">
        <v>1003734192</v>
      </c>
      <c r="G269" t="s">
        <v>4323</v>
      </c>
      <c r="H269" s="59">
        <v>37079</v>
      </c>
      <c r="I269" s="59">
        <f t="shared" si="8"/>
        <v>37079</v>
      </c>
      <c r="J269" t="b">
        <f t="shared" si="9"/>
        <v>1</v>
      </c>
    </row>
    <row r="270" spans="2:10" hidden="1" x14ac:dyDescent="0.3">
      <c r="B270">
        <v>1122541025</v>
      </c>
      <c r="C270" s="59">
        <v>44293</v>
      </c>
      <c r="F270">
        <v>1023985500</v>
      </c>
      <c r="G270" t="s">
        <v>4324</v>
      </c>
      <c r="H270" s="59">
        <v>43648</v>
      </c>
      <c r="I270" s="59">
        <f t="shared" si="8"/>
        <v>43648</v>
      </c>
      <c r="J270" t="b">
        <f t="shared" si="9"/>
        <v>1</v>
      </c>
    </row>
    <row r="271" spans="2:10" hidden="1" x14ac:dyDescent="0.3">
      <c r="B271">
        <v>1123212095</v>
      </c>
      <c r="C271" s="59">
        <v>44354</v>
      </c>
      <c r="F271">
        <v>1028675792</v>
      </c>
      <c r="G271" t="s">
        <v>4325</v>
      </c>
      <c r="H271" s="59">
        <v>44700</v>
      </c>
      <c r="I271" s="59">
        <f t="shared" si="8"/>
        <v>44700</v>
      </c>
      <c r="J271" t="b">
        <f t="shared" si="9"/>
        <v>1</v>
      </c>
    </row>
    <row r="272" spans="2:10" hidden="1" x14ac:dyDescent="0.3">
      <c r="B272">
        <v>1136912511</v>
      </c>
      <c r="C272" s="59">
        <v>44348</v>
      </c>
      <c r="F272">
        <v>1013363568</v>
      </c>
      <c r="G272" t="s">
        <v>4326</v>
      </c>
      <c r="H272" s="59">
        <v>43017</v>
      </c>
      <c r="I272" s="59">
        <f t="shared" si="8"/>
        <v>43017</v>
      </c>
      <c r="J272" t="b">
        <f t="shared" si="9"/>
        <v>1</v>
      </c>
    </row>
    <row r="273" spans="2:10" hidden="1" x14ac:dyDescent="0.3">
      <c r="B273">
        <v>1140937152</v>
      </c>
      <c r="C273" s="59">
        <v>43916</v>
      </c>
      <c r="F273">
        <v>1023047456</v>
      </c>
      <c r="G273" t="s">
        <v>4327</v>
      </c>
      <c r="H273" s="59">
        <v>44400</v>
      </c>
      <c r="I273" s="59">
        <f t="shared" si="8"/>
        <v>44400</v>
      </c>
      <c r="J273" t="b">
        <f t="shared" si="9"/>
        <v>1</v>
      </c>
    </row>
    <row r="274" spans="2:10" hidden="1" x14ac:dyDescent="0.3">
      <c r="B274">
        <v>1140937336</v>
      </c>
      <c r="C274" s="59">
        <v>43946</v>
      </c>
      <c r="F274">
        <v>1023042724</v>
      </c>
      <c r="G274" t="s">
        <v>4328</v>
      </c>
      <c r="H274" s="59">
        <v>43499</v>
      </c>
      <c r="I274" s="59">
        <f t="shared" si="8"/>
        <v>43499</v>
      </c>
      <c r="J274" t="b">
        <f t="shared" si="9"/>
        <v>1</v>
      </c>
    </row>
    <row r="275" spans="2:10" hidden="1" x14ac:dyDescent="0.3">
      <c r="B275">
        <v>1140937378</v>
      </c>
      <c r="C275" s="59">
        <v>43949</v>
      </c>
      <c r="F275">
        <v>1023985961</v>
      </c>
      <c r="G275" t="s">
        <v>4329</v>
      </c>
      <c r="H275" s="59">
        <v>43417</v>
      </c>
      <c r="I275" s="59">
        <f t="shared" si="8"/>
        <v>43417</v>
      </c>
      <c r="J275" t="b">
        <f t="shared" si="9"/>
        <v>1</v>
      </c>
    </row>
    <row r="276" spans="2:10" hidden="1" x14ac:dyDescent="0.3">
      <c r="B276">
        <v>1140937833</v>
      </c>
      <c r="C276" s="59">
        <v>43956</v>
      </c>
      <c r="F276">
        <v>1110181348</v>
      </c>
      <c r="G276" t="s">
        <v>4330</v>
      </c>
      <c r="H276" s="59">
        <v>44427</v>
      </c>
      <c r="I276" s="59">
        <f t="shared" si="8"/>
        <v>44427</v>
      </c>
      <c r="J276" t="b">
        <f t="shared" si="9"/>
        <v>1</v>
      </c>
    </row>
    <row r="277" spans="2:10" hidden="1" x14ac:dyDescent="0.3">
      <c r="B277">
        <v>1140938208</v>
      </c>
      <c r="C277" s="59">
        <v>43922</v>
      </c>
      <c r="F277">
        <v>1028674952</v>
      </c>
      <c r="G277" t="s">
        <v>4331</v>
      </c>
      <c r="H277" s="59">
        <v>44166</v>
      </c>
      <c r="I277" s="59">
        <f t="shared" si="8"/>
        <v>43842</v>
      </c>
      <c r="J277" t="b">
        <f t="shared" si="9"/>
        <v>0</v>
      </c>
    </row>
    <row r="278" spans="2:10" hidden="1" x14ac:dyDescent="0.3">
      <c r="B278">
        <v>1140939399</v>
      </c>
      <c r="C278" s="59">
        <v>44073</v>
      </c>
      <c r="F278">
        <v>1243760535</v>
      </c>
      <c r="G278" t="s">
        <v>4332</v>
      </c>
      <c r="H278" s="59">
        <v>44369</v>
      </c>
      <c r="I278" s="59">
        <f t="shared" si="8"/>
        <v>44369</v>
      </c>
      <c r="J278" t="b">
        <f t="shared" si="9"/>
        <v>1</v>
      </c>
    </row>
    <row r="279" spans="2:10" hidden="1" x14ac:dyDescent="0.3">
      <c r="B279">
        <v>1140939459</v>
      </c>
      <c r="C279" s="59">
        <v>44066</v>
      </c>
      <c r="F279">
        <v>1028675486</v>
      </c>
      <c r="G279" t="s">
        <v>4333</v>
      </c>
      <c r="H279" s="59">
        <v>44284</v>
      </c>
      <c r="I279" s="59">
        <f t="shared" si="8"/>
        <v>44284</v>
      </c>
      <c r="J279" t="b">
        <f t="shared" si="9"/>
        <v>1</v>
      </c>
    </row>
    <row r="280" spans="2:10" hidden="1" x14ac:dyDescent="0.3">
      <c r="B280">
        <v>1140939471</v>
      </c>
      <c r="C280" s="59">
        <v>44084</v>
      </c>
      <c r="F280">
        <v>6856169</v>
      </c>
      <c r="G280" t="s">
        <v>4334</v>
      </c>
      <c r="H280" s="59">
        <v>44175</v>
      </c>
      <c r="I280" s="59">
        <f t="shared" si="8"/>
        <v>44175</v>
      </c>
      <c r="J280" t="b">
        <f t="shared" si="9"/>
        <v>1</v>
      </c>
    </row>
    <row r="281" spans="2:10" hidden="1" x14ac:dyDescent="0.3">
      <c r="B281">
        <v>1141371569</v>
      </c>
      <c r="C281" s="59">
        <v>43976</v>
      </c>
      <c r="F281">
        <v>1245078145</v>
      </c>
      <c r="G281" t="s">
        <v>4335</v>
      </c>
      <c r="H281" s="59">
        <v>44124</v>
      </c>
      <c r="I281" s="59">
        <f t="shared" si="8"/>
        <v>44124</v>
      </c>
      <c r="J281" t="b">
        <f t="shared" si="9"/>
        <v>1</v>
      </c>
    </row>
    <row r="282" spans="2:10" hidden="1" x14ac:dyDescent="0.3">
      <c r="B282">
        <v>1145429965</v>
      </c>
      <c r="C282" s="59">
        <v>44233</v>
      </c>
      <c r="F282">
        <v>1016750611</v>
      </c>
      <c r="G282" t="s">
        <v>4423</v>
      </c>
      <c r="H282" s="59">
        <v>44098</v>
      </c>
      <c r="I282" s="59">
        <f t="shared" si="8"/>
        <v>44098</v>
      </c>
      <c r="J282" t="b">
        <f t="shared" si="9"/>
        <v>1</v>
      </c>
    </row>
    <row r="283" spans="2:10" hidden="1" x14ac:dyDescent="0.3">
      <c r="B283">
        <v>1146148428</v>
      </c>
      <c r="C283" s="59">
        <v>44036</v>
      </c>
      <c r="F283">
        <v>1023990109</v>
      </c>
      <c r="G283" t="s">
        <v>4424</v>
      </c>
      <c r="H283" s="59">
        <v>44658</v>
      </c>
      <c r="I283" s="59">
        <f t="shared" si="8"/>
        <v>44658</v>
      </c>
      <c r="J283" t="b">
        <f t="shared" si="9"/>
        <v>1</v>
      </c>
    </row>
    <row r="284" spans="2:10" hidden="1" x14ac:dyDescent="0.3">
      <c r="B284">
        <v>1150190022</v>
      </c>
      <c r="C284" s="59">
        <v>44200</v>
      </c>
      <c r="F284">
        <v>1023989585</v>
      </c>
      <c r="G284" t="s">
        <v>4338</v>
      </c>
      <c r="H284" s="59">
        <v>44519</v>
      </c>
      <c r="I284" s="59">
        <f t="shared" si="8"/>
        <v>44519</v>
      </c>
      <c r="J284" t="b">
        <f t="shared" si="9"/>
        <v>1</v>
      </c>
    </row>
    <row r="285" spans="2:10" hidden="1" x14ac:dyDescent="0.3">
      <c r="B285">
        <v>1157968975</v>
      </c>
      <c r="C285" s="59">
        <v>44472</v>
      </c>
      <c r="F285">
        <v>1024611079</v>
      </c>
      <c r="G285" t="s">
        <v>4425</v>
      </c>
      <c r="H285" s="59">
        <v>44300</v>
      </c>
      <c r="I285" s="59">
        <f t="shared" si="8"/>
        <v>44300</v>
      </c>
      <c r="J285" t="b">
        <f t="shared" si="9"/>
        <v>1</v>
      </c>
    </row>
    <row r="286" spans="2:10" hidden="1" x14ac:dyDescent="0.3">
      <c r="B286">
        <v>1206225376</v>
      </c>
      <c r="C286" s="59">
        <v>43645</v>
      </c>
      <c r="F286">
        <v>1023045054</v>
      </c>
      <c r="G286" t="s">
        <v>4340</v>
      </c>
      <c r="H286" s="59">
        <v>43839</v>
      </c>
      <c r="I286" s="59">
        <f t="shared" si="8"/>
        <v>43839</v>
      </c>
      <c r="J286" t="b">
        <f t="shared" si="9"/>
        <v>1</v>
      </c>
    </row>
    <row r="287" spans="2:10" hidden="1" x14ac:dyDescent="0.3">
      <c r="B287">
        <v>1206226100</v>
      </c>
      <c r="C287" s="59">
        <v>44011</v>
      </c>
      <c r="F287">
        <v>1074830522</v>
      </c>
      <c r="G287" t="s">
        <v>4426</v>
      </c>
      <c r="H287" s="59">
        <v>44192</v>
      </c>
      <c r="I287" s="59">
        <f t="shared" si="8"/>
        <v>44192</v>
      </c>
      <c r="J287" t="b">
        <f t="shared" si="9"/>
        <v>1</v>
      </c>
    </row>
    <row r="288" spans="2:10" hidden="1" x14ac:dyDescent="0.3">
      <c r="B288">
        <v>1206226627</v>
      </c>
      <c r="C288" s="59">
        <v>44182</v>
      </c>
      <c r="F288">
        <v>1109423243</v>
      </c>
      <c r="G288" t="s">
        <v>4342</v>
      </c>
      <c r="H288" s="59">
        <v>43631</v>
      </c>
      <c r="I288" s="59">
        <f t="shared" si="8"/>
        <v>43631</v>
      </c>
      <c r="J288" t="b">
        <f t="shared" si="9"/>
        <v>1</v>
      </c>
    </row>
    <row r="289" spans="2:10" hidden="1" x14ac:dyDescent="0.3">
      <c r="B289">
        <v>1206227830</v>
      </c>
      <c r="C289" s="59">
        <v>44593</v>
      </c>
      <c r="F289">
        <v>1023989178</v>
      </c>
      <c r="G289" t="s">
        <v>4427</v>
      </c>
      <c r="H289" s="59">
        <v>44224</v>
      </c>
      <c r="I289" s="59">
        <f t="shared" si="8"/>
        <v>44224</v>
      </c>
      <c r="J289" t="b">
        <f t="shared" si="9"/>
        <v>1</v>
      </c>
    </row>
    <row r="290" spans="2:10" hidden="1" x14ac:dyDescent="0.3">
      <c r="B290">
        <v>1222218723</v>
      </c>
      <c r="C290" s="59">
        <v>43171</v>
      </c>
      <c r="F290">
        <v>1031188322</v>
      </c>
      <c r="G290" t="s">
        <v>4344</v>
      </c>
      <c r="H290" s="59">
        <v>44596</v>
      </c>
      <c r="I290" s="59">
        <f t="shared" si="8"/>
        <v>44596</v>
      </c>
      <c r="J290" t="b">
        <f t="shared" si="9"/>
        <v>1</v>
      </c>
    </row>
    <row r="291" spans="2:10" hidden="1" x14ac:dyDescent="0.3">
      <c r="B291">
        <v>1222222647</v>
      </c>
      <c r="C291" s="59">
        <v>43683</v>
      </c>
      <c r="F291">
        <v>1136912511</v>
      </c>
      <c r="G291" t="s">
        <v>4345</v>
      </c>
      <c r="H291" s="59">
        <v>44348</v>
      </c>
      <c r="I291" s="59">
        <f t="shared" si="8"/>
        <v>44348</v>
      </c>
      <c r="J291" t="b">
        <f t="shared" si="9"/>
        <v>1</v>
      </c>
    </row>
    <row r="292" spans="2:10" hidden="1" x14ac:dyDescent="0.3">
      <c r="B292">
        <v>1222223375</v>
      </c>
      <c r="C292" s="59">
        <v>43808</v>
      </c>
      <c r="F292">
        <v>1116084636</v>
      </c>
      <c r="G292" t="s">
        <v>4346</v>
      </c>
      <c r="H292" s="59">
        <v>44551</v>
      </c>
      <c r="I292" s="59">
        <f t="shared" si="8"/>
        <v>44551</v>
      </c>
      <c r="J292" t="b">
        <f t="shared" si="9"/>
        <v>1</v>
      </c>
    </row>
    <row r="293" spans="2:10" hidden="1" x14ac:dyDescent="0.3">
      <c r="B293">
        <v>1233514448</v>
      </c>
      <c r="C293" s="59">
        <v>43278</v>
      </c>
      <c r="F293">
        <v>1243859848</v>
      </c>
      <c r="G293" t="s">
        <v>4347</v>
      </c>
      <c r="H293" s="59">
        <v>44183</v>
      </c>
      <c r="I293" s="59">
        <f t="shared" si="8"/>
        <v>44183</v>
      </c>
      <c r="J293" t="b">
        <f t="shared" si="9"/>
        <v>1</v>
      </c>
    </row>
    <row r="294" spans="2:10" hidden="1" x14ac:dyDescent="0.3">
      <c r="B294">
        <v>1233514915</v>
      </c>
      <c r="C294" s="59">
        <v>43304</v>
      </c>
      <c r="F294">
        <v>1243860479</v>
      </c>
      <c r="G294" t="s">
        <v>4348</v>
      </c>
      <c r="H294" s="59">
        <v>44402</v>
      </c>
      <c r="I294" s="59">
        <f t="shared" si="8"/>
        <v>44402</v>
      </c>
      <c r="J294" t="b">
        <f t="shared" si="9"/>
        <v>1</v>
      </c>
    </row>
    <row r="295" spans="2:10" hidden="1" x14ac:dyDescent="0.3">
      <c r="B295">
        <v>1233698686</v>
      </c>
      <c r="C295" s="59">
        <v>43667</v>
      </c>
      <c r="F295">
        <v>1140937378</v>
      </c>
      <c r="G295" t="s">
        <v>4349</v>
      </c>
      <c r="H295" s="59">
        <v>43949</v>
      </c>
      <c r="I295" s="59">
        <f t="shared" si="8"/>
        <v>43949</v>
      </c>
      <c r="J295" t="b">
        <f t="shared" si="9"/>
        <v>1</v>
      </c>
    </row>
    <row r="296" spans="2:10" hidden="1" x14ac:dyDescent="0.3">
      <c r="B296">
        <v>1233924826</v>
      </c>
      <c r="C296" s="59">
        <v>44662</v>
      </c>
      <c r="F296">
        <v>1023048810</v>
      </c>
      <c r="G296" t="s">
        <v>4350</v>
      </c>
      <c r="H296" s="59">
        <v>44760</v>
      </c>
      <c r="I296" s="59">
        <f t="shared" si="8"/>
        <v>44760</v>
      </c>
      <c r="J296" t="b">
        <f t="shared" si="9"/>
        <v>1</v>
      </c>
    </row>
    <row r="297" spans="2:10" hidden="1" x14ac:dyDescent="0.3">
      <c r="B297">
        <v>1235051447</v>
      </c>
      <c r="C297" s="59">
        <v>44272</v>
      </c>
      <c r="F297">
        <v>1023048476</v>
      </c>
      <c r="G297" t="s">
        <v>4351</v>
      </c>
      <c r="H297" s="59">
        <v>44668</v>
      </c>
      <c r="I297" s="59">
        <f t="shared" si="8"/>
        <v>44668</v>
      </c>
      <c r="J297" t="b">
        <f t="shared" si="9"/>
        <v>1</v>
      </c>
    </row>
    <row r="298" spans="2:10" hidden="1" x14ac:dyDescent="0.3">
      <c r="B298">
        <v>1240693955</v>
      </c>
      <c r="C298" s="59">
        <v>44216</v>
      </c>
      <c r="F298">
        <v>1023045825</v>
      </c>
      <c r="G298" t="s">
        <v>4352</v>
      </c>
      <c r="H298" s="59">
        <v>44150</v>
      </c>
      <c r="I298" s="59">
        <f t="shared" si="8"/>
        <v>44150</v>
      </c>
      <c r="J298" t="b">
        <f t="shared" si="9"/>
        <v>1</v>
      </c>
    </row>
    <row r="299" spans="2:10" hidden="1" x14ac:dyDescent="0.3">
      <c r="B299">
        <v>1243759568</v>
      </c>
      <c r="C299" s="59">
        <v>44218</v>
      </c>
      <c r="F299">
        <v>1010252066</v>
      </c>
      <c r="G299" t="s">
        <v>4353</v>
      </c>
      <c r="H299" s="59">
        <v>44400</v>
      </c>
      <c r="I299" s="59">
        <f t="shared" si="8"/>
        <v>44400</v>
      </c>
      <c r="J299" t="b">
        <f t="shared" si="9"/>
        <v>1</v>
      </c>
    </row>
    <row r="300" spans="2:10" hidden="1" x14ac:dyDescent="0.3">
      <c r="B300">
        <v>1243760535</v>
      </c>
      <c r="C300" s="59">
        <v>44369</v>
      </c>
      <c r="F300">
        <v>1243860096</v>
      </c>
      <c r="G300" t="s">
        <v>4354</v>
      </c>
      <c r="H300" s="59">
        <v>44256</v>
      </c>
      <c r="I300" s="59">
        <f t="shared" si="8"/>
        <v>44256</v>
      </c>
      <c r="J300" t="b">
        <f t="shared" si="9"/>
        <v>1</v>
      </c>
    </row>
    <row r="301" spans="2:10" hidden="1" x14ac:dyDescent="0.3">
      <c r="B301">
        <v>1243761335</v>
      </c>
      <c r="C301" s="59">
        <v>44450</v>
      </c>
      <c r="F301">
        <v>1243859556</v>
      </c>
      <c r="G301" t="s">
        <v>4355</v>
      </c>
      <c r="H301" s="59">
        <v>44100</v>
      </c>
      <c r="I301" s="59">
        <f t="shared" si="8"/>
        <v>44100</v>
      </c>
      <c r="J301" t="b">
        <f t="shared" si="9"/>
        <v>1</v>
      </c>
    </row>
    <row r="302" spans="2:10" hidden="1" x14ac:dyDescent="0.3">
      <c r="B302">
        <v>1243762294</v>
      </c>
      <c r="C302" s="59">
        <v>44594</v>
      </c>
      <c r="F302">
        <v>1024612013</v>
      </c>
      <c r="G302" t="s">
        <v>4356</v>
      </c>
      <c r="H302" s="59">
        <v>44493</v>
      </c>
      <c r="I302" s="59">
        <f t="shared" si="8"/>
        <v>44493</v>
      </c>
      <c r="J302" t="b">
        <f t="shared" si="9"/>
        <v>1</v>
      </c>
    </row>
    <row r="303" spans="2:10" hidden="1" x14ac:dyDescent="0.3">
      <c r="B303">
        <v>1243762304</v>
      </c>
      <c r="C303" s="59">
        <v>44594</v>
      </c>
      <c r="F303">
        <v>1243761335</v>
      </c>
      <c r="G303" t="s">
        <v>4357</v>
      </c>
      <c r="H303" s="59">
        <v>44450</v>
      </c>
      <c r="I303" s="59">
        <f t="shared" si="8"/>
        <v>44450</v>
      </c>
      <c r="J303" t="b">
        <f t="shared" si="9"/>
        <v>1</v>
      </c>
    </row>
    <row r="304" spans="2:10" hidden="1" x14ac:dyDescent="0.3">
      <c r="B304">
        <v>1243763085</v>
      </c>
      <c r="C304" s="59">
        <v>44687</v>
      </c>
      <c r="F304">
        <v>1022939239</v>
      </c>
      <c r="G304" t="s">
        <v>4358</v>
      </c>
      <c r="H304" s="59">
        <v>38706</v>
      </c>
      <c r="I304" s="59">
        <f t="shared" si="8"/>
        <v>38706</v>
      </c>
      <c r="J304" t="b">
        <f t="shared" si="9"/>
        <v>1</v>
      </c>
    </row>
    <row r="305" spans="2:10" hidden="1" x14ac:dyDescent="0.3">
      <c r="B305">
        <v>1243858043</v>
      </c>
      <c r="C305" s="59">
        <v>43773</v>
      </c>
      <c r="F305">
        <v>1023048929</v>
      </c>
      <c r="G305" t="s">
        <v>4359</v>
      </c>
      <c r="H305" s="59">
        <v>44780</v>
      </c>
      <c r="I305" s="59">
        <f t="shared" si="8"/>
        <v>44780</v>
      </c>
      <c r="J305" t="b">
        <f t="shared" si="9"/>
        <v>1</v>
      </c>
    </row>
    <row r="306" spans="2:10" hidden="1" x14ac:dyDescent="0.3">
      <c r="B306">
        <v>1243858393</v>
      </c>
      <c r="C306" s="59">
        <v>43931</v>
      </c>
      <c r="F306">
        <v>1023048978</v>
      </c>
      <c r="G306" t="s">
        <v>4360</v>
      </c>
      <c r="H306" s="59">
        <v>44769</v>
      </c>
      <c r="I306" s="59">
        <f t="shared" si="8"/>
        <v>44769</v>
      </c>
      <c r="J306" t="b">
        <f t="shared" si="9"/>
        <v>1</v>
      </c>
    </row>
    <row r="307" spans="2:10" hidden="1" x14ac:dyDescent="0.3">
      <c r="B307">
        <v>1243858572</v>
      </c>
      <c r="C307" s="59">
        <v>43898</v>
      </c>
      <c r="F307">
        <v>1087218446</v>
      </c>
      <c r="G307" t="s">
        <v>4361</v>
      </c>
      <c r="H307" s="59">
        <v>44458</v>
      </c>
      <c r="I307" s="59">
        <f t="shared" si="8"/>
        <v>44458</v>
      </c>
      <c r="J307" t="b">
        <f t="shared" si="9"/>
        <v>1</v>
      </c>
    </row>
    <row r="308" spans="2:10" hidden="1" x14ac:dyDescent="0.3">
      <c r="B308">
        <v>1243858756</v>
      </c>
      <c r="C308" s="59">
        <v>43992</v>
      </c>
      <c r="F308">
        <v>1007101197</v>
      </c>
      <c r="G308" t="s">
        <v>4362</v>
      </c>
      <c r="H308" s="59">
        <v>37019</v>
      </c>
      <c r="I308" s="59">
        <f t="shared" si="8"/>
        <v>37019</v>
      </c>
      <c r="J308" t="b">
        <f t="shared" si="9"/>
        <v>1</v>
      </c>
    </row>
    <row r="309" spans="2:10" hidden="1" x14ac:dyDescent="0.3">
      <c r="B309">
        <v>1243859093</v>
      </c>
      <c r="C309" s="59">
        <v>44011</v>
      </c>
      <c r="F309">
        <v>1145429965</v>
      </c>
      <c r="G309" t="s">
        <v>4363</v>
      </c>
      <c r="H309" s="59">
        <v>44233</v>
      </c>
      <c r="I309" s="59">
        <f t="shared" si="8"/>
        <v>44233</v>
      </c>
      <c r="J309" t="b">
        <f t="shared" si="9"/>
        <v>1</v>
      </c>
    </row>
    <row r="310" spans="2:10" hidden="1" x14ac:dyDescent="0.3">
      <c r="B310">
        <v>1243859248</v>
      </c>
      <c r="C310" s="59">
        <v>44042</v>
      </c>
      <c r="F310">
        <v>1028675965</v>
      </c>
      <c r="G310" t="s">
        <v>4364</v>
      </c>
      <c r="H310" s="59">
        <v>44798</v>
      </c>
      <c r="I310" s="59">
        <f t="shared" si="8"/>
        <v>44798</v>
      </c>
      <c r="J310" t="b">
        <f t="shared" si="9"/>
        <v>1</v>
      </c>
    </row>
    <row r="311" spans="2:10" hidden="1" x14ac:dyDescent="0.3">
      <c r="B311">
        <v>1243859299</v>
      </c>
      <c r="C311" s="59">
        <v>44043</v>
      </c>
      <c r="F311">
        <v>1028675921</v>
      </c>
      <c r="G311" t="s">
        <v>4365</v>
      </c>
      <c r="H311" s="59">
        <v>44777</v>
      </c>
      <c r="I311" s="59">
        <f t="shared" si="8"/>
        <v>44777</v>
      </c>
      <c r="J311" t="b">
        <f t="shared" si="9"/>
        <v>1</v>
      </c>
    </row>
    <row r="312" spans="2:10" hidden="1" x14ac:dyDescent="0.3">
      <c r="B312">
        <v>1243859333</v>
      </c>
      <c r="C312" s="59">
        <v>44073</v>
      </c>
      <c r="F312">
        <v>1028675793</v>
      </c>
      <c r="G312" t="s">
        <v>4366</v>
      </c>
      <c r="H312" s="59">
        <v>44705</v>
      </c>
      <c r="I312" s="59">
        <f t="shared" si="8"/>
        <v>44705</v>
      </c>
      <c r="J312" t="b">
        <f t="shared" si="9"/>
        <v>1</v>
      </c>
    </row>
    <row r="313" spans="2:10" hidden="1" x14ac:dyDescent="0.3">
      <c r="B313">
        <v>1243859369</v>
      </c>
      <c r="C313" s="59">
        <v>44077</v>
      </c>
      <c r="F313">
        <v>1028673976</v>
      </c>
      <c r="G313" t="s">
        <v>4367</v>
      </c>
      <c r="H313" s="59">
        <v>43513</v>
      </c>
      <c r="I313" s="59">
        <f t="shared" si="8"/>
        <v>43148</v>
      </c>
      <c r="J313" t="b">
        <f t="shared" si="9"/>
        <v>0</v>
      </c>
    </row>
    <row r="314" spans="2:10" hidden="1" x14ac:dyDescent="0.3">
      <c r="B314">
        <v>1243859420</v>
      </c>
      <c r="C314" s="59">
        <v>44067</v>
      </c>
      <c r="F314">
        <v>1023989592</v>
      </c>
      <c r="G314" t="s">
        <v>4368</v>
      </c>
      <c r="H314" s="59">
        <v>44595</v>
      </c>
      <c r="I314" s="59">
        <f t="shared" si="8"/>
        <v>44595</v>
      </c>
      <c r="J314" t="b">
        <f t="shared" si="9"/>
        <v>1</v>
      </c>
    </row>
    <row r="315" spans="2:10" hidden="1" x14ac:dyDescent="0.3">
      <c r="B315">
        <v>1243859489</v>
      </c>
      <c r="C315" s="59">
        <v>44095</v>
      </c>
      <c r="F315">
        <v>1023045428</v>
      </c>
      <c r="G315" t="s">
        <v>4369</v>
      </c>
      <c r="H315" s="59">
        <v>44055</v>
      </c>
      <c r="I315" s="59">
        <f t="shared" si="8"/>
        <v>44055</v>
      </c>
      <c r="J315" t="b">
        <f t="shared" si="9"/>
        <v>1</v>
      </c>
    </row>
    <row r="316" spans="2:10" hidden="1" x14ac:dyDescent="0.3">
      <c r="B316">
        <v>1243859520</v>
      </c>
      <c r="C316" s="59">
        <v>44082</v>
      </c>
      <c r="F316">
        <v>1243859369</v>
      </c>
      <c r="G316" t="s">
        <v>4370</v>
      </c>
      <c r="H316" s="59">
        <v>44077</v>
      </c>
      <c r="I316" s="59">
        <f t="shared" si="8"/>
        <v>44077</v>
      </c>
      <c r="J316" t="b">
        <f t="shared" si="9"/>
        <v>1</v>
      </c>
    </row>
    <row r="317" spans="2:10" hidden="1" x14ac:dyDescent="0.3">
      <c r="B317">
        <v>1243859556</v>
      </c>
      <c r="C317" s="59">
        <v>44100</v>
      </c>
      <c r="F317">
        <v>1016751329</v>
      </c>
      <c r="G317" t="s">
        <v>4371</v>
      </c>
      <c r="H317" s="59">
        <v>44224</v>
      </c>
      <c r="I317" s="59">
        <f t="shared" si="8"/>
        <v>44224</v>
      </c>
      <c r="J317" t="b">
        <f t="shared" si="9"/>
        <v>1</v>
      </c>
    </row>
    <row r="318" spans="2:10" hidden="1" x14ac:dyDescent="0.3">
      <c r="B318">
        <v>1243859568</v>
      </c>
      <c r="C318" s="59">
        <v>44119</v>
      </c>
      <c r="F318">
        <v>1023985987</v>
      </c>
      <c r="G318" t="s">
        <v>4372</v>
      </c>
      <c r="H318" s="59">
        <v>43757</v>
      </c>
      <c r="I318" s="59">
        <f t="shared" si="8"/>
        <v>43757</v>
      </c>
      <c r="J318" t="b">
        <f t="shared" si="9"/>
        <v>1</v>
      </c>
    </row>
    <row r="319" spans="2:10" hidden="1" x14ac:dyDescent="0.3">
      <c r="B319">
        <v>1243859848</v>
      </c>
      <c r="C319" s="59">
        <v>44183</v>
      </c>
      <c r="F319">
        <v>1222222647</v>
      </c>
      <c r="G319" t="s">
        <v>4373</v>
      </c>
      <c r="H319" s="59">
        <v>43683</v>
      </c>
      <c r="I319" s="59">
        <f t="shared" si="8"/>
        <v>43683</v>
      </c>
      <c r="J319" t="b">
        <f t="shared" si="9"/>
        <v>1</v>
      </c>
    </row>
    <row r="320" spans="2:10" hidden="1" x14ac:dyDescent="0.3">
      <c r="B320">
        <v>1243859893</v>
      </c>
      <c r="C320" s="59">
        <v>44184</v>
      </c>
      <c r="F320">
        <v>1087214750</v>
      </c>
      <c r="G320" t="s">
        <v>4374</v>
      </c>
      <c r="H320" s="59">
        <v>43385</v>
      </c>
      <c r="I320" s="59">
        <f t="shared" si="8"/>
        <v>43385</v>
      </c>
      <c r="J320" t="b">
        <f t="shared" si="9"/>
        <v>1</v>
      </c>
    </row>
    <row r="321" spans="2:10" hidden="1" x14ac:dyDescent="0.3">
      <c r="B321">
        <v>1243859943</v>
      </c>
      <c r="C321" s="59">
        <v>44224</v>
      </c>
      <c r="F321">
        <v>1140939459</v>
      </c>
      <c r="G321" t="s">
        <v>4375</v>
      </c>
      <c r="H321" s="59">
        <v>44066</v>
      </c>
      <c r="I321" s="59">
        <f t="shared" si="8"/>
        <v>44066</v>
      </c>
      <c r="J321" t="b">
        <f t="shared" si="9"/>
        <v>1</v>
      </c>
    </row>
    <row r="322" spans="2:10" hidden="1" x14ac:dyDescent="0.3">
      <c r="B322">
        <v>1243860015</v>
      </c>
      <c r="C322" s="59">
        <v>44246</v>
      </c>
      <c r="F322">
        <v>1028676088</v>
      </c>
      <c r="G322" t="s">
        <v>4428</v>
      </c>
      <c r="H322" s="59">
        <v>44850</v>
      </c>
      <c r="I322" s="59">
        <f t="shared" si="8"/>
        <v>44850</v>
      </c>
      <c r="J322" t="b">
        <f t="shared" si="9"/>
        <v>1</v>
      </c>
    </row>
    <row r="323" spans="2:10" hidden="1" x14ac:dyDescent="0.3">
      <c r="B323">
        <v>1243860045</v>
      </c>
      <c r="C323" s="59">
        <v>44112</v>
      </c>
      <c r="F323">
        <v>1076019181</v>
      </c>
      <c r="G323" t="s">
        <v>4377</v>
      </c>
      <c r="H323" s="59">
        <v>35251</v>
      </c>
      <c r="I323" s="59">
        <f t="shared" ref="I323:I351" si="10">VLOOKUP(F323,B:D,2,0)</f>
        <v>35251</v>
      </c>
      <c r="J323" t="b">
        <f t="shared" ref="J323:J351" si="11">H323=I323</f>
        <v>1</v>
      </c>
    </row>
    <row r="324" spans="2:10" hidden="1" x14ac:dyDescent="0.3">
      <c r="B324">
        <v>1243860096</v>
      </c>
      <c r="C324" s="59">
        <v>44256</v>
      </c>
      <c r="F324">
        <v>1023048734</v>
      </c>
      <c r="G324" t="s">
        <v>4378</v>
      </c>
      <c r="H324" s="59">
        <v>44752</v>
      </c>
      <c r="I324" s="59">
        <f t="shared" si="10"/>
        <v>44752</v>
      </c>
      <c r="J324" t="b">
        <f t="shared" si="11"/>
        <v>1</v>
      </c>
    </row>
    <row r="325" spans="2:10" hidden="1" x14ac:dyDescent="0.3">
      <c r="B325">
        <v>1243860477</v>
      </c>
      <c r="C325" s="59">
        <v>44393</v>
      </c>
      <c r="F325">
        <v>1023048879</v>
      </c>
      <c r="G325" t="s">
        <v>4379</v>
      </c>
      <c r="H325" s="59">
        <v>44768</v>
      </c>
      <c r="I325" s="59">
        <f t="shared" si="10"/>
        <v>44768</v>
      </c>
      <c r="J325" t="b">
        <f t="shared" si="11"/>
        <v>1</v>
      </c>
    </row>
    <row r="326" spans="2:10" hidden="1" x14ac:dyDescent="0.3">
      <c r="B326">
        <v>1243860479</v>
      </c>
      <c r="C326" s="59">
        <v>44402</v>
      </c>
      <c r="F326">
        <v>1016749744</v>
      </c>
      <c r="G326" t="s">
        <v>4380</v>
      </c>
      <c r="H326" s="59">
        <v>43962</v>
      </c>
      <c r="I326" s="59">
        <f t="shared" si="10"/>
        <v>43962</v>
      </c>
      <c r="J326" t="b">
        <f t="shared" si="11"/>
        <v>1</v>
      </c>
    </row>
    <row r="327" spans="2:10" hidden="1" x14ac:dyDescent="0.3">
      <c r="B327">
        <v>1243860582</v>
      </c>
      <c r="C327" s="59">
        <v>44431</v>
      </c>
      <c r="F327">
        <v>1023990155</v>
      </c>
      <c r="G327" t="s">
        <v>4381</v>
      </c>
      <c r="H327" s="59">
        <v>44712</v>
      </c>
      <c r="I327" s="59">
        <f t="shared" si="10"/>
        <v>44712</v>
      </c>
      <c r="J327" t="b">
        <f t="shared" si="11"/>
        <v>1</v>
      </c>
    </row>
    <row r="328" spans="2:10" hidden="1" x14ac:dyDescent="0.3">
      <c r="B328">
        <v>1243860608</v>
      </c>
      <c r="C328" s="59">
        <v>44424</v>
      </c>
      <c r="F328">
        <v>1016744027</v>
      </c>
      <c r="G328" t="s">
        <v>4382</v>
      </c>
      <c r="H328" s="59">
        <v>43083</v>
      </c>
      <c r="I328" s="59">
        <f t="shared" si="10"/>
        <v>43083</v>
      </c>
      <c r="J328" t="b">
        <f t="shared" si="11"/>
        <v>1</v>
      </c>
    </row>
    <row r="329" spans="2:10" hidden="1" x14ac:dyDescent="0.3">
      <c r="B329">
        <v>1243860756</v>
      </c>
      <c r="C329" s="59">
        <v>44521</v>
      </c>
      <c r="F329">
        <v>1016743297</v>
      </c>
      <c r="G329" t="s">
        <v>4383</v>
      </c>
      <c r="H329" s="59">
        <v>42955</v>
      </c>
      <c r="I329" s="59">
        <f t="shared" si="10"/>
        <v>42955</v>
      </c>
      <c r="J329" t="b">
        <f t="shared" si="11"/>
        <v>1</v>
      </c>
    </row>
    <row r="330" spans="2:10" hidden="1" x14ac:dyDescent="0.3">
      <c r="B330">
        <v>1243860817</v>
      </c>
      <c r="C330" s="59">
        <v>44536</v>
      </c>
      <c r="F330">
        <v>1233514448</v>
      </c>
      <c r="G330" t="s">
        <v>4384</v>
      </c>
      <c r="H330" s="59">
        <v>43278</v>
      </c>
      <c r="I330" s="59">
        <f t="shared" si="10"/>
        <v>43278</v>
      </c>
      <c r="J330" t="b">
        <f t="shared" si="11"/>
        <v>1</v>
      </c>
    </row>
    <row r="331" spans="2:10" hidden="1" x14ac:dyDescent="0.3">
      <c r="B331">
        <v>1243860849</v>
      </c>
      <c r="C331" s="59">
        <v>44557</v>
      </c>
      <c r="F331">
        <v>1021696822</v>
      </c>
      <c r="G331" t="s">
        <v>3839</v>
      </c>
      <c r="H331" s="59">
        <v>44527</v>
      </c>
      <c r="I331" s="59">
        <f t="shared" si="10"/>
        <v>44527</v>
      </c>
      <c r="J331" t="b">
        <f t="shared" si="11"/>
        <v>1</v>
      </c>
    </row>
    <row r="332" spans="2:10" hidden="1" x14ac:dyDescent="0.3">
      <c r="B332">
        <v>1243860881</v>
      </c>
      <c r="C332" s="59">
        <v>44568</v>
      </c>
      <c r="F332">
        <v>1023046980</v>
      </c>
      <c r="G332" t="s">
        <v>4385</v>
      </c>
      <c r="H332" s="59">
        <v>44391</v>
      </c>
      <c r="I332" s="59">
        <f t="shared" si="10"/>
        <v>44391</v>
      </c>
      <c r="J332" t="b">
        <f t="shared" si="11"/>
        <v>1</v>
      </c>
    </row>
    <row r="333" spans="2:10" hidden="1" x14ac:dyDescent="0.3">
      <c r="B333">
        <v>1243860929</v>
      </c>
      <c r="C333" s="59">
        <v>44595</v>
      </c>
      <c r="F333">
        <v>1206226627</v>
      </c>
      <c r="G333" t="s">
        <v>4386</v>
      </c>
      <c r="H333" s="59">
        <v>44182</v>
      </c>
      <c r="I333" s="59">
        <f t="shared" si="10"/>
        <v>44182</v>
      </c>
      <c r="J333" t="b">
        <f t="shared" si="11"/>
        <v>1</v>
      </c>
    </row>
    <row r="334" spans="2:10" hidden="1" x14ac:dyDescent="0.3">
      <c r="B334">
        <v>1243861023</v>
      </c>
      <c r="C334" s="59">
        <v>44652</v>
      </c>
      <c r="F334">
        <v>1222223375</v>
      </c>
      <c r="G334" t="s">
        <v>4387</v>
      </c>
      <c r="H334" s="59">
        <v>43808</v>
      </c>
      <c r="I334" s="59">
        <f t="shared" si="10"/>
        <v>43808</v>
      </c>
      <c r="J334" t="b">
        <f t="shared" si="11"/>
        <v>1</v>
      </c>
    </row>
    <row r="335" spans="2:10" hidden="1" x14ac:dyDescent="0.3">
      <c r="B335">
        <v>1243861036</v>
      </c>
      <c r="C335" s="59">
        <v>44651</v>
      </c>
      <c r="F335">
        <v>1023046801</v>
      </c>
      <c r="G335" t="s">
        <v>4388</v>
      </c>
      <c r="H335" s="59">
        <v>44309</v>
      </c>
      <c r="I335" s="59">
        <f t="shared" si="10"/>
        <v>44309</v>
      </c>
      <c r="J335" t="b">
        <f t="shared" si="11"/>
        <v>1</v>
      </c>
    </row>
    <row r="336" spans="2:10" hidden="1" x14ac:dyDescent="0.3">
      <c r="B336">
        <v>1243861083</v>
      </c>
      <c r="C336" s="59">
        <v>44700</v>
      </c>
      <c r="F336">
        <v>1233924826</v>
      </c>
      <c r="G336" t="s">
        <v>4389</v>
      </c>
      <c r="H336" s="59">
        <v>44662</v>
      </c>
      <c r="I336" s="59">
        <f t="shared" si="10"/>
        <v>44662</v>
      </c>
      <c r="J336" t="b">
        <f t="shared" si="11"/>
        <v>1</v>
      </c>
    </row>
    <row r="337" spans="2:10" hidden="1" x14ac:dyDescent="0.3">
      <c r="B337">
        <v>1243861089</v>
      </c>
      <c r="C337" s="59">
        <v>44684</v>
      </c>
      <c r="F337">
        <v>1245079112</v>
      </c>
      <c r="G337" t="s">
        <v>4390</v>
      </c>
      <c r="H337" s="59">
        <v>44454</v>
      </c>
      <c r="I337" s="59">
        <f t="shared" si="10"/>
        <v>44454</v>
      </c>
      <c r="J337" t="b">
        <f t="shared" si="11"/>
        <v>1</v>
      </c>
    </row>
    <row r="338" spans="2:10" hidden="1" x14ac:dyDescent="0.3">
      <c r="B338">
        <v>1243861102</v>
      </c>
      <c r="C338" s="59">
        <v>44714</v>
      </c>
      <c r="F338">
        <v>1117558241</v>
      </c>
      <c r="G338" t="s">
        <v>4391</v>
      </c>
      <c r="H338" s="59">
        <v>44745</v>
      </c>
      <c r="I338" s="59">
        <f t="shared" si="10"/>
        <v>44745</v>
      </c>
      <c r="J338" t="b">
        <f t="shared" si="11"/>
        <v>1</v>
      </c>
    </row>
    <row r="339" spans="2:10" hidden="1" x14ac:dyDescent="0.3">
      <c r="B339">
        <v>1245078145</v>
      </c>
      <c r="C339" s="59">
        <v>44124</v>
      </c>
      <c r="F339">
        <v>1006666312</v>
      </c>
      <c r="G339" t="s">
        <v>4392</v>
      </c>
      <c r="H339" s="59">
        <v>37050</v>
      </c>
      <c r="I339" s="59">
        <f t="shared" si="10"/>
        <v>37050</v>
      </c>
      <c r="J339" t="b">
        <f t="shared" si="11"/>
        <v>1</v>
      </c>
    </row>
    <row r="340" spans="2:10" hidden="1" x14ac:dyDescent="0.3">
      <c r="B340">
        <v>1245078348</v>
      </c>
      <c r="C340" s="59">
        <v>44172</v>
      </c>
      <c r="F340">
        <v>1073386805</v>
      </c>
      <c r="G340" t="s">
        <v>4393</v>
      </c>
      <c r="H340" s="59">
        <v>44320</v>
      </c>
      <c r="I340" s="59">
        <f t="shared" si="10"/>
        <v>44320</v>
      </c>
      <c r="J340" t="b">
        <f t="shared" si="11"/>
        <v>1</v>
      </c>
    </row>
    <row r="341" spans="2:10" hidden="1" x14ac:dyDescent="0.3">
      <c r="B341">
        <v>1245078680</v>
      </c>
      <c r="C341" s="59">
        <v>44306</v>
      </c>
      <c r="F341">
        <v>1243763085</v>
      </c>
      <c r="G341" t="s">
        <v>4394</v>
      </c>
      <c r="H341" s="59">
        <v>44687</v>
      </c>
      <c r="I341" s="59">
        <f t="shared" si="10"/>
        <v>44687</v>
      </c>
      <c r="J341" t="b">
        <f t="shared" si="11"/>
        <v>1</v>
      </c>
    </row>
    <row r="342" spans="2:10" hidden="1" x14ac:dyDescent="0.3">
      <c r="B342">
        <v>1245078722</v>
      </c>
      <c r="C342" s="59">
        <v>44326</v>
      </c>
      <c r="F342">
        <v>1028673639</v>
      </c>
      <c r="G342" t="s">
        <v>4395</v>
      </c>
      <c r="H342" s="59">
        <v>43374</v>
      </c>
      <c r="I342" s="59">
        <f t="shared" si="10"/>
        <v>43374</v>
      </c>
      <c r="J342" t="b">
        <f t="shared" si="11"/>
        <v>1</v>
      </c>
    </row>
    <row r="343" spans="2:10" hidden="1" x14ac:dyDescent="0.3">
      <c r="B343">
        <v>1245079112</v>
      </c>
      <c r="C343" s="59">
        <v>44454</v>
      </c>
      <c r="F343">
        <v>1233514915</v>
      </c>
      <c r="G343" t="s">
        <v>4396</v>
      </c>
      <c r="H343" s="59">
        <v>43304</v>
      </c>
      <c r="I343" s="59">
        <f t="shared" si="10"/>
        <v>43304</v>
      </c>
      <c r="J343" t="b">
        <f t="shared" si="11"/>
        <v>1</v>
      </c>
    </row>
    <row r="344" spans="2:10" hidden="1" x14ac:dyDescent="0.3">
      <c r="B344">
        <v>1300000542</v>
      </c>
      <c r="C344" s="59">
        <v>43846</v>
      </c>
      <c r="F344">
        <v>1011331108</v>
      </c>
      <c r="G344" t="s">
        <v>4397</v>
      </c>
      <c r="H344" s="59">
        <v>44021</v>
      </c>
      <c r="I344" s="59">
        <f t="shared" si="10"/>
        <v>44021</v>
      </c>
      <c r="J344" t="b">
        <f t="shared" si="11"/>
        <v>1</v>
      </c>
    </row>
    <row r="345" spans="2:10" hidden="1" x14ac:dyDescent="0.3">
      <c r="B345" t="s">
        <v>4062</v>
      </c>
      <c r="C345" s="59">
        <v>43114</v>
      </c>
      <c r="F345">
        <v>1014485581</v>
      </c>
      <c r="G345" t="s">
        <v>4398</v>
      </c>
      <c r="H345" s="59">
        <v>43745</v>
      </c>
      <c r="I345" s="59">
        <f t="shared" si="10"/>
        <v>43745</v>
      </c>
      <c r="J345" t="b">
        <f t="shared" si="11"/>
        <v>1</v>
      </c>
    </row>
    <row r="346" spans="2:10" hidden="1" x14ac:dyDescent="0.3">
      <c r="B346" t="s">
        <v>4060</v>
      </c>
      <c r="C346" s="59">
        <v>43557</v>
      </c>
      <c r="F346">
        <v>1023048400</v>
      </c>
      <c r="G346" t="s">
        <v>4399</v>
      </c>
      <c r="H346" s="59">
        <v>44685</v>
      </c>
      <c r="I346" s="59">
        <f t="shared" si="10"/>
        <v>44716</v>
      </c>
      <c r="J346" t="b">
        <f t="shared" si="11"/>
        <v>0</v>
      </c>
    </row>
    <row r="347" spans="2:10" x14ac:dyDescent="0.3">
      <c r="B347" t="s">
        <v>4409</v>
      </c>
      <c r="C347" s="59">
        <v>43744</v>
      </c>
      <c r="F347">
        <v>1007739212</v>
      </c>
      <c r="G347" t="s">
        <v>4429</v>
      </c>
      <c r="H347" s="59">
        <v>33718</v>
      </c>
      <c r="I347" s="59" t="e">
        <f t="shared" si="10"/>
        <v>#N/A</v>
      </c>
      <c r="J347" t="e">
        <f t="shared" si="11"/>
        <v>#N/A</v>
      </c>
    </row>
    <row r="348" spans="2:10" hidden="1" x14ac:dyDescent="0.3">
      <c r="B348" t="s">
        <v>4064</v>
      </c>
      <c r="C348" s="59">
        <v>42822</v>
      </c>
      <c r="F348">
        <v>1045424161</v>
      </c>
      <c r="G348" t="s">
        <v>4430</v>
      </c>
      <c r="H348" s="59">
        <v>39103</v>
      </c>
      <c r="I348" s="59">
        <f t="shared" si="10"/>
        <v>39103</v>
      </c>
      <c r="J348" t="b">
        <f t="shared" si="11"/>
        <v>1</v>
      </c>
    </row>
    <row r="349" spans="2:10" hidden="1" x14ac:dyDescent="0.3">
      <c r="C349" s="59"/>
      <c r="F349">
        <v>1006093564</v>
      </c>
      <c r="G349" t="s">
        <v>4431</v>
      </c>
      <c r="H349" s="59">
        <v>35141</v>
      </c>
      <c r="I349" s="59">
        <f t="shared" si="10"/>
        <v>35141</v>
      </c>
      <c r="J349" t="b">
        <f t="shared" si="11"/>
        <v>1</v>
      </c>
    </row>
    <row r="350" spans="2:10" hidden="1" x14ac:dyDescent="0.3">
      <c r="F350">
        <v>1018462996</v>
      </c>
      <c r="G350" t="s">
        <v>4432</v>
      </c>
      <c r="H350" s="59">
        <v>34244</v>
      </c>
      <c r="I350" s="59">
        <f t="shared" si="10"/>
        <v>34244</v>
      </c>
      <c r="J350" t="b">
        <f t="shared" si="11"/>
        <v>1</v>
      </c>
    </row>
    <row r="351" spans="2:10" hidden="1" x14ac:dyDescent="0.3">
      <c r="F351">
        <v>1032370204</v>
      </c>
      <c r="G351" t="s">
        <v>4433</v>
      </c>
      <c r="H351" s="59">
        <v>31649</v>
      </c>
      <c r="I351" s="59">
        <f t="shared" si="10"/>
        <v>31649</v>
      </c>
      <c r="J351" t="b">
        <f t="shared" si="11"/>
        <v>1</v>
      </c>
    </row>
    <row r="352" spans="2:10" x14ac:dyDescent="0.3">
      <c r="H352" s="59"/>
    </row>
  </sheetData>
  <autoFilter ref="F1:J351" xr:uid="{56C34DCD-5451-4D46-AA85-0A1C33FB5205}">
    <filterColumn colId="4">
      <filters>
        <filter val="#N/D"/>
      </filters>
    </filterColumn>
  </autoFilter>
  <conditionalFormatting sqref="B1:B1048576">
    <cfRule type="duplicateValues" dxfId="1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LISTAS DESPLEGABLES</vt:lpstr>
      <vt:lpstr>Ajuste Duplas</vt:lpstr>
      <vt:lpstr>MATRIZ PRINCIPAL</vt:lpstr>
      <vt:lpstr>PEDIDO UNIDAD</vt:lpstr>
      <vt:lpstr>PEDIDO GENERAL</vt:lpstr>
      <vt:lpstr>ANALISIS</vt:lpstr>
      <vt:lpstr>Hoja1</vt:lpstr>
      <vt:lpstr>Hoja2</vt:lpstr>
      <vt:lpstr>'PEDIDO GENERAL'!Área_de_impresión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ENRIQUE AREVALO ESCOBAR</dc:creator>
  <cp:lastModifiedBy>EQUIPO01</cp:lastModifiedBy>
  <cp:lastPrinted>2021-02-24T21:14:29Z</cp:lastPrinted>
  <dcterms:created xsi:type="dcterms:W3CDTF">2021-02-10T14:32:57Z</dcterms:created>
  <dcterms:modified xsi:type="dcterms:W3CDTF">2023-03-27T07:19:43Z</dcterms:modified>
</cp:coreProperties>
</file>